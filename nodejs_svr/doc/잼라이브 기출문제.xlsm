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_GitProjects\jamlive_Git\jamlive\nodejs_svr\doc\"/>
    </mc:Choice>
  </mc:AlternateContent>
  <bookViews>
    <workbookView xWindow="0" yWindow="0" windowWidth="13215" windowHeight="5535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3" i="1"/>
  <c r="G1" i="1"/>
  <c r="H1" i="1"/>
  <c r="I1" i="1"/>
  <c r="G2" i="1"/>
  <c r="H2" i="1"/>
  <c r="I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J11" i="1" s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J7" i="1" l="1"/>
  <c r="J14" i="1"/>
  <c r="J10" i="1"/>
  <c r="J6" i="1"/>
  <c r="J3" i="1"/>
  <c r="J12" i="1"/>
  <c r="J8" i="1"/>
  <c r="J4" i="1"/>
  <c r="J13" i="1"/>
  <c r="J9" i="1"/>
  <c r="J5" i="1"/>
  <c r="D2" i="2"/>
  <c r="D1" i="2"/>
  <c r="D3" i="2"/>
  <c r="D4" i="2"/>
  <c r="D5" i="2"/>
  <c r="D6" i="2"/>
  <c r="D7" i="2"/>
  <c r="D8" i="2"/>
  <c r="D9" i="2"/>
  <c r="D10" i="2"/>
  <c r="D11" i="2"/>
  <c r="D12" i="2"/>
  <c r="C12" i="2" l="1"/>
  <c r="C11" i="2"/>
  <c r="C10" i="2"/>
  <c r="F12" i="2"/>
  <c r="F11" i="2"/>
  <c r="F10" i="2"/>
  <c r="F9" i="2"/>
  <c r="F8" i="2"/>
  <c r="F7" i="2"/>
  <c r="F6" i="2"/>
  <c r="F5" i="2"/>
  <c r="F4" i="2"/>
  <c r="F3" i="2"/>
  <c r="F2" i="2"/>
  <c r="E12" i="2"/>
  <c r="E11" i="2"/>
  <c r="E10" i="2"/>
  <c r="E9" i="2"/>
  <c r="E8" i="2"/>
  <c r="E7" i="2"/>
  <c r="E6" i="2"/>
  <c r="E5" i="2"/>
  <c r="E4" i="2"/>
  <c r="E3" i="2"/>
  <c r="E2" i="2"/>
  <c r="F1" i="2"/>
  <c r="E1" i="2"/>
  <c r="C9" i="2"/>
  <c r="C8" i="2"/>
  <c r="C7" i="2"/>
  <c r="C6" i="2"/>
  <c r="C5" i="2"/>
  <c r="C4" i="2"/>
  <c r="C3" i="2"/>
  <c r="C2" i="2"/>
  <c r="C1" i="2"/>
</calcChain>
</file>

<file path=xl/sharedStrings.xml><?xml version="1.0" encoding="utf-8"?>
<sst xmlns="http://schemas.openxmlformats.org/spreadsheetml/2006/main" count="98" uniqueCount="74">
  <si>
    <t>즐라탄</t>
    <phoneticPr fontId="2" type="noConversion"/>
  </si>
  <si>
    <t>1. 호미로 막을 일 (   )로 막는다. 빈칸에 들어갈 올바른 말은?</t>
  </si>
  <si>
    <r>
      <t>A.  </t>
    </r>
    <r>
      <rPr>
        <sz val="12"/>
        <color rgb="FFFF0000"/>
        <rFont val="Arial"/>
        <family val="2"/>
      </rPr>
      <t>가래</t>
    </r>
  </si>
  <si>
    <t>B.  닭발</t>
  </si>
  <si>
    <t>C.  두꺼비</t>
  </si>
  <si>
    <t>2. 제1회 올림픽이 개최된 곳은?</t>
  </si>
  <si>
    <t>A.  바르셀로나</t>
  </si>
  <si>
    <t>B.  서울</t>
  </si>
  <si>
    <r>
      <t>C.  </t>
    </r>
    <r>
      <rPr>
        <sz val="12"/>
        <color rgb="FFFF0000"/>
        <rFont val="Arial"/>
        <family val="2"/>
      </rPr>
      <t>아테네</t>
    </r>
  </si>
  <si>
    <t>3. 셀프 제모 시 피해야 할 행동은?</t>
  </si>
  <si>
    <t>A.  제모 전 손을 깨끗이 씻는다</t>
  </si>
  <si>
    <r>
      <t>B.  </t>
    </r>
    <r>
      <rPr>
        <sz val="12"/>
        <color rgb="FFFF0000"/>
        <rFont val="Arial"/>
        <family val="2"/>
      </rPr>
      <t>제모 후 바로 자외선에 노출시킨다</t>
    </r>
  </si>
  <si>
    <t>C.  제모 도구를 소독 후 사용한다</t>
  </si>
  <si>
    <t>4. 단군 왕검이 세운 고조선의 수도는?</t>
  </si>
  <si>
    <t>A.  개성</t>
  </si>
  <si>
    <t>B.  기장</t>
  </si>
  <si>
    <r>
      <t>C.  </t>
    </r>
    <r>
      <rPr>
        <sz val="12"/>
        <color rgb="FFFF0000"/>
        <rFont val="Arial"/>
        <family val="2"/>
      </rPr>
      <t>아사달</t>
    </r>
  </si>
  <si>
    <t>5. 두피 부근 머리가 기름기에 볼품없이 뭉쳤을 때 물 없이 머리를 감은 듯한 효과를 주는 제품은?</t>
  </si>
  <si>
    <t>A.  카페인샴푸</t>
  </si>
  <si>
    <r>
      <t>B.  </t>
    </r>
    <r>
      <rPr>
        <sz val="12"/>
        <color rgb="FFFF0000"/>
        <rFont val="Arial"/>
        <family val="2"/>
      </rPr>
      <t>드라이샴푸</t>
    </r>
  </si>
  <si>
    <t>C.  스케일링샴푸</t>
  </si>
  <si>
    <t>6. 피자의 형태를 유지하기 위해 사용하는 플라스틱 지지대의 이름은?</t>
  </si>
  <si>
    <r>
      <t>A.  </t>
    </r>
    <r>
      <rPr>
        <sz val="12"/>
        <color rgb="FFFF0000"/>
        <rFont val="Arial"/>
        <family val="2"/>
      </rPr>
      <t>피자 세이버</t>
    </r>
  </si>
  <si>
    <t>B.  피자 트레이</t>
  </si>
  <si>
    <t>C.  피자 스토퍼</t>
  </si>
  <si>
    <t>7. 과일 특성상 농약을 치지않는 과일은?</t>
  </si>
  <si>
    <t>A.  레몬</t>
  </si>
  <si>
    <r>
      <t>B.  </t>
    </r>
    <r>
      <rPr>
        <sz val="12"/>
        <color rgb="FFFF0000"/>
        <rFont val="Arial"/>
        <family val="2"/>
      </rPr>
      <t>무화과</t>
    </r>
  </si>
  <si>
    <t>C.  망고</t>
  </si>
  <si>
    <t>8. 세계 최초로 일기예보를 시작한 나라는?</t>
  </si>
  <si>
    <r>
      <t>A.  </t>
    </r>
    <r>
      <rPr>
        <sz val="12"/>
        <color rgb="FFFF0000"/>
        <rFont val="Arial"/>
        <family val="2"/>
      </rPr>
      <t>프랑스</t>
    </r>
  </si>
  <si>
    <t>B.  러시아</t>
  </si>
  <si>
    <t>C.  중국</t>
  </si>
  <si>
    <t>9. 우리나라에서 '상실의 시대'로 출간된 무라카미 하루키의 소설 원제는?</t>
  </si>
  <si>
    <t>A.  어둠의 저편</t>
  </si>
  <si>
    <t>B.  냉정과 열정 사이</t>
  </si>
  <si>
    <r>
      <t>C. </t>
    </r>
    <r>
      <rPr>
        <sz val="12"/>
        <color rgb="FFFF0000"/>
        <rFont val="Arial"/>
        <family val="2"/>
      </rPr>
      <t> 노르웨이의 숲</t>
    </r>
  </si>
  <si>
    <t>10. 우리나라 최초로 프리메라리가에 진출한 축구 선수는?</t>
  </si>
  <si>
    <t>A.  박지성</t>
  </si>
  <si>
    <r>
      <t>B.  </t>
    </r>
    <r>
      <rPr>
        <sz val="12"/>
        <color rgb="FFFF0000"/>
        <rFont val="Arial"/>
        <family val="2"/>
      </rPr>
      <t>이천수</t>
    </r>
  </si>
  <si>
    <t>C.  손흥민</t>
  </si>
  <si>
    <t>11. 신사 숙녀 중, 신사의 '신'이 의미하는 것은?</t>
  </si>
  <si>
    <t>A.  모자</t>
  </si>
  <si>
    <t>B.  신발</t>
  </si>
  <si>
    <r>
      <t>C.  </t>
    </r>
    <r>
      <rPr>
        <sz val="12"/>
        <color rgb="FFFF0000"/>
        <rFont val="Arial"/>
        <family val="2"/>
      </rPr>
      <t>허리띠</t>
    </r>
  </si>
  <si>
    <t>12. 다음 중 지상파 방송3사 연기대상을 가장 많이받은 배우는?</t>
  </si>
  <si>
    <r>
      <t>A.  </t>
    </r>
    <r>
      <rPr>
        <sz val="12"/>
        <color rgb="FFFF0000"/>
        <rFont val="Arial"/>
        <family val="2"/>
      </rPr>
      <t>김혜자</t>
    </r>
  </si>
  <si>
    <t>B.  유동근</t>
  </si>
  <si>
    <t>C.  최수종</t>
  </si>
  <si>
    <t xml:space="preserve"> 호미로 막을 일 (   )로 막는다. 빈칸에 들어갈 올바른 말은?</t>
  </si>
  <si>
    <t>A.  가래</t>
  </si>
  <si>
    <t xml:space="preserve"> 제1회 올림픽이 개최된 곳은?</t>
  </si>
  <si>
    <t>C.  아테네</t>
  </si>
  <si>
    <t xml:space="preserve"> 셀프 제모 시 피해야 할 행동은?</t>
  </si>
  <si>
    <t>B.  제모 후 바로 자외선에 노출시킨다</t>
  </si>
  <si>
    <t xml:space="preserve"> 단군 왕검이 세운 고조선의 수도는?</t>
  </si>
  <si>
    <t>C.  아사달</t>
  </si>
  <si>
    <t xml:space="preserve"> 두피 부근 머리가 기름기에 볼품없이 뭉쳤을 때 물 없이 머리를 감은 듯한 효과를 주는 제품은?</t>
  </si>
  <si>
    <t>B.  드라이샴푸</t>
  </si>
  <si>
    <t xml:space="preserve"> 피자의 형태를 유지하기 위해 사용하는 플라스틱 지지대의 이름은?</t>
  </si>
  <si>
    <t>A.  피자 세이버</t>
  </si>
  <si>
    <t xml:space="preserve"> 과일 특성상 농약을 치지않는 과일은?</t>
  </si>
  <si>
    <t>B.  무화과</t>
  </si>
  <si>
    <t xml:space="preserve"> 세계 최초로 일기예보를 시작한 나라는?</t>
  </si>
  <si>
    <t>A.  프랑스</t>
  </si>
  <si>
    <t>C.  노르웨이의 숲</t>
  </si>
  <si>
    <t xml:space="preserve"> 우리나라 최초로 프리메라리가에 진출한 축구 선수는?</t>
  </si>
  <si>
    <t>B.  이천수</t>
  </si>
  <si>
    <t>C.  허리띠</t>
  </si>
  <si>
    <t xml:space="preserve"> 다음 중 지상파 방송3사 연기대상을 가장 많이받은 배우는?</t>
  </si>
  <si>
    <t>A.  김혜자</t>
  </si>
  <si>
    <t xml:space="preserve"> 우리나라에서 "상실의 시대"로 출간된 무라카미 하루키의 소설 원제는?</t>
  </si>
  <si>
    <t xml:space="preserve"> 신사 숙녀 중, 신사의 "신"이 의미하는 것은?</t>
  </si>
  <si>
    <t>68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</si>
</sst>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맑은 고딕"/>
      <family val="2"/>
      <charset val="129"/>
      <scheme val="minor"/>
    </font>
    <font>
      <b/>
      <sz val="12"/>
      <color rgb="FF666666"/>
      <name val="Arial"/>
      <family val="2"/>
    </font>
    <font>
      <sz val="8"/>
      <name val="맑은 고딕"/>
      <family val="2"/>
      <charset val="129"/>
      <scheme val="minor"/>
    </font>
    <font>
      <sz val="12"/>
      <color rgb="FFFF0000"/>
      <name val="Arial"/>
      <family val="2"/>
    </font>
    <font>
      <sz val="12"/>
      <color rgb="FF666666"/>
      <name val="Arial"/>
      <family val="2"/>
    </font>
    <font>
      <sz val="12"/>
      <color rgb="FFFF0000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NumberFormat="1">
      <alignment vertical="center"/>
    </xf>
    <xf numFmtId="0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5" fillId="0" borderId="0" xfId="0" applyFont="1" applyAlignment="1">
      <alignment horizontal="right" vertical="center" wrapText="1" indent="2"/>
    </xf>
    <xf numFmtId="0" fontId="4" fillId="0" borderId="0" xfId="0" applyFont="1" applyAlignment="1">
      <alignment horizontal="left" vertical="center" wrapText="1" indent="2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4"/>
  <sheetViews>
    <sheetView tabSelected="1" zoomScale="85" zoomScaleNormal="85" workbookViewId="0">
      <selection activeCell="J3" sqref="J3:J14"/>
    </sheetView>
  </sheetViews>
  <sheetFormatPr defaultRowHeight="16.5" x14ac:dyDescent="0.3"/>
  <cols>
    <col min="1" max="1" width="16.625" bestFit="1" customWidth="1"/>
    <col min="2" max="2" width="32.25" style="1" customWidth="1"/>
    <col min="3" max="6" width="10.625" style="1" customWidth="1"/>
    <col min="7" max="7" width="17.5" style="4" bestFit="1" customWidth="1"/>
    <col min="8" max="8" width="19.625" style="4" bestFit="1" customWidth="1"/>
    <col min="9" max="9" width="18.625" style="4" bestFit="1" customWidth="1"/>
    <col min="10" max="10" width="51.625" customWidth="1"/>
  </cols>
  <sheetData>
    <row r="1" spans="1:10" x14ac:dyDescent="0.3">
      <c r="G1" s="4" t="str">
        <f t="shared" ref="G1:G12" si="0">IF( IFERROR(FIND("A.",C1), 0) &gt; 0, TRIM(MID( C1, SEARCH("A.", C1)+2, 100)),TRIM(C1))</f>
        <v/>
      </c>
      <c r="H1" s="4" t="str">
        <f t="shared" ref="H1:H12" si="1">IF( IFERROR(FIND("B.",D1), 0) &gt; 0, TRIM(MID( D1, SEARCH("B.", D1)+2, 100)),TRIM(D1))</f>
        <v/>
      </c>
      <c r="I1" s="5" t="str">
        <f t="shared" ref="I1:I2" si="2">IF( IFERROR(FIND("C.",F1), 0) &gt; 0, TRIM(MID( F1, SEARCH("C.", F1)+2, 100)),TRIM(F1))</f>
        <v/>
      </c>
    </row>
    <row r="2" spans="1:10" x14ac:dyDescent="0.3">
      <c r="B2" s="1" t="s">
        <v>73</v>
      </c>
      <c r="G2" s="4" t="str">
        <f t="shared" si="0"/>
        <v/>
      </c>
      <c r="H2" s="4" t="str">
        <f t="shared" si="1"/>
        <v/>
      </c>
      <c r="I2" s="5" t="str">
        <f t="shared" si="2"/>
        <v/>
      </c>
    </row>
    <row r="3" spans="1:10" x14ac:dyDescent="0.3">
      <c r="A3">
        <v>1</v>
      </c>
      <c r="B3" s="1" t="s">
        <v>49</v>
      </c>
      <c r="C3" s="1" t="s">
        <v>50</v>
      </c>
      <c r="D3" s="1" t="s">
        <v>3</v>
      </c>
      <c r="E3" s="1" t="s">
        <v>4</v>
      </c>
      <c r="F3" s="1">
        <v>0</v>
      </c>
      <c r="G3" s="4" t="str">
        <f t="shared" si="0"/>
        <v>  가래</v>
      </c>
      <c r="H3" s="4" t="str">
        <f t="shared" si="1"/>
        <v>  닭발</v>
      </c>
      <c r="I3" s="4" t="str">
        <f>IF( IFERROR(FIND("C.",E3), 0) &gt; 0, TRIM(MID( E3, SEARCH("C.", E3)+2, 100)),TRIM(E3))</f>
        <v>  두꺼비</v>
      </c>
      <c r="J3" t="str">
        <f>"("&amp;$B$2&amp;","&amp;A3&amp;",'"&amp;B3&amp;"','"&amp;G3&amp;"','"&amp;H3&amp;"','"&amp;I3&amp;"',"&amp;F3&amp;"),"</f>
        <v>(68,1,' 호미로 막을 일 (   )로 막는다. 빈칸에 들어갈 올바른 말은?','  가래','  닭발','  두꺼비',0),</v>
      </c>
    </row>
    <row r="4" spans="1:10" x14ac:dyDescent="0.3">
      <c r="A4">
        <v>2</v>
      </c>
      <c r="B4" s="1" t="s">
        <v>51</v>
      </c>
      <c r="C4" s="1" t="s">
        <v>6</v>
      </c>
      <c r="D4" s="1" t="s">
        <v>7</v>
      </c>
      <c r="E4" s="1" t="s">
        <v>52</v>
      </c>
      <c r="F4" s="1">
        <v>2</v>
      </c>
      <c r="G4" s="4" t="str">
        <f t="shared" si="0"/>
        <v>  바르셀로나</v>
      </c>
      <c r="H4" s="4" t="str">
        <f t="shared" si="1"/>
        <v>  서울</v>
      </c>
      <c r="I4" s="4" t="str">
        <f t="shared" ref="I4:I67" si="3">IF( IFERROR(FIND("C.",E4), 0) &gt; 0, TRIM(MID( E4, SEARCH("C.", E4)+2, 100)),TRIM(E4))</f>
        <v>  아테네</v>
      </c>
      <c r="J4" t="str">
        <f t="shared" ref="J4:J14" si="4">"("&amp;$B$2&amp;","&amp;A4&amp;",'"&amp;B4&amp;"','"&amp;G4&amp;"','"&amp;H4&amp;"','"&amp;I4&amp;"',"&amp;F4&amp;"),"</f>
        <v>(68,2,' 제1회 올림픽이 개최된 곳은?','  바르셀로나','  서울','  아테네',2),</v>
      </c>
    </row>
    <row r="5" spans="1:10" x14ac:dyDescent="0.3">
      <c r="A5">
        <v>3</v>
      </c>
      <c r="B5" s="1" t="s">
        <v>53</v>
      </c>
      <c r="C5" s="1" t="s">
        <v>10</v>
      </c>
      <c r="D5" s="1" t="s">
        <v>54</v>
      </c>
      <c r="E5" s="1" t="s">
        <v>12</v>
      </c>
      <c r="F5" s="1">
        <v>1</v>
      </c>
      <c r="G5" s="4" t="str">
        <f t="shared" si="0"/>
        <v>  제모 전 손을 깨끗이 씻는다</v>
      </c>
      <c r="H5" s="4" t="str">
        <f t="shared" si="1"/>
        <v>  제모 후 바로 자외선에 노출시킨다</v>
      </c>
      <c r="I5" s="4" t="str">
        <f t="shared" si="3"/>
        <v>  제모 도구를 소독 후 사용한다</v>
      </c>
      <c r="J5" t="str">
        <f t="shared" si="4"/>
        <v>(68,3,' 셀프 제모 시 피해야 할 행동은?','  제모 전 손을 깨끗이 씻는다','  제모 후 바로 자외선에 노출시킨다','  제모 도구를 소독 후 사용한다',1),</v>
      </c>
    </row>
    <row r="6" spans="1:10" x14ac:dyDescent="0.3">
      <c r="A6">
        <v>4</v>
      </c>
      <c r="B6" s="1" t="s">
        <v>55</v>
      </c>
      <c r="C6" s="1" t="s">
        <v>14</v>
      </c>
      <c r="D6" s="1" t="s">
        <v>15</v>
      </c>
      <c r="E6" s="1" t="s">
        <v>56</v>
      </c>
      <c r="F6" s="1">
        <v>2</v>
      </c>
      <c r="G6" s="4" t="str">
        <f t="shared" si="0"/>
        <v>  개성</v>
      </c>
      <c r="H6" s="4" t="str">
        <f t="shared" si="1"/>
        <v>  기장</v>
      </c>
      <c r="I6" s="4" t="str">
        <f t="shared" si="3"/>
        <v>  아사달</v>
      </c>
      <c r="J6" t="str">
        <f t="shared" si="4"/>
        <v>(68,4,' 단군 왕검이 세운 고조선의 수도는?','  개성','  기장','  아사달',2),</v>
      </c>
    </row>
    <row r="7" spans="1:10" x14ac:dyDescent="0.3">
      <c r="A7">
        <v>5</v>
      </c>
      <c r="B7" s="1" t="s">
        <v>57</v>
      </c>
      <c r="C7" s="1" t="s">
        <v>18</v>
      </c>
      <c r="D7" s="1" t="s">
        <v>58</v>
      </c>
      <c r="E7" s="1" t="s">
        <v>20</v>
      </c>
      <c r="F7" s="1">
        <v>1</v>
      </c>
      <c r="G7" s="4" t="str">
        <f t="shared" si="0"/>
        <v>  카페인샴푸</v>
      </c>
      <c r="H7" s="4" t="str">
        <f t="shared" si="1"/>
        <v>  드라이샴푸</v>
      </c>
      <c r="I7" s="4" t="str">
        <f t="shared" si="3"/>
        <v>  스케일링샴푸</v>
      </c>
      <c r="J7" t="str">
        <f t="shared" si="4"/>
        <v>(68,5,' 두피 부근 머리가 기름기에 볼품없이 뭉쳤을 때 물 없이 머리를 감은 듯한 효과를 주는 제품은?','  카페인샴푸','  드라이샴푸','  스케일링샴푸',1),</v>
      </c>
    </row>
    <row r="8" spans="1:10" x14ac:dyDescent="0.3">
      <c r="A8">
        <v>6</v>
      </c>
      <c r="B8" s="1" t="s">
        <v>59</v>
      </c>
      <c r="C8" s="1" t="s">
        <v>60</v>
      </c>
      <c r="D8" s="1" t="s">
        <v>23</v>
      </c>
      <c r="E8" s="1" t="s">
        <v>24</v>
      </c>
      <c r="F8" s="1">
        <v>0</v>
      </c>
      <c r="G8" s="4" t="str">
        <f t="shared" si="0"/>
        <v>  피자 세이버</v>
      </c>
      <c r="H8" s="4" t="str">
        <f t="shared" si="1"/>
        <v>  피자 트레이</v>
      </c>
      <c r="I8" s="4" t="str">
        <f t="shared" si="3"/>
        <v>  피자 스토퍼</v>
      </c>
      <c r="J8" t="str">
        <f t="shared" si="4"/>
        <v>(68,6,' 피자의 형태를 유지하기 위해 사용하는 플라스틱 지지대의 이름은?','  피자 세이버','  피자 트레이','  피자 스토퍼',0),</v>
      </c>
    </row>
    <row r="9" spans="1:10" x14ac:dyDescent="0.3">
      <c r="A9">
        <v>7</v>
      </c>
      <c r="B9" s="1" t="s">
        <v>61</v>
      </c>
      <c r="C9" s="1" t="s">
        <v>26</v>
      </c>
      <c r="D9" s="1" t="s">
        <v>62</v>
      </c>
      <c r="E9" s="1" t="s">
        <v>28</v>
      </c>
      <c r="F9" s="1">
        <v>1</v>
      </c>
      <c r="G9" s="4" t="str">
        <f t="shared" si="0"/>
        <v>  레몬</v>
      </c>
      <c r="H9" s="4" t="str">
        <f t="shared" si="1"/>
        <v>  무화과</v>
      </c>
      <c r="I9" s="4" t="str">
        <f t="shared" si="3"/>
        <v>  망고</v>
      </c>
      <c r="J9" t="str">
        <f t="shared" si="4"/>
        <v>(68,7,' 과일 특성상 농약을 치지않는 과일은?','  레몬','  무화과','  망고',1),</v>
      </c>
    </row>
    <row r="10" spans="1:10" x14ac:dyDescent="0.3">
      <c r="A10">
        <v>8</v>
      </c>
      <c r="B10" s="1" t="s">
        <v>63</v>
      </c>
      <c r="C10" s="1" t="s">
        <v>64</v>
      </c>
      <c r="D10" s="1" t="s">
        <v>31</v>
      </c>
      <c r="E10" s="1" t="s">
        <v>32</v>
      </c>
      <c r="F10" s="1">
        <v>0</v>
      </c>
      <c r="G10" s="4" t="str">
        <f t="shared" si="0"/>
        <v>  프랑스</v>
      </c>
      <c r="H10" s="4" t="str">
        <f t="shared" si="1"/>
        <v>  러시아</v>
      </c>
      <c r="I10" s="4" t="str">
        <f t="shared" si="3"/>
        <v>  중국</v>
      </c>
      <c r="J10" t="str">
        <f t="shared" si="4"/>
        <v>(68,8,' 세계 최초로 일기예보를 시작한 나라는?','  프랑스','  러시아','  중국',0),</v>
      </c>
    </row>
    <row r="11" spans="1:10" x14ac:dyDescent="0.3">
      <c r="A11">
        <v>9</v>
      </c>
      <c r="B11" s="1" t="s">
        <v>71</v>
      </c>
      <c r="C11" s="1" t="s">
        <v>34</v>
      </c>
      <c r="D11" s="1" t="s">
        <v>35</v>
      </c>
      <c r="E11" s="1" t="s">
        <v>65</v>
      </c>
      <c r="F11" s="1">
        <v>2</v>
      </c>
      <c r="G11" s="4" t="str">
        <f t="shared" si="0"/>
        <v>  어둠의 저편</v>
      </c>
      <c r="H11" s="4" t="str">
        <f t="shared" si="1"/>
        <v>  냉정과 열정 사이</v>
      </c>
      <c r="I11" s="4" t="str">
        <f t="shared" si="3"/>
        <v>  노르웨이의 숲</v>
      </c>
      <c r="J11" t="str">
        <f t="shared" si="4"/>
        <v>(68,9,' 우리나라에서 "상실의 시대"로 출간된 무라카미 하루키의 소설 원제는?','  어둠의 저편','  냉정과 열정 사이','  노르웨이의 숲',2),</v>
      </c>
    </row>
    <row r="12" spans="1:10" x14ac:dyDescent="0.3">
      <c r="A12">
        <v>10</v>
      </c>
      <c r="B12" s="1" t="s">
        <v>66</v>
      </c>
      <c r="C12" s="1" t="s">
        <v>38</v>
      </c>
      <c r="D12" s="1" t="s">
        <v>67</v>
      </c>
      <c r="E12" s="1" t="s">
        <v>40</v>
      </c>
      <c r="F12" s="1">
        <v>1</v>
      </c>
      <c r="G12" s="4" t="str">
        <f t="shared" si="0"/>
        <v>  박지성</v>
      </c>
      <c r="H12" s="4" t="str">
        <f t="shared" si="1"/>
        <v>  이천수</v>
      </c>
      <c r="I12" s="4" t="str">
        <f t="shared" si="3"/>
        <v>  손흥민</v>
      </c>
      <c r="J12" t="str">
        <f t="shared" si="4"/>
        <v>(68,10,' 우리나라 최초로 프리메라리가에 진출한 축구 선수는?','  박지성','  이천수','  손흥민',1),</v>
      </c>
    </row>
    <row r="13" spans="1:10" x14ac:dyDescent="0.3">
      <c r="A13">
        <v>11</v>
      </c>
      <c r="B13" s="1" t="s">
        <v>72</v>
      </c>
      <c r="C13" s="1" t="s">
        <v>42</v>
      </c>
      <c r="D13" s="1" t="s">
        <v>43</v>
      </c>
      <c r="E13" s="1" t="s">
        <v>68</v>
      </c>
      <c r="F13" s="1">
        <v>2</v>
      </c>
      <c r="G13" s="4" t="str">
        <f t="shared" ref="G13:G64" si="5">IF( IFERROR(FIND("A.",C13), 0) &gt; 0, TRIM(MID( C13, SEARCH("A.", C13)+2, 100)),TRIM(C13))</f>
        <v>  모자</v>
      </c>
      <c r="H13" s="4" t="str">
        <f t="shared" ref="H13:H64" si="6">IF( IFERROR(FIND("B.",D13), 0) &gt; 0, TRIM(MID( D13, SEARCH("B.", D13)+2, 100)),TRIM(D13))</f>
        <v>  신발</v>
      </c>
      <c r="I13" s="4" t="str">
        <f t="shared" si="3"/>
        <v>  허리띠</v>
      </c>
      <c r="J13" t="str">
        <f t="shared" si="4"/>
        <v>(68,11,' 신사 숙녀 중, 신사의 "신"이 의미하는 것은?','  모자','  신발','  허리띠',2),</v>
      </c>
    </row>
    <row r="14" spans="1:10" x14ac:dyDescent="0.3">
      <c r="A14">
        <v>12</v>
      </c>
      <c r="B14" s="1" t="s">
        <v>69</v>
      </c>
      <c r="C14" s="1" t="s">
        <v>70</v>
      </c>
      <c r="D14" s="1" t="s">
        <v>47</v>
      </c>
      <c r="E14" s="1" t="s">
        <v>48</v>
      </c>
      <c r="F14" s="1">
        <v>0</v>
      </c>
      <c r="G14" s="4" t="str">
        <f t="shared" si="5"/>
        <v>  김혜자</v>
      </c>
      <c r="H14" s="4" t="str">
        <f t="shared" si="6"/>
        <v>  유동근</v>
      </c>
      <c r="I14" s="4" t="str">
        <f t="shared" si="3"/>
        <v>  최수종</v>
      </c>
      <c r="J14" t="str">
        <f t="shared" si="4"/>
        <v>(68,12,' 다음 중 지상파 방송3사 연기대상을 가장 많이받은 배우는?','  김혜자','  유동근','  최수종',0),</v>
      </c>
    </row>
    <row r="15" spans="1:10" x14ac:dyDescent="0.3">
      <c r="G15" s="4" t="str">
        <f t="shared" si="5"/>
        <v/>
      </c>
      <c r="H15" s="4" t="str">
        <f t="shared" si="6"/>
        <v/>
      </c>
      <c r="I15" s="4" t="str">
        <f t="shared" si="3"/>
        <v/>
      </c>
    </row>
    <row r="16" spans="1:10" x14ac:dyDescent="0.3">
      <c r="G16" s="4" t="str">
        <f t="shared" si="5"/>
        <v/>
      </c>
      <c r="H16" s="4" t="str">
        <f t="shared" si="6"/>
        <v/>
      </c>
      <c r="I16" s="4" t="str">
        <f t="shared" si="3"/>
        <v/>
      </c>
    </row>
    <row r="17" spans="7:9" x14ac:dyDescent="0.3">
      <c r="G17" s="4" t="str">
        <f t="shared" si="5"/>
        <v/>
      </c>
      <c r="H17" s="4" t="str">
        <f t="shared" si="6"/>
        <v/>
      </c>
      <c r="I17" s="4" t="str">
        <f t="shared" si="3"/>
        <v/>
      </c>
    </row>
    <row r="18" spans="7:9" x14ac:dyDescent="0.3">
      <c r="G18" s="4" t="str">
        <f t="shared" si="5"/>
        <v/>
      </c>
      <c r="H18" s="4" t="str">
        <f t="shared" si="6"/>
        <v/>
      </c>
      <c r="I18" s="4" t="str">
        <f t="shared" si="3"/>
        <v/>
      </c>
    </row>
    <row r="19" spans="7:9" x14ac:dyDescent="0.3">
      <c r="G19" s="4" t="str">
        <f t="shared" si="5"/>
        <v/>
      </c>
      <c r="H19" s="4" t="str">
        <f t="shared" si="6"/>
        <v/>
      </c>
      <c r="I19" s="4" t="str">
        <f t="shared" si="3"/>
        <v/>
      </c>
    </row>
    <row r="20" spans="7:9" x14ac:dyDescent="0.3">
      <c r="G20" s="4" t="str">
        <f t="shared" si="5"/>
        <v/>
      </c>
      <c r="H20" s="4" t="str">
        <f t="shared" si="6"/>
        <v/>
      </c>
      <c r="I20" s="4" t="str">
        <f t="shared" si="3"/>
        <v/>
      </c>
    </row>
    <row r="21" spans="7:9" x14ac:dyDescent="0.3">
      <c r="G21" s="4" t="str">
        <f t="shared" si="5"/>
        <v/>
      </c>
      <c r="H21" s="4" t="str">
        <f t="shared" si="6"/>
        <v/>
      </c>
      <c r="I21" s="4" t="str">
        <f t="shared" si="3"/>
        <v/>
      </c>
    </row>
    <row r="22" spans="7:9" x14ac:dyDescent="0.3">
      <c r="G22" s="4" t="str">
        <f t="shared" si="5"/>
        <v/>
      </c>
      <c r="H22" s="4" t="str">
        <f t="shared" si="6"/>
        <v/>
      </c>
      <c r="I22" s="4" t="str">
        <f t="shared" si="3"/>
        <v/>
      </c>
    </row>
    <row r="23" spans="7:9" x14ac:dyDescent="0.3">
      <c r="G23" s="4" t="str">
        <f t="shared" si="5"/>
        <v/>
      </c>
      <c r="H23" s="4" t="str">
        <f t="shared" si="6"/>
        <v/>
      </c>
      <c r="I23" s="4" t="str">
        <f t="shared" si="3"/>
        <v/>
      </c>
    </row>
    <row r="24" spans="7:9" x14ac:dyDescent="0.3">
      <c r="G24" s="4" t="str">
        <f t="shared" si="5"/>
        <v/>
      </c>
      <c r="H24" s="4" t="str">
        <f t="shared" si="6"/>
        <v/>
      </c>
      <c r="I24" s="4" t="str">
        <f t="shared" si="3"/>
        <v/>
      </c>
    </row>
    <row r="25" spans="7:9" x14ac:dyDescent="0.3">
      <c r="G25" s="4" t="str">
        <f t="shared" si="5"/>
        <v/>
      </c>
      <c r="H25" s="4" t="str">
        <f t="shared" si="6"/>
        <v/>
      </c>
      <c r="I25" s="4" t="str">
        <f t="shared" si="3"/>
        <v/>
      </c>
    </row>
    <row r="26" spans="7:9" x14ac:dyDescent="0.3">
      <c r="G26" s="4" t="str">
        <f t="shared" si="5"/>
        <v/>
      </c>
      <c r="H26" s="4" t="str">
        <f t="shared" si="6"/>
        <v/>
      </c>
      <c r="I26" s="4" t="str">
        <f t="shared" si="3"/>
        <v/>
      </c>
    </row>
    <row r="27" spans="7:9" x14ac:dyDescent="0.3">
      <c r="G27" s="4" t="str">
        <f t="shared" si="5"/>
        <v/>
      </c>
      <c r="H27" s="4" t="str">
        <f t="shared" si="6"/>
        <v/>
      </c>
      <c r="I27" s="4" t="str">
        <f t="shared" si="3"/>
        <v/>
      </c>
    </row>
    <row r="28" spans="7:9" x14ac:dyDescent="0.3">
      <c r="G28" s="4" t="str">
        <f t="shared" si="5"/>
        <v/>
      </c>
      <c r="H28" s="4" t="str">
        <f t="shared" si="6"/>
        <v/>
      </c>
      <c r="I28" s="4" t="str">
        <f t="shared" si="3"/>
        <v/>
      </c>
    </row>
    <row r="29" spans="7:9" x14ac:dyDescent="0.3">
      <c r="G29" s="4" t="str">
        <f t="shared" si="5"/>
        <v/>
      </c>
      <c r="H29" s="4" t="str">
        <f t="shared" si="6"/>
        <v/>
      </c>
      <c r="I29" s="4" t="str">
        <f t="shared" si="3"/>
        <v/>
      </c>
    </row>
    <row r="30" spans="7:9" x14ac:dyDescent="0.3">
      <c r="G30" s="4" t="str">
        <f t="shared" si="5"/>
        <v/>
      </c>
      <c r="H30" s="4" t="str">
        <f t="shared" si="6"/>
        <v/>
      </c>
      <c r="I30" s="4" t="str">
        <f t="shared" si="3"/>
        <v/>
      </c>
    </row>
    <row r="31" spans="7:9" x14ac:dyDescent="0.3">
      <c r="G31" s="4" t="str">
        <f t="shared" si="5"/>
        <v/>
      </c>
      <c r="H31" s="4" t="str">
        <f t="shared" si="6"/>
        <v/>
      </c>
      <c r="I31" s="4" t="str">
        <f t="shared" si="3"/>
        <v/>
      </c>
    </row>
    <row r="32" spans="7:9" x14ac:dyDescent="0.3">
      <c r="G32" s="4" t="str">
        <f t="shared" si="5"/>
        <v/>
      </c>
      <c r="H32" s="4" t="str">
        <f t="shared" si="6"/>
        <v/>
      </c>
      <c r="I32" s="4" t="str">
        <f t="shared" si="3"/>
        <v/>
      </c>
    </row>
    <row r="33" spans="7:9" x14ac:dyDescent="0.3">
      <c r="G33" s="4" t="str">
        <f t="shared" si="5"/>
        <v/>
      </c>
      <c r="H33" s="4" t="str">
        <f t="shared" si="6"/>
        <v/>
      </c>
      <c r="I33" s="4" t="str">
        <f t="shared" si="3"/>
        <v/>
      </c>
    </row>
    <row r="34" spans="7:9" x14ac:dyDescent="0.3">
      <c r="G34" s="4" t="str">
        <f t="shared" si="5"/>
        <v/>
      </c>
      <c r="H34" s="4" t="str">
        <f t="shared" si="6"/>
        <v/>
      </c>
      <c r="I34" s="4" t="str">
        <f t="shared" si="3"/>
        <v/>
      </c>
    </row>
    <row r="35" spans="7:9" x14ac:dyDescent="0.3">
      <c r="G35" s="4" t="str">
        <f t="shared" si="5"/>
        <v/>
      </c>
      <c r="H35" s="4" t="str">
        <f t="shared" si="6"/>
        <v/>
      </c>
      <c r="I35" s="4" t="str">
        <f t="shared" si="3"/>
        <v/>
      </c>
    </row>
    <row r="36" spans="7:9" x14ac:dyDescent="0.3">
      <c r="G36" s="4" t="str">
        <f t="shared" si="5"/>
        <v/>
      </c>
      <c r="H36" s="4" t="str">
        <f t="shared" si="6"/>
        <v/>
      </c>
      <c r="I36" s="4" t="str">
        <f t="shared" si="3"/>
        <v/>
      </c>
    </row>
    <row r="37" spans="7:9" x14ac:dyDescent="0.3">
      <c r="G37" s="4" t="str">
        <f t="shared" si="5"/>
        <v/>
      </c>
      <c r="H37" s="4" t="str">
        <f t="shared" si="6"/>
        <v/>
      </c>
      <c r="I37" s="4" t="str">
        <f t="shared" si="3"/>
        <v/>
      </c>
    </row>
    <row r="38" spans="7:9" x14ac:dyDescent="0.3">
      <c r="G38" s="4" t="str">
        <f t="shared" si="5"/>
        <v/>
      </c>
      <c r="H38" s="4" t="str">
        <f t="shared" si="6"/>
        <v/>
      </c>
      <c r="I38" s="4" t="str">
        <f t="shared" si="3"/>
        <v/>
      </c>
    </row>
    <row r="39" spans="7:9" x14ac:dyDescent="0.3">
      <c r="G39" s="4" t="str">
        <f t="shared" si="5"/>
        <v/>
      </c>
      <c r="H39" s="4" t="str">
        <f t="shared" si="6"/>
        <v/>
      </c>
      <c r="I39" s="4" t="str">
        <f t="shared" si="3"/>
        <v/>
      </c>
    </row>
    <row r="40" spans="7:9" x14ac:dyDescent="0.3">
      <c r="G40" s="4" t="str">
        <f t="shared" si="5"/>
        <v/>
      </c>
      <c r="H40" s="4" t="str">
        <f t="shared" si="6"/>
        <v/>
      </c>
      <c r="I40" s="4" t="str">
        <f t="shared" si="3"/>
        <v/>
      </c>
    </row>
    <row r="41" spans="7:9" x14ac:dyDescent="0.3">
      <c r="G41" s="4" t="str">
        <f t="shared" si="5"/>
        <v/>
      </c>
      <c r="H41" s="4" t="str">
        <f t="shared" si="6"/>
        <v/>
      </c>
      <c r="I41" s="4" t="str">
        <f t="shared" si="3"/>
        <v/>
      </c>
    </row>
    <row r="42" spans="7:9" x14ac:dyDescent="0.3">
      <c r="G42" s="4" t="str">
        <f t="shared" si="5"/>
        <v/>
      </c>
      <c r="H42" s="4" t="str">
        <f t="shared" si="6"/>
        <v/>
      </c>
      <c r="I42" s="4" t="str">
        <f t="shared" si="3"/>
        <v/>
      </c>
    </row>
    <row r="43" spans="7:9" x14ac:dyDescent="0.3">
      <c r="G43" s="4" t="str">
        <f t="shared" si="5"/>
        <v/>
      </c>
      <c r="H43" s="4" t="str">
        <f t="shared" si="6"/>
        <v/>
      </c>
      <c r="I43" s="4" t="str">
        <f t="shared" si="3"/>
        <v/>
      </c>
    </row>
    <row r="44" spans="7:9" x14ac:dyDescent="0.3">
      <c r="G44" s="4" t="str">
        <f t="shared" si="5"/>
        <v/>
      </c>
      <c r="H44" s="4" t="str">
        <f t="shared" si="6"/>
        <v/>
      </c>
      <c r="I44" s="4" t="str">
        <f t="shared" si="3"/>
        <v/>
      </c>
    </row>
    <row r="45" spans="7:9" x14ac:dyDescent="0.3">
      <c r="G45" s="4" t="str">
        <f t="shared" si="5"/>
        <v/>
      </c>
      <c r="H45" s="4" t="str">
        <f t="shared" si="6"/>
        <v/>
      </c>
      <c r="I45" s="4" t="str">
        <f t="shared" si="3"/>
        <v/>
      </c>
    </row>
    <row r="46" spans="7:9" x14ac:dyDescent="0.3">
      <c r="G46" s="4" t="str">
        <f t="shared" si="5"/>
        <v/>
      </c>
      <c r="H46" s="4" t="str">
        <f t="shared" si="6"/>
        <v/>
      </c>
      <c r="I46" s="4" t="str">
        <f t="shared" si="3"/>
        <v/>
      </c>
    </row>
    <row r="47" spans="7:9" x14ac:dyDescent="0.3">
      <c r="G47" s="4" t="str">
        <f t="shared" si="5"/>
        <v/>
      </c>
      <c r="H47" s="4" t="str">
        <f t="shared" si="6"/>
        <v/>
      </c>
      <c r="I47" s="4" t="str">
        <f t="shared" si="3"/>
        <v/>
      </c>
    </row>
    <row r="48" spans="7:9" x14ac:dyDescent="0.3">
      <c r="G48" s="4" t="str">
        <f t="shared" si="5"/>
        <v/>
      </c>
      <c r="H48" s="4" t="str">
        <f t="shared" si="6"/>
        <v/>
      </c>
      <c r="I48" s="4" t="str">
        <f t="shared" si="3"/>
        <v/>
      </c>
    </row>
    <row r="49" spans="7:9" x14ac:dyDescent="0.3">
      <c r="G49" s="4" t="str">
        <f t="shared" si="5"/>
        <v/>
      </c>
      <c r="H49" s="4" t="str">
        <f t="shared" si="6"/>
        <v/>
      </c>
      <c r="I49" s="4" t="str">
        <f t="shared" si="3"/>
        <v/>
      </c>
    </row>
    <row r="50" spans="7:9" x14ac:dyDescent="0.3">
      <c r="G50" s="4" t="str">
        <f t="shared" si="5"/>
        <v/>
      </c>
      <c r="H50" s="4" t="str">
        <f t="shared" si="6"/>
        <v/>
      </c>
      <c r="I50" s="4" t="str">
        <f t="shared" si="3"/>
        <v/>
      </c>
    </row>
    <row r="51" spans="7:9" x14ac:dyDescent="0.3">
      <c r="G51" s="4" t="str">
        <f t="shared" si="5"/>
        <v/>
      </c>
      <c r="H51" s="4" t="str">
        <f t="shared" si="6"/>
        <v/>
      </c>
      <c r="I51" s="4" t="str">
        <f t="shared" si="3"/>
        <v/>
      </c>
    </row>
    <row r="52" spans="7:9" x14ac:dyDescent="0.3">
      <c r="G52" s="4" t="str">
        <f t="shared" si="5"/>
        <v/>
      </c>
      <c r="H52" s="4" t="str">
        <f t="shared" si="6"/>
        <v/>
      </c>
      <c r="I52" s="4" t="str">
        <f t="shared" si="3"/>
        <v/>
      </c>
    </row>
    <row r="53" spans="7:9" x14ac:dyDescent="0.3">
      <c r="G53" s="4" t="str">
        <f t="shared" si="5"/>
        <v/>
      </c>
      <c r="H53" s="4" t="str">
        <f t="shared" si="6"/>
        <v/>
      </c>
      <c r="I53" s="4" t="str">
        <f t="shared" si="3"/>
        <v/>
      </c>
    </row>
    <row r="54" spans="7:9" x14ac:dyDescent="0.3">
      <c r="G54" s="4" t="str">
        <f t="shared" si="5"/>
        <v/>
      </c>
      <c r="H54" s="4" t="str">
        <f t="shared" si="6"/>
        <v/>
      </c>
      <c r="I54" s="4" t="str">
        <f t="shared" si="3"/>
        <v/>
      </c>
    </row>
    <row r="55" spans="7:9" x14ac:dyDescent="0.3">
      <c r="G55" s="4" t="str">
        <f t="shared" si="5"/>
        <v/>
      </c>
      <c r="H55" s="4" t="str">
        <f t="shared" si="6"/>
        <v/>
      </c>
      <c r="I55" s="4" t="str">
        <f t="shared" si="3"/>
        <v/>
      </c>
    </row>
    <row r="56" spans="7:9" x14ac:dyDescent="0.3">
      <c r="G56" s="4" t="str">
        <f t="shared" si="5"/>
        <v/>
      </c>
      <c r="H56" s="4" t="str">
        <f t="shared" si="6"/>
        <v/>
      </c>
      <c r="I56" s="4" t="str">
        <f t="shared" si="3"/>
        <v/>
      </c>
    </row>
    <row r="57" spans="7:9" x14ac:dyDescent="0.3">
      <c r="G57" s="4" t="str">
        <f t="shared" si="5"/>
        <v/>
      </c>
      <c r="H57" s="4" t="str">
        <f t="shared" si="6"/>
        <v/>
      </c>
      <c r="I57" s="4" t="str">
        <f t="shared" si="3"/>
        <v/>
      </c>
    </row>
    <row r="58" spans="7:9" x14ac:dyDescent="0.3">
      <c r="G58" s="4" t="str">
        <f t="shared" si="5"/>
        <v/>
      </c>
      <c r="H58" s="4" t="str">
        <f t="shared" si="6"/>
        <v/>
      </c>
      <c r="I58" s="4" t="str">
        <f t="shared" si="3"/>
        <v/>
      </c>
    </row>
    <row r="59" spans="7:9" x14ac:dyDescent="0.3">
      <c r="G59" s="4" t="str">
        <f t="shared" si="5"/>
        <v/>
      </c>
      <c r="H59" s="4" t="str">
        <f t="shared" si="6"/>
        <v/>
      </c>
      <c r="I59" s="4" t="str">
        <f t="shared" si="3"/>
        <v/>
      </c>
    </row>
    <row r="60" spans="7:9" x14ac:dyDescent="0.3">
      <c r="G60" s="4" t="str">
        <f t="shared" si="5"/>
        <v/>
      </c>
      <c r="H60" s="4" t="str">
        <f t="shared" si="6"/>
        <v/>
      </c>
      <c r="I60" s="4" t="str">
        <f t="shared" si="3"/>
        <v/>
      </c>
    </row>
    <row r="61" spans="7:9" x14ac:dyDescent="0.3">
      <c r="G61" s="4" t="str">
        <f t="shared" si="5"/>
        <v/>
      </c>
      <c r="H61" s="4" t="str">
        <f t="shared" si="6"/>
        <v/>
      </c>
      <c r="I61" s="4" t="str">
        <f t="shared" si="3"/>
        <v/>
      </c>
    </row>
    <row r="62" spans="7:9" x14ac:dyDescent="0.3">
      <c r="G62" s="4" t="str">
        <f t="shared" si="5"/>
        <v/>
      </c>
      <c r="H62" s="4" t="str">
        <f t="shared" si="6"/>
        <v/>
      </c>
      <c r="I62" s="4" t="str">
        <f t="shared" si="3"/>
        <v/>
      </c>
    </row>
    <row r="63" spans="7:9" x14ac:dyDescent="0.3">
      <c r="G63" s="4" t="str">
        <f t="shared" si="5"/>
        <v/>
      </c>
      <c r="H63" s="4" t="str">
        <f t="shared" si="6"/>
        <v/>
      </c>
      <c r="I63" s="4" t="str">
        <f t="shared" si="3"/>
        <v/>
      </c>
    </row>
    <row r="64" spans="7:9" x14ac:dyDescent="0.3">
      <c r="G64" s="4" t="str">
        <f t="shared" si="5"/>
        <v/>
      </c>
      <c r="H64" s="4" t="str">
        <f t="shared" si="6"/>
        <v/>
      </c>
      <c r="I64" s="4" t="str">
        <f t="shared" si="3"/>
        <v/>
      </c>
    </row>
    <row r="65" spans="7:9" x14ac:dyDescent="0.3">
      <c r="G65" s="4" t="str">
        <f t="shared" ref="G65:G128" si="7">IF( IFERROR(FIND("A.",C65), 0) &gt; 0, TRIM(MID( C65, SEARCH("A.", C65)+2, 100)),TRIM(C65))</f>
        <v/>
      </c>
      <c r="H65" s="4" t="str">
        <f t="shared" ref="H65:H128" si="8">IF( IFERROR(FIND("B.",D65), 0) &gt; 0, TRIM(MID( D65, SEARCH("B.", D65)+2, 100)),TRIM(D65))</f>
        <v/>
      </c>
      <c r="I65" s="4" t="str">
        <f t="shared" si="3"/>
        <v/>
      </c>
    </row>
    <row r="66" spans="7:9" x14ac:dyDescent="0.3">
      <c r="G66" s="4" t="str">
        <f t="shared" si="7"/>
        <v/>
      </c>
      <c r="H66" s="4" t="str">
        <f t="shared" si="8"/>
        <v/>
      </c>
      <c r="I66" s="4" t="str">
        <f t="shared" si="3"/>
        <v/>
      </c>
    </row>
    <row r="67" spans="7:9" x14ac:dyDescent="0.3">
      <c r="G67" s="4" t="str">
        <f t="shared" si="7"/>
        <v/>
      </c>
      <c r="H67" s="4" t="str">
        <f t="shared" si="8"/>
        <v/>
      </c>
      <c r="I67" s="4" t="str">
        <f t="shared" si="3"/>
        <v/>
      </c>
    </row>
    <row r="68" spans="7:9" x14ac:dyDescent="0.3">
      <c r="G68" s="4" t="str">
        <f t="shared" si="7"/>
        <v/>
      </c>
      <c r="H68" s="4" t="str">
        <f t="shared" si="8"/>
        <v/>
      </c>
      <c r="I68" s="4" t="str">
        <f t="shared" ref="I68:I131" si="9">IF( IFERROR(FIND("C.",E68), 0) &gt; 0, TRIM(MID( E68, SEARCH("C.", E68)+2, 100)),TRIM(E68))</f>
        <v/>
      </c>
    </row>
    <row r="69" spans="7:9" x14ac:dyDescent="0.3">
      <c r="G69" s="4" t="str">
        <f t="shared" si="7"/>
        <v/>
      </c>
      <c r="H69" s="4" t="str">
        <f t="shared" si="8"/>
        <v/>
      </c>
      <c r="I69" s="4" t="str">
        <f t="shared" si="9"/>
        <v/>
      </c>
    </row>
    <row r="70" spans="7:9" x14ac:dyDescent="0.3">
      <c r="G70" s="4" t="str">
        <f t="shared" si="7"/>
        <v/>
      </c>
      <c r="H70" s="4" t="str">
        <f t="shared" si="8"/>
        <v/>
      </c>
      <c r="I70" s="4" t="str">
        <f t="shared" si="9"/>
        <v/>
      </c>
    </row>
    <row r="71" spans="7:9" x14ac:dyDescent="0.3">
      <c r="G71" s="4" t="str">
        <f t="shared" si="7"/>
        <v/>
      </c>
      <c r="H71" s="4" t="str">
        <f t="shared" si="8"/>
        <v/>
      </c>
      <c r="I71" s="4" t="str">
        <f t="shared" si="9"/>
        <v/>
      </c>
    </row>
    <row r="72" spans="7:9" x14ac:dyDescent="0.3">
      <c r="G72" s="4" t="str">
        <f t="shared" si="7"/>
        <v/>
      </c>
      <c r="H72" s="4" t="str">
        <f t="shared" si="8"/>
        <v/>
      </c>
      <c r="I72" s="4" t="str">
        <f t="shared" si="9"/>
        <v/>
      </c>
    </row>
    <row r="73" spans="7:9" x14ac:dyDescent="0.3">
      <c r="G73" s="4" t="str">
        <f t="shared" si="7"/>
        <v/>
      </c>
      <c r="H73" s="4" t="str">
        <f t="shared" si="8"/>
        <v/>
      </c>
      <c r="I73" s="4" t="str">
        <f t="shared" si="9"/>
        <v/>
      </c>
    </row>
    <row r="74" spans="7:9" x14ac:dyDescent="0.3">
      <c r="G74" s="4" t="str">
        <f t="shared" si="7"/>
        <v/>
      </c>
      <c r="H74" s="4" t="str">
        <f t="shared" si="8"/>
        <v/>
      </c>
      <c r="I74" s="4" t="str">
        <f t="shared" si="9"/>
        <v/>
      </c>
    </row>
    <row r="75" spans="7:9" x14ac:dyDescent="0.3">
      <c r="G75" s="4" t="str">
        <f t="shared" si="7"/>
        <v/>
      </c>
      <c r="H75" s="4" t="str">
        <f t="shared" si="8"/>
        <v/>
      </c>
      <c r="I75" s="4" t="str">
        <f t="shared" si="9"/>
        <v/>
      </c>
    </row>
    <row r="76" spans="7:9" x14ac:dyDescent="0.3">
      <c r="G76" s="4" t="str">
        <f t="shared" si="7"/>
        <v/>
      </c>
      <c r="H76" s="4" t="str">
        <f t="shared" si="8"/>
        <v/>
      </c>
      <c r="I76" s="4" t="str">
        <f t="shared" si="9"/>
        <v/>
      </c>
    </row>
    <row r="77" spans="7:9" x14ac:dyDescent="0.3">
      <c r="G77" s="4" t="str">
        <f t="shared" si="7"/>
        <v/>
      </c>
      <c r="H77" s="4" t="str">
        <f t="shared" si="8"/>
        <v/>
      </c>
      <c r="I77" s="4" t="str">
        <f t="shared" si="9"/>
        <v/>
      </c>
    </row>
    <row r="78" spans="7:9" x14ac:dyDescent="0.3">
      <c r="G78" s="4" t="str">
        <f t="shared" si="7"/>
        <v/>
      </c>
      <c r="H78" s="4" t="str">
        <f t="shared" si="8"/>
        <v/>
      </c>
      <c r="I78" s="4" t="str">
        <f t="shared" si="9"/>
        <v/>
      </c>
    </row>
    <row r="79" spans="7:9" x14ac:dyDescent="0.3">
      <c r="G79" s="4" t="str">
        <f t="shared" si="7"/>
        <v/>
      </c>
      <c r="H79" s="4" t="str">
        <f t="shared" si="8"/>
        <v/>
      </c>
      <c r="I79" s="4" t="str">
        <f t="shared" si="9"/>
        <v/>
      </c>
    </row>
    <row r="80" spans="7:9" x14ac:dyDescent="0.3">
      <c r="G80" s="4" t="str">
        <f t="shared" si="7"/>
        <v/>
      </c>
      <c r="H80" s="4" t="str">
        <f t="shared" si="8"/>
        <v/>
      </c>
      <c r="I80" s="4" t="str">
        <f t="shared" si="9"/>
        <v/>
      </c>
    </row>
    <row r="81" spans="7:9" x14ac:dyDescent="0.3">
      <c r="G81" s="4" t="str">
        <f t="shared" si="7"/>
        <v/>
      </c>
      <c r="H81" s="4" t="str">
        <f t="shared" si="8"/>
        <v/>
      </c>
      <c r="I81" s="4" t="str">
        <f t="shared" si="9"/>
        <v/>
      </c>
    </row>
    <row r="82" spans="7:9" x14ac:dyDescent="0.3">
      <c r="G82" s="4" t="str">
        <f t="shared" si="7"/>
        <v/>
      </c>
      <c r="H82" s="4" t="str">
        <f t="shared" si="8"/>
        <v/>
      </c>
      <c r="I82" s="4" t="str">
        <f t="shared" si="9"/>
        <v/>
      </c>
    </row>
    <row r="83" spans="7:9" x14ac:dyDescent="0.3">
      <c r="G83" s="4" t="str">
        <f t="shared" si="7"/>
        <v/>
      </c>
      <c r="H83" s="4" t="str">
        <f t="shared" si="8"/>
        <v/>
      </c>
      <c r="I83" s="4" t="str">
        <f t="shared" si="9"/>
        <v/>
      </c>
    </row>
    <row r="84" spans="7:9" x14ac:dyDescent="0.3">
      <c r="G84" s="4" t="str">
        <f t="shared" si="7"/>
        <v/>
      </c>
      <c r="H84" s="4" t="str">
        <f t="shared" si="8"/>
        <v/>
      </c>
      <c r="I84" s="4" t="str">
        <f t="shared" si="9"/>
        <v/>
      </c>
    </row>
    <row r="85" spans="7:9" x14ac:dyDescent="0.3">
      <c r="G85" s="4" t="str">
        <f t="shared" si="7"/>
        <v/>
      </c>
      <c r="H85" s="4" t="str">
        <f t="shared" si="8"/>
        <v/>
      </c>
      <c r="I85" s="4" t="str">
        <f t="shared" si="9"/>
        <v/>
      </c>
    </row>
    <row r="86" spans="7:9" x14ac:dyDescent="0.3">
      <c r="G86" s="4" t="str">
        <f t="shared" si="7"/>
        <v/>
      </c>
      <c r="H86" s="4" t="str">
        <f t="shared" si="8"/>
        <v/>
      </c>
      <c r="I86" s="4" t="str">
        <f t="shared" si="9"/>
        <v/>
      </c>
    </row>
    <row r="87" spans="7:9" x14ac:dyDescent="0.3">
      <c r="G87" s="4" t="str">
        <f t="shared" si="7"/>
        <v/>
      </c>
      <c r="H87" s="4" t="str">
        <f t="shared" si="8"/>
        <v/>
      </c>
      <c r="I87" s="4" t="str">
        <f t="shared" si="9"/>
        <v/>
      </c>
    </row>
    <row r="88" spans="7:9" x14ac:dyDescent="0.3">
      <c r="G88" s="4" t="str">
        <f t="shared" si="7"/>
        <v/>
      </c>
      <c r="H88" s="4" t="str">
        <f t="shared" si="8"/>
        <v/>
      </c>
      <c r="I88" s="4" t="str">
        <f t="shared" si="9"/>
        <v/>
      </c>
    </row>
    <row r="89" spans="7:9" x14ac:dyDescent="0.3">
      <c r="G89" s="4" t="str">
        <f t="shared" si="7"/>
        <v/>
      </c>
      <c r="H89" s="4" t="str">
        <f t="shared" si="8"/>
        <v/>
      </c>
      <c r="I89" s="4" t="str">
        <f t="shared" si="9"/>
        <v/>
      </c>
    </row>
    <row r="90" spans="7:9" x14ac:dyDescent="0.3">
      <c r="G90" s="4" t="str">
        <f t="shared" si="7"/>
        <v/>
      </c>
      <c r="H90" s="4" t="str">
        <f t="shared" si="8"/>
        <v/>
      </c>
      <c r="I90" s="4" t="str">
        <f t="shared" si="9"/>
        <v/>
      </c>
    </row>
    <row r="91" spans="7:9" x14ac:dyDescent="0.3">
      <c r="G91" s="4" t="str">
        <f t="shared" si="7"/>
        <v/>
      </c>
      <c r="H91" s="4" t="str">
        <f t="shared" si="8"/>
        <v/>
      </c>
      <c r="I91" s="4" t="str">
        <f t="shared" si="9"/>
        <v/>
      </c>
    </row>
    <row r="92" spans="7:9" x14ac:dyDescent="0.3">
      <c r="G92" s="4" t="str">
        <f t="shared" si="7"/>
        <v/>
      </c>
      <c r="H92" s="4" t="str">
        <f t="shared" si="8"/>
        <v/>
      </c>
      <c r="I92" s="4" t="str">
        <f t="shared" si="9"/>
        <v/>
      </c>
    </row>
    <row r="93" spans="7:9" x14ac:dyDescent="0.3">
      <c r="G93" s="4" t="str">
        <f t="shared" si="7"/>
        <v/>
      </c>
      <c r="H93" s="4" t="str">
        <f t="shared" si="8"/>
        <v/>
      </c>
      <c r="I93" s="4" t="str">
        <f t="shared" si="9"/>
        <v/>
      </c>
    </row>
    <row r="94" spans="7:9" x14ac:dyDescent="0.3">
      <c r="G94" s="4" t="str">
        <f t="shared" si="7"/>
        <v/>
      </c>
      <c r="H94" s="4" t="str">
        <f t="shared" si="8"/>
        <v/>
      </c>
      <c r="I94" s="4" t="str">
        <f t="shared" si="9"/>
        <v/>
      </c>
    </row>
    <row r="95" spans="7:9" x14ac:dyDescent="0.3">
      <c r="G95" s="4" t="str">
        <f t="shared" si="7"/>
        <v/>
      </c>
      <c r="H95" s="4" t="str">
        <f t="shared" si="8"/>
        <v/>
      </c>
      <c r="I95" s="4" t="str">
        <f t="shared" si="9"/>
        <v/>
      </c>
    </row>
    <row r="96" spans="7:9" x14ac:dyDescent="0.3">
      <c r="G96" s="4" t="str">
        <f t="shared" si="7"/>
        <v/>
      </c>
      <c r="H96" s="4" t="str">
        <f t="shared" si="8"/>
        <v/>
      </c>
      <c r="I96" s="4" t="str">
        <f t="shared" si="9"/>
        <v/>
      </c>
    </row>
    <row r="97" spans="7:9" x14ac:dyDescent="0.3">
      <c r="G97" s="4" t="str">
        <f t="shared" si="7"/>
        <v/>
      </c>
      <c r="H97" s="4" t="str">
        <f t="shared" si="8"/>
        <v/>
      </c>
      <c r="I97" s="4" t="str">
        <f t="shared" si="9"/>
        <v/>
      </c>
    </row>
    <row r="98" spans="7:9" x14ac:dyDescent="0.3">
      <c r="G98" s="4" t="str">
        <f t="shared" si="7"/>
        <v/>
      </c>
      <c r="H98" s="4" t="str">
        <f t="shared" si="8"/>
        <v/>
      </c>
      <c r="I98" s="4" t="str">
        <f t="shared" si="9"/>
        <v/>
      </c>
    </row>
    <row r="99" spans="7:9" x14ac:dyDescent="0.3">
      <c r="G99" s="4" t="str">
        <f t="shared" si="7"/>
        <v/>
      </c>
      <c r="H99" s="4" t="str">
        <f t="shared" si="8"/>
        <v/>
      </c>
      <c r="I99" s="4" t="str">
        <f t="shared" si="9"/>
        <v/>
      </c>
    </row>
    <row r="100" spans="7:9" x14ac:dyDescent="0.3">
      <c r="G100" s="4" t="str">
        <f t="shared" si="7"/>
        <v/>
      </c>
      <c r="H100" s="4" t="str">
        <f t="shared" si="8"/>
        <v/>
      </c>
      <c r="I100" s="4" t="str">
        <f t="shared" si="9"/>
        <v/>
      </c>
    </row>
    <row r="101" spans="7:9" x14ac:dyDescent="0.3">
      <c r="G101" s="4" t="str">
        <f t="shared" si="7"/>
        <v/>
      </c>
      <c r="H101" s="4" t="str">
        <f t="shared" si="8"/>
        <v/>
      </c>
      <c r="I101" s="4" t="str">
        <f t="shared" si="9"/>
        <v/>
      </c>
    </row>
    <row r="102" spans="7:9" x14ac:dyDescent="0.3">
      <c r="G102" s="4" t="str">
        <f t="shared" si="7"/>
        <v/>
      </c>
      <c r="H102" s="4" t="str">
        <f t="shared" si="8"/>
        <v/>
      </c>
      <c r="I102" s="4" t="str">
        <f t="shared" si="9"/>
        <v/>
      </c>
    </row>
    <row r="103" spans="7:9" x14ac:dyDescent="0.3">
      <c r="G103" s="4" t="str">
        <f t="shared" si="7"/>
        <v/>
      </c>
      <c r="H103" s="4" t="str">
        <f t="shared" si="8"/>
        <v/>
      </c>
      <c r="I103" s="4" t="str">
        <f t="shared" si="9"/>
        <v/>
      </c>
    </row>
    <row r="104" spans="7:9" x14ac:dyDescent="0.3">
      <c r="G104" s="4" t="str">
        <f t="shared" si="7"/>
        <v/>
      </c>
      <c r="H104" s="4" t="str">
        <f t="shared" si="8"/>
        <v/>
      </c>
      <c r="I104" s="4" t="str">
        <f t="shared" si="9"/>
        <v/>
      </c>
    </row>
    <row r="105" spans="7:9" x14ac:dyDescent="0.3">
      <c r="G105" s="4" t="str">
        <f t="shared" si="7"/>
        <v/>
      </c>
      <c r="H105" s="4" t="str">
        <f t="shared" si="8"/>
        <v/>
      </c>
      <c r="I105" s="4" t="str">
        <f t="shared" si="9"/>
        <v/>
      </c>
    </row>
    <row r="106" spans="7:9" x14ac:dyDescent="0.3">
      <c r="G106" s="4" t="str">
        <f t="shared" si="7"/>
        <v/>
      </c>
      <c r="H106" s="4" t="str">
        <f t="shared" si="8"/>
        <v/>
      </c>
      <c r="I106" s="4" t="str">
        <f t="shared" si="9"/>
        <v/>
      </c>
    </row>
    <row r="107" spans="7:9" x14ac:dyDescent="0.3">
      <c r="G107" s="4" t="str">
        <f t="shared" si="7"/>
        <v/>
      </c>
      <c r="H107" s="4" t="str">
        <f t="shared" si="8"/>
        <v/>
      </c>
      <c r="I107" s="4" t="str">
        <f t="shared" si="9"/>
        <v/>
      </c>
    </row>
    <row r="108" spans="7:9" x14ac:dyDescent="0.3">
      <c r="G108" s="4" t="str">
        <f t="shared" si="7"/>
        <v/>
      </c>
      <c r="H108" s="4" t="str">
        <f t="shared" si="8"/>
        <v/>
      </c>
      <c r="I108" s="4" t="str">
        <f t="shared" si="9"/>
        <v/>
      </c>
    </row>
    <row r="109" spans="7:9" x14ac:dyDescent="0.3">
      <c r="G109" s="4" t="str">
        <f t="shared" si="7"/>
        <v/>
      </c>
      <c r="H109" s="4" t="str">
        <f t="shared" si="8"/>
        <v/>
      </c>
      <c r="I109" s="4" t="str">
        <f t="shared" si="9"/>
        <v/>
      </c>
    </row>
    <row r="110" spans="7:9" x14ac:dyDescent="0.3">
      <c r="G110" s="4" t="str">
        <f t="shared" si="7"/>
        <v/>
      </c>
      <c r="H110" s="4" t="str">
        <f t="shared" si="8"/>
        <v/>
      </c>
      <c r="I110" s="4" t="str">
        <f t="shared" si="9"/>
        <v/>
      </c>
    </row>
    <row r="111" spans="7:9" x14ac:dyDescent="0.3">
      <c r="G111" s="4" t="str">
        <f t="shared" si="7"/>
        <v/>
      </c>
      <c r="H111" s="4" t="str">
        <f t="shared" si="8"/>
        <v/>
      </c>
      <c r="I111" s="4" t="str">
        <f t="shared" si="9"/>
        <v/>
      </c>
    </row>
    <row r="112" spans="7:9" x14ac:dyDescent="0.3">
      <c r="G112" s="4" t="str">
        <f t="shared" si="7"/>
        <v/>
      </c>
      <c r="H112" s="4" t="str">
        <f t="shared" si="8"/>
        <v/>
      </c>
      <c r="I112" s="4" t="str">
        <f t="shared" si="9"/>
        <v/>
      </c>
    </row>
    <row r="113" spans="7:9" x14ac:dyDescent="0.3">
      <c r="G113" s="4" t="str">
        <f t="shared" si="7"/>
        <v/>
      </c>
      <c r="H113" s="4" t="str">
        <f t="shared" si="8"/>
        <v/>
      </c>
      <c r="I113" s="4" t="str">
        <f t="shared" si="9"/>
        <v/>
      </c>
    </row>
    <row r="114" spans="7:9" x14ac:dyDescent="0.3">
      <c r="G114" s="4" t="str">
        <f t="shared" si="7"/>
        <v/>
      </c>
      <c r="H114" s="4" t="str">
        <f t="shared" si="8"/>
        <v/>
      </c>
      <c r="I114" s="4" t="str">
        <f t="shared" si="9"/>
        <v/>
      </c>
    </row>
    <row r="115" spans="7:9" x14ac:dyDescent="0.3">
      <c r="G115" s="4" t="str">
        <f t="shared" si="7"/>
        <v/>
      </c>
      <c r="H115" s="4" t="str">
        <f t="shared" si="8"/>
        <v/>
      </c>
      <c r="I115" s="4" t="str">
        <f t="shared" si="9"/>
        <v/>
      </c>
    </row>
    <row r="116" spans="7:9" x14ac:dyDescent="0.3">
      <c r="G116" s="4" t="str">
        <f t="shared" si="7"/>
        <v/>
      </c>
      <c r="H116" s="4" t="str">
        <f t="shared" si="8"/>
        <v/>
      </c>
      <c r="I116" s="4" t="str">
        <f t="shared" si="9"/>
        <v/>
      </c>
    </row>
    <row r="117" spans="7:9" x14ac:dyDescent="0.3">
      <c r="G117" s="4" t="str">
        <f t="shared" si="7"/>
        <v/>
      </c>
      <c r="H117" s="4" t="str">
        <f t="shared" si="8"/>
        <v/>
      </c>
      <c r="I117" s="4" t="str">
        <f t="shared" si="9"/>
        <v/>
      </c>
    </row>
    <row r="118" spans="7:9" x14ac:dyDescent="0.3">
      <c r="G118" s="4" t="str">
        <f t="shared" si="7"/>
        <v/>
      </c>
      <c r="H118" s="4" t="str">
        <f t="shared" si="8"/>
        <v/>
      </c>
      <c r="I118" s="4" t="str">
        <f t="shared" si="9"/>
        <v/>
      </c>
    </row>
    <row r="119" spans="7:9" x14ac:dyDescent="0.3">
      <c r="G119" s="4" t="str">
        <f t="shared" si="7"/>
        <v/>
      </c>
      <c r="H119" s="4" t="str">
        <f t="shared" si="8"/>
        <v/>
      </c>
      <c r="I119" s="4" t="str">
        <f t="shared" si="9"/>
        <v/>
      </c>
    </row>
    <row r="120" spans="7:9" x14ac:dyDescent="0.3">
      <c r="G120" s="4" t="str">
        <f t="shared" si="7"/>
        <v/>
      </c>
      <c r="H120" s="4" t="str">
        <f t="shared" si="8"/>
        <v/>
      </c>
      <c r="I120" s="4" t="str">
        <f t="shared" si="9"/>
        <v/>
      </c>
    </row>
    <row r="121" spans="7:9" x14ac:dyDescent="0.3">
      <c r="G121" s="4" t="str">
        <f t="shared" si="7"/>
        <v/>
      </c>
      <c r="H121" s="4" t="str">
        <f t="shared" si="8"/>
        <v/>
      </c>
      <c r="I121" s="4" t="str">
        <f t="shared" si="9"/>
        <v/>
      </c>
    </row>
    <row r="122" spans="7:9" x14ac:dyDescent="0.3">
      <c r="G122" s="4" t="str">
        <f t="shared" si="7"/>
        <v/>
      </c>
      <c r="H122" s="4" t="str">
        <f t="shared" si="8"/>
        <v/>
      </c>
      <c r="I122" s="4" t="str">
        <f t="shared" si="9"/>
        <v/>
      </c>
    </row>
    <row r="123" spans="7:9" x14ac:dyDescent="0.3">
      <c r="G123" s="4" t="str">
        <f t="shared" si="7"/>
        <v/>
      </c>
      <c r="H123" s="4" t="str">
        <f t="shared" si="8"/>
        <v/>
      </c>
      <c r="I123" s="4" t="str">
        <f t="shared" si="9"/>
        <v/>
      </c>
    </row>
    <row r="124" spans="7:9" x14ac:dyDescent="0.3">
      <c r="G124" s="4" t="str">
        <f t="shared" si="7"/>
        <v/>
      </c>
      <c r="H124" s="4" t="str">
        <f t="shared" si="8"/>
        <v/>
      </c>
      <c r="I124" s="4" t="str">
        <f t="shared" si="9"/>
        <v/>
      </c>
    </row>
    <row r="125" spans="7:9" x14ac:dyDescent="0.3">
      <c r="G125" s="4" t="str">
        <f t="shared" si="7"/>
        <v/>
      </c>
      <c r="H125" s="4" t="str">
        <f t="shared" si="8"/>
        <v/>
      </c>
      <c r="I125" s="4" t="str">
        <f t="shared" si="9"/>
        <v/>
      </c>
    </row>
    <row r="126" spans="7:9" x14ac:dyDescent="0.3">
      <c r="G126" s="4" t="str">
        <f t="shared" si="7"/>
        <v/>
      </c>
      <c r="H126" s="4" t="str">
        <f t="shared" si="8"/>
        <v/>
      </c>
      <c r="I126" s="4" t="str">
        <f t="shared" si="9"/>
        <v/>
      </c>
    </row>
    <row r="127" spans="7:9" x14ac:dyDescent="0.3">
      <c r="G127" s="4" t="str">
        <f t="shared" si="7"/>
        <v/>
      </c>
      <c r="H127" s="4" t="str">
        <f t="shared" si="8"/>
        <v/>
      </c>
      <c r="I127" s="4" t="str">
        <f t="shared" si="9"/>
        <v/>
      </c>
    </row>
    <row r="128" spans="7:9" x14ac:dyDescent="0.3">
      <c r="G128" s="4" t="str">
        <f t="shared" si="7"/>
        <v/>
      </c>
      <c r="H128" s="4" t="str">
        <f t="shared" si="8"/>
        <v/>
      </c>
      <c r="I128" s="4" t="str">
        <f t="shared" si="9"/>
        <v/>
      </c>
    </row>
    <row r="129" spans="7:9" x14ac:dyDescent="0.3">
      <c r="G129" s="4" t="str">
        <f t="shared" ref="G129:G134" si="10">IF( IFERROR(FIND("A.",C129), 0) &gt; 0, TRIM(MID( C129, SEARCH("A.", C129)+2, 100)),TRIM(C129))</f>
        <v/>
      </c>
      <c r="H129" s="4" t="str">
        <f t="shared" ref="H129:H134" si="11">IF( IFERROR(FIND("B.",D129), 0) &gt; 0, TRIM(MID( D129, SEARCH("B.", D129)+2, 100)),TRIM(D129))</f>
        <v/>
      </c>
      <c r="I129" s="4" t="str">
        <f t="shared" si="9"/>
        <v/>
      </c>
    </row>
    <row r="130" spans="7:9" x14ac:dyDescent="0.3">
      <c r="G130" s="4" t="str">
        <f t="shared" si="10"/>
        <v/>
      </c>
      <c r="H130" s="4" t="str">
        <f t="shared" si="11"/>
        <v/>
      </c>
      <c r="I130" s="4" t="str">
        <f t="shared" si="9"/>
        <v/>
      </c>
    </row>
    <row r="131" spans="7:9" x14ac:dyDescent="0.3">
      <c r="G131" s="4" t="str">
        <f t="shared" si="10"/>
        <v/>
      </c>
      <c r="H131" s="4" t="str">
        <f t="shared" si="11"/>
        <v/>
      </c>
      <c r="I131" s="4" t="str">
        <f t="shared" si="9"/>
        <v/>
      </c>
    </row>
    <row r="132" spans="7:9" x14ac:dyDescent="0.3">
      <c r="G132" s="4" t="str">
        <f t="shared" si="10"/>
        <v/>
      </c>
      <c r="H132" s="4" t="str">
        <f t="shared" si="11"/>
        <v/>
      </c>
      <c r="I132" s="4" t="str">
        <f t="shared" ref="I132:I134" si="12">IF( IFERROR(FIND("C.",E132), 0) &gt; 0, TRIM(MID( E132, SEARCH("C.", E132)+2, 100)),TRIM(E132))</f>
        <v/>
      </c>
    </row>
    <row r="133" spans="7:9" x14ac:dyDescent="0.3">
      <c r="G133" s="4" t="str">
        <f t="shared" si="10"/>
        <v/>
      </c>
      <c r="H133" s="4" t="str">
        <f t="shared" si="11"/>
        <v/>
      </c>
      <c r="I133" s="4" t="str">
        <f t="shared" si="12"/>
        <v/>
      </c>
    </row>
    <row r="134" spans="7:9" x14ac:dyDescent="0.3">
      <c r="G134" s="4" t="str">
        <f t="shared" si="10"/>
        <v/>
      </c>
      <c r="H134" s="4" t="str">
        <f t="shared" si="11"/>
        <v/>
      </c>
      <c r="I134" s="4" t="str">
        <f t="shared" si="12"/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2"/>
  <sheetViews>
    <sheetView zoomScale="70" zoomScaleNormal="70" workbookViewId="0">
      <selection activeCell="C1" sqref="C1:G12"/>
    </sheetView>
  </sheetViews>
  <sheetFormatPr defaultRowHeight="16.5" x14ac:dyDescent="0.3"/>
  <cols>
    <col min="1" max="1" width="69" style="1" customWidth="1"/>
    <col min="3" max="3" width="40.5" bestFit="1" customWidth="1"/>
  </cols>
  <sheetData>
    <row r="1" spans="1:8" ht="30" x14ac:dyDescent="0.3">
      <c r="A1" s="2" t="s">
        <v>1</v>
      </c>
      <c r="B1" s="3"/>
      <c r="C1" s="3" t="str">
        <f>MID(A1, FIND("1.", A1) + 2, 9999)</f>
        <v xml:space="preserve"> 호미로 막을 일 (   )로 막는다. 빈칸에 들어갈 올바른 말은?</v>
      </c>
      <c r="D1" s="3" t="str">
        <f>A3</f>
        <v>A.  가래</v>
      </c>
      <c r="E1" s="6" t="str">
        <f>A4</f>
        <v>B.  닭발</v>
      </c>
      <c r="F1" s="6" t="str">
        <f>A5</f>
        <v>C.  두꺼비</v>
      </c>
      <c r="G1" s="7">
        <v>0</v>
      </c>
    </row>
    <row r="2" spans="1:8" ht="45" x14ac:dyDescent="0.3">
      <c r="A2"/>
      <c r="B2" s="3"/>
      <c r="C2" s="3" t="str">
        <f>MID(A8, FIND("2.", A8) + 2, 9999)</f>
        <v xml:space="preserve"> 제1회 올림픽이 개최된 곳은?</v>
      </c>
      <c r="D2" s="3" t="str">
        <f>A10</f>
        <v>A.  바르셀로나</v>
      </c>
      <c r="E2" s="3" t="str">
        <f>A11</f>
        <v>B.  서울</v>
      </c>
      <c r="F2" s="3" t="str">
        <f>A12</f>
        <v>C.  아테네</v>
      </c>
      <c r="G2">
        <v>2</v>
      </c>
      <c r="H2" s="7"/>
    </row>
    <row r="3" spans="1:8" ht="30" x14ac:dyDescent="0.3">
      <c r="A3" s="9" t="s">
        <v>2</v>
      </c>
      <c r="B3" s="3"/>
      <c r="C3" s="3" t="str">
        <f>MID(A15, FIND("3.", A15) + 2, 9999)</f>
        <v xml:space="preserve"> 셀프 제모 시 피해야 할 행동은?</v>
      </c>
      <c r="D3" s="3" t="str">
        <f>A17</f>
        <v>A.  제모 전 손을 깨끗이 씻는다</v>
      </c>
      <c r="E3" s="3" t="str">
        <f>A18</f>
        <v>B.  제모 후 바로 자외선에 노출시킨다</v>
      </c>
      <c r="F3" s="3" t="str">
        <f>A19</f>
        <v>C.  제모 도구를 소독 후 사용한다</v>
      </c>
      <c r="G3">
        <v>1</v>
      </c>
      <c r="H3" s="7"/>
    </row>
    <row r="4" spans="1:8" ht="54.75" customHeight="1" x14ac:dyDescent="0.3">
      <c r="A4" s="9" t="s">
        <v>3</v>
      </c>
      <c r="B4" s="3"/>
      <c r="C4" s="3" t="str">
        <f>MID(A22, FIND("4.", A22) + 2, 9999)</f>
        <v xml:space="preserve"> 단군 왕검이 세운 고조선의 수도는?</v>
      </c>
      <c r="D4" s="3" t="str">
        <f>A24</f>
        <v>A.  개성</v>
      </c>
      <c r="E4" s="3" t="str">
        <f>A25</f>
        <v>B.  기장</v>
      </c>
      <c r="F4" s="3" t="str">
        <f>A26</f>
        <v>C.  아사달</v>
      </c>
      <c r="G4">
        <v>2</v>
      </c>
      <c r="H4" s="7"/>
    </row>
    <row r="5" spans="1:8" ht="30" x14ac:dyDescent="0.3">
      <c r="A5" s="9" t="s">
        <v>4</v>
      </c>
      <c r="B5" s="3"/>
      <c r="C5" s="3" t="str">
        <f>MID(A29, FIND("5.", A29) + 2, 9999)</f>
        <v xml:space="preserve"> 두피 부근 머리가 기름기에 볼품없이 뭉쳤을 때 물 없이 머리를 감은 듯한 효과를 주는 제품은?</v>
      </c>
      <c r="D5" s="3" t="str">
        <f>A31</f>
        <v>A.  카페인샴푸</v>
      </c>
      <c r="E5" s="3" t="str">
        <f>A32</f>
        <v>B.  드라이샴푸</v>
      </c>
      <c r="F5" s="3" t="str">
        <f>A33</f>
        <v>C.  스케일링샴푸</v>
      </c>
      <c r="G5">
        <v>1</v>
      </c>
      <c r="H5" s="7"/>
    </row>
    <row r="6" spans="1:8" ht="30" x14ac:dyDescent="0.3">
      <c r="A6"/>
      <c r="B6" s="3"/>
      <c r="C6" s="3" t="str">
        <f>MID(A36, FIND("6.", A36) + 2, 9999)</f>
        <v xml:space="preserve"> 피자의 형태를 유지하기 위해 사용하는 플라스틱 지지대의 이름은?</v>
      </c>
      <c r="D6" s="3" t="str">
        <f>A38</f>
        <v>A.  피자 세이버</v>
      </c>
      <c r="E6" s="3" t="str">
        <f>A39</f>
        <v>B.  피자 트레이</v>
      </c>
      <c r="F6" s="3" t="str">
        <f>A40</f>
        <v>C.  피자 스토퍼</v>
      </c>
      <c r="G6">
        <v>0</v>
      </c>
      <c r="H6" s="7"/>
    </row>
    <row r="7" spans="1:8" ht="45" x14ac:dyDescent="0.3">
      <c r="A7"/>
      <c r="B7" s="3"/>
      <c r="C7" s="3" t="str">
        <f>MID(A43, FIND("7.", A43) + 2, 9999)</f>
        <v xml:space="preserve"> 과일 특성상 농약을 치지않는 과일은?</v>
      </c>
      <c r="D7" s="3" t="str">
        <f>A45</f>
        <v>A.  레몬</v>
      </c>
      <c r="E7" s="3" t="str">
        <f>A46</f>
        <v>B.  무화과</v>
      </c>
      <c r="F7" s="3" t="str">
        <f>A47</f>
        <v>C.  망고</v>
      </c>
      <c r="G7">
        <v>1</v>
      </c>
      <c r="H7" s="7"/>
    </row>
    <row r="8" spans="1:8" ht="30" x14ac:dyDescent="0.3">
      <c r="A8" s="2" t="s">
        <v>5</v>
      </c>
      <c r="B8" s="3"/>
      <c r="C8" s="3" t="str">
        <f>MID(A50, FIND("8.", A50) + 2, 9999)</f>
        <v xml:space="preserve"> 세계 최초로 일기예보를 시작한 나라는?</v>
      </c>
      <c r="D8" s="3" t="str">
        <f>A52</f>
        <v>A.  프랑스</v>
      </c>
      <c r="E8" s="3" t="str">
        <f>A53</f>
        <v>B.  러시아</v>
      </c>
      <c r="F8" s="3" t="str">
        <f>A54</f>
        <v>C.  중국</v>
      </c>
      <c r="G8">
        <v>0</v>
      </c>
      <c r="H8" s="7"/>
    </row>
    <row r="9" spans="1:8" ht="75" x14ac:dyDescent="0.3">
      <c r="A9"/>
      <c r="B9" s="3"/>
      <c r="C9" s="3" t="str">
        <f>MID(A57, FIND("9.", A57) + 2, 9999)</f>
        <v xml:space="preserve"> 우리나라에서 '상실의 시대'로 출간된 무라카미 하루키의 소설 원제는?</v>
      </c>
      <c r="D9" s="3" t="str">
        <f>A59</f>
        <v>A.  어둠의 저편</v>
      </c>
      <c r="E9" s="3" t="str">
        <f>A60</f>
        <v>B.  냉정과 열정 사이</v>
      </c>
      <c r="F9" s="3" t="str">
        <f>A61</f>
        <v>C.  노르웨이의 숲</v>
      </c>
      <c r="G9">
        <v>2</v>
      </c>
      <c r="H9" s="7"/>
    </row>
    <row r="10" spans="1:8" ht="30" x14ac:dyDescent="0.3">
      <c r="A10" s="9" t="s">
        <v>6</v>
      </c>
      <c r="B10" s="3"/>
      <c r="C10" s="3" t="str">
        <f>MID(A64, FIND("10.", A64) + 3, 9999)</f>
        <v xml:space="preserve"> 우리나라 최초로 프리메라리가에 진출한 축구 선수는?</v>
      </c>
      <c r="D10" s="3" t="str">
        <f>A66</f>
        <v>A.  박지성</v>
      </c>
      <c r="E10" s="3" t="str">
        <f>A67</f>
        <v>B.  이천수</v>
      </c>
      <c r="F10" s="3" t="str">
        <f>A68</f>
        <v>C.  손흥민</v>
      </c>
      <c r="G10">
        <v>1</v>
      </c>
      <c r="H10" s="7"/>
    </row>
    <row r="11" spans="1:8" ht="45" x14ac:dyDescent="0.3">
      <c r="A11" s="9" t="s">
        <v>7</v>
      </c>
      <c r="B11" s="3"/>
      <c r="C11" s="3" t="str">
        <f>MID(A71, FIND("11.", A71) + 3, 9999)</f>
        <v xml:space="preserve"> 신사 숙녀 중, 신사의 '신'이 의미하는 것은?</v>
      </c>
      <c r="D11" s="3" t="str">
        <f>A73</f>
        <v>A.  모자</v>
      </c>
      <c r="E11" s="3" t="str">
        <f>A74</f>
        <v>B.  신발</v>
      </c>
      <c r="F11" s="3" t="str">
        <f>A75</f>
        <v>C.  허리띠</v>
      </c>
      <c r="G11">
        <v>2</v>
      </c>
      <c r="H11" s="7"/>
    </row>
    <row r="12" spans="1:8" ht="75" x14ac:dyDescent="0.3">
      <c r="A12" s="9" t="s">
        <v>8</v>
      </c>
      <c r="B12" s="3"/>
      <c r="C12" s="3" t="str">
        <f>MID(A78, FIND("12.", A78) + 3, 9999)</f>
        <v xml:space="preserve"> 다음 중 지상파 방송3사 연기대상을 가장 많이받은 배우는?</v>
      </c>
      <c r="D12" s="3" t="str">
        <f>A80</f>
        <v>A.  김혜자</v>
      </c>
      <c r="E12" s="3" t="str">
        <f>A81</f>
        <v>B.  유동근</v>
      </c>
      <c r="F12" s="3" t="str">
        <f>A82</f>
        <v>C.  최수종</v>
      </c>
      <c r="G12">
        <v>0</v>
      </c>
      <c r="H12" s="7"/>
    </row>
    <row r="13" spans="1:8" x14ac:dyDescent="0.3">
      <c r="A13"/>
      <c r="C13" s="8" t="s">
        <v>0</v>
      </c>
    </row>
    <row r="14" spans="1:8" x14ac:dyDescent="0.3">
      <c r="A14"/>
      <c r="C14" s="8"/>
    </row>
    <row r="15" spans="1:8" x14ac:dyDescent="0.3">
      <c r="A15" s="2" t="s">
        <v>9</v>
      </c>
    </row>
    <row r="16" spans="1:8" x14ac:dyDescent="0.3">
      <c r="A16"/>
    </row>
    <row r="17" spans="1:1" x14ac:dyDescent="0.3">
      <c r="A17" s="9" t="s">
        <v>10</v>
      </c>
    </row>
    <row r="18" spans="1:1" x14ac:dyDescent="0.3">
      <c r="A18" s="9" t="s">
        <v>11</v>
      </c>
    </row>
    <row r="19" spans="1:1" x14ac:dyDescent="0.3">
      <c r="A19" s="9" t="s">
        <v>12</v>
      </c>
    </row>
    <row r="20" spans="1:1" x14ac:dyDescent="0.3">
      <c r="A20"/>
    </row>
    <row r="21" spans="1:1" x14ac:dyDescent="0.3">
      <c r="A21"/>
    </row>
    <row r="22" spans="1:1" x14ac:dyDescent="0.3">
      <c r="A22" s="2" t="s">
        <v>13</v>
      </c>
    </row>
    <row r="23" spans="1:1" x14ac:dyDescent="0.3">
      <c r="A23"/>
    </row>
    <row r="24" spans="1:1" x14ac:dyDescent="0.3">
      <c r="A24" s="9" t="s">
        <v>14</v>
      </c>
    </row>
    <row r="25" spans="1:1" x14ac:dyDescent="0.3">
      <c r="A25" s="9" t="s">
        <v>15</v>
      </c>
    </row>
    <row r="26" spans="1:1" x14ac:dyDescent="0.3">
      <c r="A26" s="9" t="s">
        <v>16</v>
      </c>
    </row>
    <row r="27" spans="1:1" x14ac:dyDescent="0.3">
      <c r="A27"/>
    </row>
    <row r="28" spans="1:1" x14ac:dyDescent="0.3">
      <c r="A28"/>
    </row>
    <row r="29" spans="1:1" ht="31.5" x14ac:dyDescent="0.3">
      <c r="A29" s="2" t="s">
        <v>17</v>
      </c>
    </row>
    <row r="30" spans="1:1" x14ac:dyDescent="0.3">
      <c r="A30"/>
    </row>
    <row r="31" spans="1:1" x14ac:dyDescent="0.3">
      <c r="A31" s="9" t="s">
        <v>18</v>
      </c>
    </row>
    <row r="32" spans="1:1" x14ac:dyDescent="0.3">
      <c r="A32" s="9" t="s">
        <v>19</v>
      </c>
    </row>
    <row r="33" spans="1:1" x14ac:dyDescent="0.3">
      <c r="A33" s="9" t="s">
        <v>20</v>
      </c>
    </row>
    <row r="34" spans="1:1" x14ac:dyDescent="0.3">
      <c r="A34"/>
    </row>
    <row r="35" spans="1:1" x14ac:dyDescent="0.3">
      <c r="A35"/>
    </row>
    <row r="36" spans="1:1" x14ac:dyDescent="0.3">
      <c r="A36" s="2" t="s">
        <v>21</v>
      </c>
    </row>
    <row r="37" spans="1:1" x14ac:dyDescent="0.3">
      <c r="A37"/>
    </row>
    <row r="38" spans="1:1" x14ac:dyDescent="0.3">
      <c r="A38" s="9" t="s">
        <v>22</v>
      </c>
    </row>
    <row r="39" spans="1:1" x14ac:dyDescent="0.3">
      <c r="A39" s="9" t="s">
        <v>23</v>
      </c>
    </row>
    <row r="40" spans="1:1" x14ac:dyDescent="0.3">
      <c r="A40" s="9" t="s">
        <v>24</v>
      </c>
    </row>
    <row r="41" spans="1:1" x14ac:dyDescent="0.3">
      <c r="A41"/>
    </row>
    <row r="42" spans="1:1" x14ac:dyDescent="0.3">
      <c r="A42"/>
    </row>
    <row r="43" spans="1:1" x14ac:dyDescent="0.3">
      <c r="A43" s="2" t="s">
        <v>25</v>
      </c>
    </row>
    <row r="44" spans="1:1" x14ac:dyDescent="0.3">
      <c r="A44"/>
    </row>
    <row r="45" spans="1:1" x14ac:dyDescent="0.3">
      <c r="A45" s="9" t="s">
        <v>26</v>
      </c>
    </row>
    <row r="46" spans="1:1" x14ac:dyDescent="0.3">
      <c r="A46" s="9" t="s">
        <v>27</v>
      </c>
    </row>
    <row r="47" spans="1:1" x14ac:dyDescent="0.3">
      <c r="A47" s="9" t="s">
        <v>28</v>
      </c>
    </row>
    <row r="48" spans="1:1" x14ac:dyDescent="0.3">
      <c r="A48"/>
    </row>
    <row r="49" spans="1:1" x14ac:dyDescent="0.3">
      <c r="A49"/>
    </row>
    <row r="50" spans="1:1" x14ac:dyDescent="0.3">
      <c r="A50" s="2" t="s">
        <v>29</v>
      </c>
    </row>
    <row r="51" spans="1:1" x14ac:dyDescent="0.3">
      <c r="A51"/>
    </row>
    <row r="52" spans="1:1" x14ac:dyDescent="0.3">
      <c r="A52" s="9" t="s">
        <v>30</v>
      </c>
    </row>
    <row r="53" spans="1:1" x14ac:dyDescent="0.3">
      <c r="A53" s="9" t="s">
        <v>31</v>
      </c>
    </row>
    <row r="54" spans="1:1" x14ac:dyDescent="0.3">
      <c r="A54" s="9" t="s">
        <v>32</v>
      </c>
    </row>
    <row r="55" spans="1:1" x14ac:dyDescent="0.3">
      <c r="A55"/>
    </row>
    <row r="56" spans="1:1" x14ac:dyDescent="0.3">
      <c r="A56"/>
    </row>
    <row r="57" spans="1:1" x14ac:dyDescent="0.3">
      <c r="A57" s="2" t="s">
        <v>33</v>
      </c>
    </row>
    <row r="58" spans="1:1" x14ac:dyDescent="0.3">
      <c r="A58"/>
    </row>
    <row r="59" spans="1:1" x14ac:dyDescent="0.3">
      <c r="A59" s="9" t="s">
        <v>34</v>
      </c>
    </row>
    <row r="60" spans="1:1" x14ac:dyDescent="0.3">
      <c r="A60" s="9" t="s">
        <v>35</v>
      </c>
    </row>
    <row r="61" spans="1:1" x14ac:dyDescent="0.3">
      <c r="A61" s="9" t="s">
        <v>36</v>
      </c>
    </row>
    <row r="62" spans="1:1" x14ac:dyDescent="0.3">
      <c r="A62"/>
    </row>
    <row r="63" spans="1:1" x14ac:dyDescent="0.3">
      <c r="A63"/>
    </row>
    <row r="64" spans="1:1" x14ac:dyDescent="0.3">
      <c r="A64" s="2" t="s">
        <v>37</v>
      </c>
    </row>
    <row r="65" spans="1:1" x14ac:dyDescent="0.3">
      <c r="A65"/>
    </row>
    <row r="66" spans="1:1" x14ac:dyDescent="0.3">
      <c r="A66" s="9" t="s">
        <v>38</v>
      </c>
    </row>
    <row r="67" spans="1:1" x14ac:dyDescent="0.3">
      <c r="A67" s="9" t="s">
        <v>39</v>
      </c>
    </row>
    <row r="68" spans="1:1" x14ac:dyDescent="0.3">
      <c r="A68" s="9" t="s">
        <v>40</v>
      </c>
    </row>
    <row r="69" spans="1:1" x14ac:dyDescent="0.3">
      <c r="A69"/>
    </row>
    <row r="70" spans="1:1" x14ac:dyDescent="0.3">
      <c r="A70"/>
    </row>
    <row r="71" spans="1:1" x14ac:dyDescent="0.3">
      <c r="A71" s="2" t="s">
        <v>41</v>
      </c>
    </row>
    <row r="72" spans="1:1" x14ac:dyDescent="0.3">
      <c r="A72"/>
    </row>
    <row r="73" spans="1:1" x14ac:dyDescent="0.3">
      <c r="A73" s="9" t="s">
        <v>42</v>
      </c>
    </row>
    <row r="74" spans="1:1" x14ac:dyDescent="0.3">
      <c r="A74" s="9" t="s">
        <v>43</v>
      </c>
    </row>
    <row r="75" spans="1:1" x14ac:dyDescent="0.3">
      <c r="A75" s="9" t="s">
        <v>44</v>
      </c>
    </row>
    <row r="76" spans="1:1" x14ac:dyDescent="0.3">
      <c r="A76"/>
    </row>
    <row r="77" spans="1:1" x14ac:dyDescent="0.3">
      <c r="A77"/>
    </row>
    <row r="78" spans="1:1" x14ac:dyDescent="0.3">
      <c r="A78" s="2" t="s">
        <v>45</v>
      </c>
    </row>
    <row r="79" spans="1:1" x14ac:dyDescent="0.3">
      <c r="A79"/>
    </row>
    <row r="80" spans="1:1" x14ac:dyDescent="0.3">
      <c r="A80" s="9" t="s">
        <v>46</v>
      </c>
    </row>
    <row r="81" spans="1:1" x14ac:dyDescent="0.3">
      <c r="A81" s="9" t="s">
        <v>47</v>
      </c>
    </row>
    <row r="82" spans="1:1" x14ac:dyDescent="0.3">
      <c r="A82" s="9" t="s">
        <v>48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왕예식 [nnnyyy]</dc:creator>
  <cp:lastModifiedBy>Yesik Wang</cp:lastModifiedBy>
  <dcterms:created xsi:type="dcterms:W3CDTF">2018-05-18T01:26:08Z</dcterms:created>
  <dcterms:modified xsi:type="dcterms:W3CDTF">2018-06-13T11:19:51Z</dcterms:modified>
</cp:coreProperties>
</file>