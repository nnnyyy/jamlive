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HubProject\jamlive_git\nodejs_svr\doc\"/>
    </mc:Choice>
  </mc:AlternateContent>
  <bookViews>
    <workbookView xWindow="0" yWindow="0" windowWidth="13215" windowHeight="5535" tabRatio="810"/>
  </bookViews>
  <sheets>
    <sheet name="Sheet1" sheetId="1" r:id="rId1"/>
    <sheet name="잼아줌마 양식" sheetId="4" r:id="rId2"/>
    <sheet name="페이큐 양식2" sheetId="9" r:id="rId3"/>
    <sheet name="더퀴라 양식" sheetId="17" r:id="rId4"/>
    <sheet name="Sheet15" sheetId="15" r:id="rId5"/>
    <sheet name="1-10(완료)" sheetId="10" r:id="rId6"/>
    <sheet name="11-15(완료)" sheetId="11" r:id="rId7"/>
    <sheet name="16-18(완료)" sheetId="8" r:id="rId8"/>
    <sheet name="21(완료)" sheetId="14" r:id="rId9"/>
    <sheet name="22" sheetId="16" r:id="rId10"/>
    <sheet name="23-26(완료)" sheetId="13" r:id="rId11"/>
    <sheet name="27-29(완료)" sheetId="7" r:id="rId12"/>
    <sheet name="30-34(완료)" sheetId="6" r:id="rId13"/>
    <sheet name="35-40(완료)" sheetId="5" r:id="rId14"/>
    <sheet name="페이큐 양식(49-87포함-완료)" sheetId="2" r:id="rId15"/>
    <sheet name="41-48,88-93(완료)" sheetId="12" r:id="rId16"/>
    <sheet name="Sheet3" sheetId="18" r:id="rId1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7" i="1" l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  <c r="G508" i="1"/>
  <c r="H508" i="1"/>
  <c r="I508" i="1"/>
  <c r="J508" i="1"/>
  <c r="G509" i="1"/>
  <c r="H509" i="1"/>
  <c r="I509" i="1"/>
  <c r="J509" i="1"/>
  <c r="G510" i="1"/>
  <c r="H510" i="1"/>
  <c r="I510" i="1"/>
  <c r="J510" i="1"/>
  <c r="G511" i="1"/>
  <c r="H511" i="1"/>
  <c r="I511" i="1"/>
  <c r="J511" i="1"/>
  <c r="G512" i="1"/>
  <c r="H512" i="1"/>
  <c r="I512" i="1"/>
  <c r="J512" i="1"/>
  <c r="G513" i="1"/>
  <c r="H513" i="1"/>
  <c r="I513" i="1"/>
  <c r="J513" i="1"/>
  <c r="G514" i="1"/>
  <c r="H514" i="1"/>
  <c r="I514" i="1"/>
  <c r="J514" i="1"/>
  <c r="G515" i="1"/>
  <c r="H515" i="1"/>
  <c r="I515" i="1"/>
  <c r="J515" i="1"/>
  <c r="G516" i="1"/>
  <c r="H516" i="1"/>
  <c r="I516" i="1"/>
  <c r="J516" i="1"/>
  <c r="G517" i="1"/>
  <c r="H517" i="1"/>
  <c r="I517" i="1"/>
  <c r="J517" i="1"/>
  <c r="G518" i="1"/>
  <c r="H518" i="1"/>
  <c r="I518" i="1"/>
  <c r="J518" i="1"/>
  <c r="G519" i="1"/>
  <c r="H519" i="1"/>
  <c r="I519" i="1"/>
  <c r="J519" i="1"/>
  <c r="G520" i="1"/>
  <c r="H520" i="1"/>
  <c r="I520" i="1"/>
  <c r="J520" i="1"/>
  <c r="G521" i="1"/>
  <c r="H521" i="1"/>
  <c r="I521" i="1"/>
  <c r="J521" i="1"/>
  <c r="G522" i="1"/>
  <c r="H522" i="1"/>
  <c r="I522" i="1"/>
  <c r="J522" i="1"/>
  <c r="G523" i="1"/>
  <c r="H523" i="1"/>
  <c r="I523" i="1"/>
  <c r="J523" i="1"/>
  <c r="G524" i="1"/>
  <c r="H524" i="1"/>
  <c r="I524" i="1"/>
  <c r="J524" i="1"/>
  <c r="G525" i="1"/>
  <c r="H525" i="1"/>
  <c r="I525" i="1"/>
  <c r="J525" i="1"/>
  <c r="G526" i="1"/>
  <c r="H526" i="1"/>
  <c r="I526" i="1"/>
  <c r="J526" i="1"/>
  <c r="G527" i="1"/>
  <c r="H527" i="1"/>
  <c r="I527" i="1"/>
  <c r="J527" i="1"/>
  <c r="G528" i="1"/>
  <c r="H528" i="1"/>
  <c r="I528" i="1"/>
  <c r="J528" i="1"/>
  <c r="G529" i="1"/>
  <c r="H529" i="1"/>
  <c r="I529" i="1"/>
  <c r="J529" i="1"/>
  <c r="G530" i="1"/>
  <c r="H530" i="1"/>
  <c r="I530" i="1"/>
  <c r="J530" i="1"/>
  <c r="G531" i="1"/>
  <c r="H531" i="1"/>
  <c r="I531" i="1"/>
  <c r="J531" i="1"/>
  <c r="G532" i="1"/>
  <c r="H532" i="1"/>
  <c r="I532" i="1"/>
  <c r="J532" i="1"/>
  <c r="G533" i="1"/>
  <c r="H533" i="1"/>
  <c r="I533" i="1"/>
  <c r="J533" i="1"/>
  <c r="G534" i="1"/>
  <c r="H534" i="1"/>
  <c r="I534" i="1"/>
  <c r="J534" i="1"/>
  <c r="G535" i="1"/>
  <c r="H535" i="1"/>
  <c r="I535" i="1"/>
  <c r="J535" i="1"/>
  <c r="G536" i="1"/>
  <c r="H536" i="1"/>
  <c r="I536" i="1"/>
  <c r="J536" i="1"/>
  <c r="G537" i="1"/>
  <c r="H537" i="1"/>
  <c r="I537" i="1"/>
  <c r="J537" i="1"/>
  <c r="G538" i="1"/>
  <c r="H538" i="1"/>
  <c r="I538" i="1"/>
  <c r="J538" i="1"/>
  <c r="G539" i="1"/>
  <c r="H539" i="1"/>
  <c r="I539" i="1"/>
  <c r="J539" i="1"/>
  <c r="G540" i="1"/>
  <c r="H540" i="1"/>
  <c r="I540" i="1"/>
  <c r="J540" i="1"/>
  <c r="G541" i="1"/>
  <c r="H541" i="1"/>
  <c r="I541" i="1"/>
  <c r="J541" i="1"/>
  <c r="G542" i="1"/>
  <c r="H542" i="1"/>
  <c r="I542" i="1"/>
  <c r="J542" i="1"/>
  <c r="G543" i="1"/>
  <c r="H543" i="1"/>
  <c r="I543" i="1"/>
  <c r="J543" i="1"/>
  <c r="G544" i="1"/>
  <c r="H544" i="1"/>
  <c r="I544" i="1"/>
  <c r="J544" i="1"/>
  <c r="G545" i="1"/>
  <c r="H545" i="1"/>
  <c r="I545" i="1"/>
  <c r="J545" i="1"/>
  <c r="G546" i="1"/>
  <c r="H546" i="1"/>
  <c r="I546" i="1"/>
  <c r="J546" i="1"/>
  <c r="G547" i="1"/>
  <c r="H547" i="1"/>
  <c r="I547" i="1"/>
  <c r="J547" i="1"/>
  <c r="G548" i="1"/>
  <c r="H548" i="1"/>
  <c r="I548" i="1"/>
  <c r="J548" i="1"/>
  <c r="G549" i="1"/>
  <c r="H549" i="1"/>
  <c r="I549" i="1"/>
  <c r="J549" i="1"/>
  <c r="G550" i="1"/>
  <c r="H550" i="1"/>
  <c r="I550" i="1"/>
  <c r="J550" i="1"/>
  <c r="G551" i="1"/>
  <c r="H551" i="1"/>
  <c r="I551" i="1"/>
  <c r="J551" i="1"/>
  <c r="G552" i="1"/>
  <c r="H552" i="1"/>
  <c r="I552" i="1"/>
  <c r="J552" i="1"/>
  <c r="G553" i="1"/>
  <c r="H553" i="1"/>
  <c r="I553" i="1"/>
  <c r="J553" i="1"/>
  <c r="G554" i="1"/>
  <c r="H554" i="1"/>
  <c r="I554" i="1"/>
  <c r="J554" i="1"/>
  <c r="G555" i="1"/>
  <c r="H555" i="1"/>
  <c r="I555" i="1"/>
  <c r="J555" i="1"/>
  <c r="G556" i="1"/>
  <c r="H556" i="1"/>
  <c r="I556" i="1"/>
  <c r="J556" i="1"/>
  <c r="G557" i="1"/>
  <c r="H557" i="1"/>
  <c r="I557" i="1"/>
  <c r="J557" i="1"/>
  <c r="G558" i="1"/>
  <c r="H558" i="1"/>
  <c r="I558" i="1"/>
  <c r="J558" i="1"/>
  <c r="G559" i="1"/>
  <c r="H559" i="1"/>
  <c r="I559" i="1"/>
  <c r="J559" i="1"/>
  <c r="G560" i="1"/>
  <c r="H560" i="1"/>
  <c r="I560" i="1"/>
  <c r="J560" i="1"/>
  <c r="G561" i="1"/>
  <c r="H561" i="1"/>
  <c r="I561" i="1"/>
  <c r="J561" i="1"/>
  <c r="G562" i="1"/>
  <c r="H562" i="1"/>
  <c r="I562" i="1"/>
  <c r="J562" i="1"/>
  <c r="G563" i="1"/>
  <c r="H563" i="1"/>
  <c r="I563" i="1"/>
  <c r="J563" i="1"/>
  <c r="G564" i="1"/>
  <c r="H564" i="1"/>
  <c r="I564" i="1"/>
  <c r="J564" i="1"/>
  <c r="G565" i="1"/>
  <c r="H565" i="1"/>
  <c r="I565" i="1"/>
  <c r="J565" i="1"/>
  <c r="G566" i="1"/>
  <c r="H566" i="1"/>
  <c r="I566" i="1"/>
  <c r="J566" i="1"/>
  <c r="G567" i="1"/>
  <c r="H567" i="1"/>
  <c r="I567" i="1"/>
  <c r="J567" i="1"/>
  <c r="G568" i="1"/>
  <c r="H568" i="1"/>
  <c r="I568" i="1"/>
  <c r="J568" i="1"/>
  <c r="G569" i="1"/>
  <c r="H569" i="1"/>
  <c r="I569" i="1"/>
  <c r="J569" i="1"/>
  <c r="G570" i="1"/>
  <c r="H570" i="1"/>
  <c r="I570" i="1"/>
  <c r="J570" i="1"/>
  <c r="G571" i="1"/>
  <c r="H571" i="1"/>
  <c r="I571" i="1"/>
  <c r="J571" i="1"/>
  <c r="G572" i="1"/>
  <c r="H572" i="1"/>
  <c r="I572" i="1"/>
  <c r="J572" i="1"/>
  <c r="G573" i="1"/>
  <c r="H573" i="1"/>
  <c r="I573" i="1"/>
  <c r="J573" i="1"/>
  <c r="G574" i="1"/>
  <c r="H574" i="1"/>
  <c r="I574" i="1"/>
  <c r="J574" i="1"/>
  <c r="G575" i="1"/>
  <c r="H575" i="1"/>
  <c r="I575" i="1"/>
  <c r="J575" i="1"/>
  <c r="G576" i="1"/>
  <c r="H576" i="1"/>
  <c r="I576" i="1"/>
  <c r="J576" i="1"/>
  <c r="G577" i="1"/>
  <c r="H577" i="1"/>
  <c r="I577" i="1"/>
  <c r="J577" i="1"/>
  <c r="G578" i="1"/>
  <c r="H578" i="1"/>
  <c r="I578" i="1"/>
  <c r="J578" i="1"/>
  <c r="G579" i="1"/>
  <c r="H579" i="1"/>
  <c r="I579" i="1"/>
  <c r="J579" i="1"/>
  <c r="G580" i="1"/>
  <c r="H580" i="1"/>
  <c r="I580" i="1"/>
  <c r="J580" i="1"/>
  <c r="G581" i="1"/>
  <c r="H581" i="1"/>
  <c r="I581" i="1"/>
  <c r="J581" i="1"/>
  <c r="G582" i="1"/>
  <c r="H582" i="1"/>
  <c r="I582" i="1"/>
  <c r="J582" i="1"/>
  <c r="G583" i="1"/>
  <c r="H583" i="1"/>
  <c r="I583" i="1"/>
  <c r="J583" i="1"/>
  <c r="G584" i="1"/>
  <c r="H584" i="1"/>
  <c r="I584" i="1"/>
  <c r="J584" i="1"/>
  <c r="G585" i="1"/>
  <c r="H585" i="1"/>
  <c r="I585" i="1"/>
  <c r="J585" i="1"/>
  <c r="G586" i="1"/>
  <c r="H586" i="1"/>
  <c r="I586" i="1"/>
  <c r="J586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C1" i="4"/>
  <c r="D1" i="4"/>
  <c r="E1" i="4"/>
  <c r="F1" i="4"/>
  <c r="C2" i="4"/>
  <c r="D2" i="4"/>
  <c r="E2" i="4"/>
  <c r="F2" i="4"/>
  <c r="C3" i="4"/>
  <c r="D3" i="4"/>
  <c r="E3" i="4"/>
  <c r="F3" i="4"/>
  <c r="C4" i="4"/>
  <c r="D4" i="4"/>
  <c r="E4" i="4"/>
  <c r="F4" i="4"/>
  <c r="C5" i="4"/>
  <c r="D5" i="4"/>
  <c r="E5" i="4"/>
  <c r="F5" i="4"/>
  <c r="C6" i="4"/>
  <c r="D6" i="4"/>
  <c r="E6" i="4"/>
  <c r="F6" i="4"/>
  <c r="C7" i="4"/>
  <c r="D7" i="4"/>
  <c r="E7" i="4"/>
  <c r="F7" i="4"/>
  <c r="C8" i="4"/>
  <c r="D8" i="4"/>
  <c r="E8" i="4"/>
  <c r="F8" i="4"/>
  <c r="C9" i="4"/>
  <c r="D9" i="4"/>
  <c r="E9" i="4"/>
  <c r="F9" i="4"/>
  <c r="C10" i="4"/>
  <c r="D10" i="4"/>
  <c r="E10" i="4"/>
  <c r="F10" i="4"/>
  <c r="C11" i="4"/>
  <c r="D11" i="4"/>
  <c r="E11" i="4"/>
  <c r="F11" i="4"/>
  <c r="C12" i="4"/>
  <c r="D12" i="4"/>
  <c r="E12" i="4"/>
  <c r="F12" i="4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J118" i="1" s="1"/>
  <c r="H118" i="1"/>
  <c r="G119" i="1"/>
  <c r="H119" i="1"/>
  <c r="G120" i="1"/>
  <c r="H120" i="1"/>
  <c r="G121" i="1"/>
  <c r="H121" i="1"/>
  <c r="G122" i="1"/>
  <c r="J122" i="1" s="1"/>
  <c r="H122" i="1"/>
  <c r="G123" i="1"/>
  <c r="H123" i="1"/>
  <c r="G124" i="1"/>
  <c r="J124" i="1" s="1"/>
  <c r="H124" i="1"/>
  <c r="G125" i="1"/>
  <c r="H125" i="1"/>
  <c r="G126" i="1"/>
  <c r="J126" i="1" s="1"/>
  <c r="H126" i="1"/>
  <c r="G127" i="1"/>
  <c r="H127" i="1"/>
  <c r="G128" i="1"/>
  <c r="J128" i="1" s="1"/>
  <c r="H128" i="1"/>
  <c r="G129" i="1"/>
  <c r="H129" i="1"/>
  <c r="G130" i="1"/>
  <c r="J130" i="1" s="1"/>
  <c r="H130" i="1"/>
  <c r="G131" i="1"/>
  <c r="H131" i="1"/>
  <c r="G132" i="1"/>
  <c r="J132" i="1" s="1"/>
  <c r="H132" i="1"/>
  <c r="G133" i="1"/>
  <c r="H133" i="1"/>
  <c r="G134" i="1"/>
  <c r="J134" i="1" s="1"/>
  <c r="H134" i="1"/>
  <c r="J116" i="1" l="1"/>
  <c r="J120" i="1"/>
  <c r="J114" i="1"/>
  <c r="J110" i="1"/>
  <c r="J106" i="1"/>
  <c r="J102" i="1"/>
  <c r="J98" i="1"/>
  <c r="J94" i="1"/>
  <c r="J104" i="1"/>
  <c r="J100" i="1"/>
  <c r="J96" i="1"/>
  <c r="J92" i="1"/>
  <c r="J88" i="1"/>
  <c r="J84" i="1"/>
  <c r="J108" i="1"/>
  <c r="J112" i="1"/>
  <c r="J90" i="1"/>
  <c r="J86" i="1"/>
  <c r="J82" i="1"/>
  <c r="J80" i="1"/>
  <c r="J76" i="1"/>
  <c r="J74" i="1"/>
  <c r="J72" i="1"/>
  <c r="J70" i="1"/>
  <c r="J68" i="1"/>
  <c r="J66" i="1"/>
  <c r="J64" i="1"/>
  <c r="J62" i="1"/>
  <c r="J60" i="1"/>
  <c r="J58" i="1"/>
  <c r="J56" i="1"/>
  <c r="J52" i="1"/>
  <c r="J54" i="1"/>
  <c r="J133" i="1"/>
  <c r="J129" i="1"/>
  <c r="J125" i="1"/>
  <c r="J121" i="1"/>
  <c r="J117" i="1"/>
  <c r="J113" i="1"/>
  <c r="J109" i="1"/>
  <c r="J105" i="1"/>
  <c r="J101" i="1"/>
  <c r="J97" i="1"/>
  <c r="J93" i="1"/>
  <c r="J89" i="1"/>
  <c r="J87" i="1"/>
  <c r="J83" i="1"/>
  <c r="J81" i="1"/>
  <c r="J79" i="1"/>
  <c r="J77" i="1"/>
  <c r="J75" i="1"/>
  <c r="J131" i="1"/>
  <c r="J127" i="1"/>
  <c r="J123" i="1"/>
  <c r="J119" i="1"/>
  <c r="J115" i="1"/>
  <c r="J111" i="1"/>
  <c r="J107" i="1"/>
  <c r="J103" i="1"/>
  <c r="J99" i="1"/>
  <c r="J95" i="1"/>
  <c r="J91" i="1"/>
  <c r="J85" i="1"/>
  <c r="J78" i="1"/>
  <c r="J48" i="1"/>
  <c r="J44" i="1"/>
  <c r="J40" i="1"/>
  <c r="J36" i="1"/>
  <c r="J32" i="1"/>
  <c r="J24" i="1"/>
  <c r="J50" i="1"/>
  <c r="J20" i="1"/>
  <c r="J46" i="1"/>
  <c r="J42" i="1"/>
  <c r="J38" i="1"/>
  <c r="J28" i="1"/>
  <c r="J16" i="1"/>
  <c r="J34" i="1"/>
  <c r="J30" i="1"/>
  <c r="J26" i="1"/>
  <c r="J22" i="1"/>
  <c r="J18" i="1"/>
  <c r="J69" i="1"/>
  <c r="J65" i="1"/>
  <c r="J61" i="1"/>
  <c r="J57" i="1"/>
  <c r="J55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73" i="1"/>
  <c r="J71" i="1"/>
  <c r="J67" i="1"/>
  <c r="J63" i="1"/>
  <c r="J59" i="1"/>
  <c r="J53" i="1"/>
  <c r="J11" i="1"/>
  <c r="J7" i="1"/>
  <c r="J14" i="1"/>
  <c r="J10" i="1"/>
  <c r="J6" i="1"/>
  <c r="J3" i="1"/>
  <c r="J12" i="1"/>
  <c r="J8" i="1"/>
  <c r="J4" i="1"/>
  <c r="J13" i="1"/>
  <c r="J9" i="1"/>
  <c r="J5" i="1"/>
</calcChain>
</file>

<file path=xl/sharedStrings.xml><?xml version="1.0" encoding="utf-8"?>
<sst xmlns="http://schemas.openxmlformats.org/spreadsheetml/2006/main" count="14298" uniqueCount="12196">
  <si>
    <t xml:space="preserve"> 부산에서 가장 긴 다리는? </t>
  </si>
  <si>
    <t xml:space="preserve">광안대교 </t>
  </si>
  <si>
    <t>영도대교</t>
  </si>
  <si>
    <t xml:space="preserve"> 옷 사이즈 ‘XL’에서 X는 무엇의 약자일까?</t>
  </si>
  <si>
    <t xml:space="preserve">extra </t>
  </si>
  <si>
    <t xml:space="preserve">x-ray </t>
  </si>
  <si>
    <t>expensive</t>
  </si>
  <si>
    <t xml:space="preserve"> 사람이 단 한 번도 듣거나 배운 적이 없는 언어를 구사하는 현상은?</t>
  </si>
  <si>
    <t xml:space="preserve">몬더 그린 </t>
  </si>
  <si>
    <t xml:space="preserve">코드 스위칭 </t>
  </si>
  <si>
    <t>제노글로시</t>
  </si>
  <si>
    <t xml:space="preserve"> 시위 현장에서 자주 등장하며, 하얀 얼굴과 콧수염이 인상적인 이 가면은?</t>
  </si>
  <si>
    <t xml:space="preserve">몬트 이글 가면 </t>
  </si>
  <si>
    <t xml:space="preserve">앨런 무어 가면 </t>
  </si>
  <si>
    <t>가이 포크스 가면</t>
  </si>
  <si>
    <t xml:space="preserve"> 다음 중 국민훈장 등급을 나타내는 단어가 아닌 것은?</t>
  </si>
  <si>
    <t xml:space="preserve">무궁화장 </t>
  </si>
  <si>
    <t xml:space="preserve">개나리장 </t>
  </si>
  <si>
    <t xml:space="preserve">모란장 </t>
  </si>
  <si>
    <t xml:space="preserve"> 다음 중 우리나라 특별자치도는 어디일까?</t>
  </si>
  <si>
    <t xml:space="preserve">서울 </t>
  </si>
  <si>
    <t xml:space="preserve">세종 </t>
  </si>
  <si>
    <t>제주</t>
  </si>
  <si>
    <t xml:space="preserve"> 물을 구성하는 원소가 아닌 것은?</t>
  </si>
  <si>
    <t>산소</t>
  </si>
  <si>
    <t>염소</t>
  </si>
  <si>
    <t>수소</t>
  </si>
  <si>
    <t xml:space="preserve"> 우리나라 최초의 한글소설 &lt;홍길동전&gt;의 저자는?</t>
  </si>
  <si>
    <t>    허균</t>
  </si>
  <si>
    <t>    허준</t>
  </si>
  <si>
    <t>    허참</t>
  </si>
  <si>
    <t xml:space="preserve"> 다음 중 노동3권이 아닌 것은?</t>
  </si>
  <si>
    <t>    단결권</t>
  </si>
  <si>
    <t>    칼퇴보장권</t>
  </si>
  <si>
    <t xml:space="preserve">    단채행동권 </t>
  </si>
  <si>
    <t xml:space="preserve"> 자신을 가꾸는 데 돈을 아끼지 않는 세련된 멋쟁이 할머니를 뜻하는 말은?</t>
  </si>
  <si>
    <t>    액티브 시니어</t>
  </si>
  <si>
    <t>    어반 그래니</t>
  </si>
  <si>
    <t>    꽃할매</t>
  </si>
  <si>
    <t xml:space="preserve"> 크루아상은 무엇을 본 따 만든 빵인가?</t>
  </si>
  <si>
    <t>    소라</t>
  </si>
  <si>
    <t>    초승달</t>
  </si>
  <si>
    <t>    나뭇잎</t>
  </si>
  <si>
    <t xml:space="preserve"> 역대 스파이더맨을 연기한 배우가 아닌 사람은?</t>
  </si>
  <si>
    <t>    토비 맥콰이어</t>
  </si>
  <si>
    <t>    앤드류 가필드</t>
  </si>
  <si>
    <t>    폴 러드</t>
  </si>
  <si>
    <t xml:space="preserve"> ‘피사의 사탑’의 용도는?</t>
  </si>
  <si>
    <t>    종탑</t>
  </si>
  <si>
    <t>    감옥</t>
  </si>
  <si>
    <t>    천문대</t>
  </si>
  <si>
    <t xml:space="preserve"> 기다리는 마음이 간절하다는 뜻의 “일각이 00같다”에 들어갈 말은?</t>
  </si>
  <si>
    <t>중추</t>
  </si>
  <si>
    <t>상추</t>
  </si>
  <si>
    <r>
      <rPr>
        <sz val="10"/>
        <color rgb="FFFF0000"/>
        <rFont val="바탕"/>
        <family val="1"/>
        <charset val="129"/>
      </rPr>
      <t>삼추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</si>
  <si>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피라미드 모양은 몇 개의 면으로 이뤄져 있을까?</t>
  </si>
  <si>
    <t>4개</t>
  </si>
  <si>
    <r>
      <t>5</t>
    </r>
    <r>
      <rPr>
        <sz val="10"/>
        <color rgb="FFFF0000"/>
        <rFont val="바탕"/>
        <family val="1"/>
        <charset val="129"/>
      </rPr>
      <t>개</t>
    </r>
    <r>
      <rPr>
        <sz val="10"/>
        <color rgb="FFFF0000"/>
        <rFont val="굴림"/>
        <family val="3"/>
        <charset val="129"/>
      </rPr>
      <t/>
    </r>
    <phoneticPr fontId="1" type="noConversion"/>
  </si>
  <si>
    <t>6개</t>
  </si>
  <si>
    <t xml:space="preserve"> 북대서양에서 발생하는 열대저기압은?</t>
  </si>
  <si>
    <r>
      <rPr>
        <sz val="10"/>
        <color rgb="FFFF0000"/>
        <rFont val="바탕"/>
        <family val="1"/>
        <charset val="129"/>
      </rPr>
      <t>허리케인</t>
    </r>
    <r>
      <rPr>
        <sz val="10"/>
        <color rgb="FFFF0000"/>
        <rFont val="굴림"/>
        <family val="3"/>
        <charset val="129"/>
      </rPr>
      <t/>
    </r>
    <phoneticPr fontId="1" type="noConversion"/>
  </si>
  <si>
    <t>사이클론</t>
  </si>
  <si>
    <t>태풍</t>
  </si>
  <si>
    <t xml:space="preserve"> 세계에서 가장 황당하고 어리석게 죽은 사람에게 주는 상은?</t>
  </si>
  <si>
    <t>아리스토텔레스상</t>
  </si>
  <si>
    <t>스피노자상</t>
  </si>
  <si>
    <r>
      <rPr>
        <sz val="10"/>
        <color rgb="FFFF0000"/>
        <rFont val="바탕"/>
        <family val="1"/>
        <charset val="129"/>
      </rPr>
      <t>다윈상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</si>
  <si>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대한민국에서 세 번째로 큰 섬은?</t>
  </si>
  <si>
    <t>거제도</t>
  </si>
  <si>
    <t>강화도</t>
  </si>
  <si>
    <t xml:space="preserve"> 《칭다오, 삿포로, 뮌헨》 다음에서 연상되는 것은?</t>
  </si>
  <si>
    <t>양꼬치</t>
  </si>
  <si>
    <t>눈</t>
  </si>
  <si>
    <t xml:space="preserve"> 다음 중 가장 방영기간이 긴 프로그램은?</t>
  </si>
  <si>
    <t>전원일기</t>
  </si>
  <si>
    <r>
      <t>대추나무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사랑걸렸네</t>
    </r>
  </si>
  <si>
    <t xml:space="preserve"> 조선시대 역대 왕과왕비의 신주를 모신 왕가의 사당은?</t>
  </si>
  <si>
    <t>탑골공원</t>
  </si>
  <si>
    <t>창경궁</t>
  </si>
  <si>
    <t>‘바다의 인삼’으로 불리며 주로 날것으로 먹는 이것은?</t>
  </si>
  <si>
    <t>멍게</t>
  </si>
  <si>
    <t>말미잘</t>
  </si>
  <si>
    <t xml:space="preserve"> 목관 5중주에 사용하는 악기가 아닌 것은?</t>
  </si>
  <si>
    <t>클라리넷</t>
  </si>
  <si>
    <t>오보에</t>
  </si>
  <si>
    <t xml:space="preserve"> 다음 중 청록파 시인이 아닌 사람은?</t>
  </si>
  <si>
    <t>박목월</t>
  </si>
  <si>
    <t>조지훈</t>
  </si>
  <si>
    <t xml:space="preserve"> 스페인어로 ‘가면·변장’이란 뜻의 화장품은?</t>
  </si>
  <si>
    <t>블러셔</t>
  </si>
  <si>
    <t>아이라이너</t>
  </si>
  <si>
    <t xml:space="preserve"> 국제우주정거장 건설에 참여하는 국가가 아닌 것은?</t>
  </si>
  <si>
    <t>러시아</t>
  </si>
  <si>
    <t>이탈리아</t>
  </si>
  <si>
    <t xml:space="preserve"> Apple사의 역대 CEO가 아닌 사람은?</t>
  </si>
  <si>
    <r>
      <t>스티브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잡스</t>
    </r>
  </si>
  <si>
    <r>
      <t>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아멜리오</t>
    </r>
  </si>
  <si>
    <t xml:space="preserve"> 미래학자 ‘엘빈 토플러’가 말한 &lt;권력의 세가지 원천&gt;이 아닌 것은?</t>
  </si>
  <si>
    <t>부</t>
  </si>
  <si>
    <t>폭력</t>
  </si>
  <si>
    <t xml:space="preserve"> 고양이가 코 외에 냄새를 맡을 수 있는 기관은?</t>
  </si>
  <si>
    <t>발바닥</t>
  </si>
  <si>
    <t>귀</t>
  </si>
  <si>
    <t xml:space="preserve"> 진행자를 뜻하는 MC에서 M은 무엇의 약자일까?</t>
  </si>
  <si>
    <t>Mouth</t>
  </si>
  <si>
    <t>Monthly</t>
  </si>
  <si>
    <t xml:space="preserve"> 루게릭병 환자를 돕기 위해 시작된 릴레이 기부 캠페인의 이름은?</t>
  </si>
  <si>
    <r>
      <t>아이스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브레이킹</t>
    </r>
  </si>
  <si>
    <r>
      <t>블랙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닷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캠페인</t>
    </r>
  </si>
  <si>
    <t xml:space="preserve"> 《우도, 회황, 잼》 다음에서 연상되는 것은?</t>
  </si>
  <si>
    <t>소</t>
  </si>
  <si>
    <t xml:space="preserve"> 경주 ‘첨성대’에서 ‘첨성’의 뜻은?</t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</si>
  <si>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향해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나아가다</t>
    </r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</si>
  <si>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쏘다</t>
    </r>
  </si>
  <si>
    <t xml:space="preserve"> 영화에서 존경의 표시로 다른 작품의 주요 장면이나 대사를 인용하는 것은?</t>
  </si>
  <si>
    <t>미장센</t>
  </si>
  <si>
    <t>페르소나</t>
  </si>
  <si>
    <t xml:space="preserve"> ‘회자되다’의 ‘회’는 어떤 의미일까?</t>
  </si>
  <si>
    <t>모이다</t>
  </si>
  <si>
    <t>돌아오다</t>
  </si>
  <si>
    <t xml:space="preserve"> 다음 중 색의 이름이 한글인 것은?</t>
  </si>
  <si>
    <t>초록</t>
  </si>
  <si>
    <t>자주</t>
  </si>
  <si>
    <t xml:space="preserve"> 선거법 위반 행위 신고 번호는?</t>
  </si>
  <si>
    <t xml:space="preserve"> 교통카드 크기의 스마트 카드형 앨범을 뜻하는 말은?</t>
  </si>
  <si>
    <t>모노앨범</t>
  </si>
  <si>
    <t>하이앨범</t>
  </si>
  <si>
    <t xml:space="preserve"> 태국의 ‘블랙아이보리 커피’는 어떤 동물에게 커피여매를 먹여 만들까?</t>
  </si>
  <si>
    <t>고양이</t>
  </si>
  <si>
    <t>족제비</t>
  </si>
  <si>
    <t xml:space="preserve"> 최근 85억에 낙찰된 ‘붉은색 전면 점화’의 작가는?</t>
  </si>
  <si>
    <t>이중섭</t>
  </si>
  <si>
    <t>박수근</t>
  </si>
  <si>
    <t xml:space="preserve"> 조선시대 영의정을 지낸 인물의 이름과 아호가 맞는 것은?</t>
  </si>
  <si>
    <r>
      <t>황희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지봉</t>
    </r>
  </si>
  <si>
    <r>
      <t>신숙주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삼우당</t>
    </r>
  </si>
  <si>
    <t xml:space="preserve"> 블리자드사의 게임 &lt;스타그래프트&gt;의 종족이 아닌 것은?</t>
  </si>
  <si>
    <t>테란</t>
  </si>
  <si>
    <t>프로토스</t>
  </si>
  <si>
    <t xml:space="preserve"> 《國花, 기차, ♪□꽃이 피었습니다》 다음에서 연상되는 것은?</t>
  </si>
  <si>
    <t>들국화</t>
  </si>
  <si>
    <t>장미</t>
  </si>
  <si>
    <t xml:space="preserve"> 꿀벌이 여러 식물에서 뽑아낸 물질에 침과 효소 등을 섞어서 만든 것은?</t>
  </si>
  <si>
    <t>프로포폴</t>
  </si>
  <si>
    <t>폴리페놀</t>
  </si>
  <si>
    <t xml:space="preserve"> ‘귀밑에서 턱까지 잇따라 난 수염’을 일컫는 옳은 표현은?</t>
  </si>
  <si>
    <t>구렛나루</t>
  </si>
  <si>
    <t>구레나루</t>
  </si>
  <si>
    <t xml:space="preserve"> 순우리말로 ‘달포’는?</t>
  </si>
  <si>
    <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</si>
  <si>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r>
      <t>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</si>
  <si>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t xml:space="preserve"> 수학능력시험에서 ‘수’한자의 뜻은?</t>
  </si>
  <si>
    <r>
      <t>빼어날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</si>
  <si>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r>
      <t>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</si>
  <si>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t xml:space="preserve"> 북한 김정은 국무위원장의 전용기 이름은?</t>
  </si>
  <si>
    <r>
      <t>참매미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</si>
  <si>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참수리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</si>
  <si>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월트 디즈니사에서 제작한 최초의 장편 애니메이션은?</t>
  </si>
  <si>
    <t>신데렐라</t>
  </si>
  <si>
    <t>인어공주</t>
  </si>
  <si>
    <t xml:space="preserve"> 일반적인 다른 지역보다 도심지의 온도가 높게 나타나는 현상은?</t>
  </si>
  <si>
    <t>스모그</t>
  </si>
  <si>
    <t>먼지지붕</t>
  </si>
  <si>
    <t xml:space="preserve"> 북유럽 신화에 등장하는 천둥의 신 ‘토르’에서 유래한 요일은?</t>
  </si>
  <si>
    <t>월요일</t>
  </si>
  <si>
    <t>토요일</t>
  </si>
  <si>
    <t xml:space="preserve"> 다음 중 감독이 다른 영화는?</t>
  </si>
  <si>
    <t>프레스티지</t>
  </si>
  <si>
    <r>
      <t>다크나이트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라이즈</t>
    </r>
  </si>
  <si>
    <t xml:space="preserve"> 다음 중 국적이 다른 사람은?</t>
  </si>
  <si>
    <r>
      <t>살바도르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달리</t>
    </r>
  </si>
  <si>
    <r>
      <t>안드레스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이니에스타</t>
    </r>
  </si>
  <si>
    <t xml:space="preserve"> 《멜빵, 나팔, 냉장고》 다음에서 연상되는 것은?</t>
  </si>
  <si>
    <t>운동화</t>
  </si>
  <si>
    <t>가방</t>
  </si>
  <si>
    <t xml:space="preserve"> 배우 혼자서 하는 일인극은?</t>
  </si>
  <si>
    <t>막장드라마</t>
  </si>
  <si>
    <t>모태드라마</t>
  </si>
  <si>
    <t xml:space="preserve"> &lt;서울특별시 영등포구 의사당대로 1&gt; 다음은 어디의 주소일까?</t>
  </si>
  <si>
    <t>한국방송공사</t>
  </si>
  <si>
    <t>여의도공원</t>
  </si>
  <si>
    <t xml:space="preserve"> 영화 &lt;카사블랑카&gt;의 명대사 中 “당신의 □에 건배를”에 들어갈 말은?</t>
  </si>
  <si>
    <t>심장</t>
  </si>
  <si>
    <t>입술</t>
  </si>
  <si>
    <t xml:space="preserve"> 피타고라스가 정립한 ‘황금비’는?</t>
  </si>
  <si>
    <t>1:3.14</t>
  </si>
  <si>
    <t>3:4:5</t>
  </si>
  <si>
    <t xml:space="preserve">1:1.618 </t>
  </si>
  <si>
    <t xml:space="preserve"> 2018년 신조어로 ‘폭풍 눈물’을 뒤집은 이 말은 무엇일까?</t>
  </si>
  <si>
    <t>룸곡웊눈</t>
  </si>
  <si>
    <t>뤂곡웊높</t>
  </si>
  <si>
    <t xml:space="preserve"> “산산이 부서진 이름이여!”로 시작하는 김소월의 대표시는?</t>
  </si>
  <si>
    <t>금잔디</t>
  </si>
  <si>
    <t>진달래꽃</t>
  </si>
  <si>
    <t xml:space="preserve"> &lt;아기공룡 둘리&gt;에서 고길동과 희동이의 관계는?</t>
  </si>
  <si>
    <r>
      <t>아버지와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아들</t>
    </r>
  </si>
  <si>
    <r>
      <t>이모부와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조카</t>
    </r>
  </si>
  <si>
    <t xml:space="preserve"> 다음 중 상징으로 쓰이는 동물이 다른 야구팀은?</t>
  </si>
  <si>
    <t>KBO 삼성</t>
  </si>
  <si>
    <t>NPB 세이부</t>
  </si>
  <si>
    <t xml:space="preserve"> 이스라엘의 위대한 왕 ‘솔로몬’의 이름 뜻은?</t>
  </si>
  <si>
    <t>평등</t>
  </si>
  <si>
    <t>지혜</t>
  </si>
  <si>
    <t xml:space="preserve"> 삶의 질과 건강관리에 대한 관심으로 이에 관련된 소비가 증가하는 것을 일컫는 용어는?</t>
  </si>
  <si>
    <r>
      <t>밴딩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경제</t>
    </r>
  </si>
  <si>
    <r>
      <t>점프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이코노미</t>
    </r>
  </si>
  <si>
    <t xml:space="preserve"> 세계 최초로 TV방송을 시작한 나라는?</t>
  </si>
  <si>
    <t>미국</t>
  </si>
  <si>
    <t>프랑스</t>
  </si>
  <si>
    <t xml:space="preserve"> 뽕나무의 열매는?</t>
  </si>
  <si>
    <t>뽕</t>
  </si>
  <si>
    <t>뽀옹</t>
  </si>
  <si>
    <t xml:space="preserve"> 《구세군, 라면, 전골》 다음에서 연상되는 것은?</t>
  </si>
  <si>
    <t>젓가락</t>
  </si>
  <si>
    <t>국자</t>
  </si>
  <si>
    <t xml:space="preserve"> 순우리말로 ‘섣달’은 음력 몇 월일까?</t>
  </si>
  <si>
    <t>11월</t>
  </si>
  <si>
    <t>1월</t>
  </si>
  <si>
    <t xml:space="preserve"> 아카데미 시상식에서 사용하는 트로피의 명칭은?</t>
  </si>
  <si>
    <t>그래미</t>
  </si>
  <si>
    <t>에미</t>
  </si>
  <si>
    <t xml:space="preserve"> ‘레스토랑’의 영문 절차로 올바른 것은?</t>
  </si>
  <si>
    <t>resterant</t>
  </si>
  <si>
    <t>restorent</t>
  </si>
  <si>
    <t xml:space="preserve"> 폐 내에서 가스교환이 이루어지는 기관의 이름은?</t>
  </si>
  <si>
    <t>허파꼬리</t>
  </si>
  <si>
    <t>허파혈관</t>
  </si>
  <si>
    <t xml:space="preserve"> ‘모자람이 없이 넉넉하다’는 뜻의 순우리말은?</t>
  </si>
  <si>
    <t>펀펀하다</t>
  </si>
  <si>
    <t>판판하다</t>
  </si>
  <si>
    <t xml:space="preserve"> 다음 중 숫자가 포함되지 않은 사자성어는?</t>
  </si>
  <si>
    <t>오리무중</t>
  </si>
  <si>
    <t>조삼모사</t>
  </si>
  <si>
    <t xml:space="preserve"> 셋 중 다른 대학교를 다녔던 사람은?</t>
  </si>
  <si>
    <r>
      <t>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게이츠</t>
    </r>
  </si>
  <si>
    <r>
      <t>마크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저커버그</t>
    </r>
  </si>
  <si>
    <t xml:space="preserve"> ‘베를린필하모니, 뉴욕필하모니’에서 독일어로 ‘필’의 뜻은?</t>
  </si>
  <si>
    <t>최고의</t>
  </si>
  <si>
    <t>느낌대로</t>
  </si>
  <si>
    <t xml:space="preserve"> 매년 5월 19일을 ‘발명의 날’로 정한 것은 (이것)의 발명일에서 비롯됐다. 이것은?</t>
  </si>
  <si>
    <t>혼천의</t>
  </si>
  <si>
    <t>거중기</t>
  </si>
  <si>
    <t xml:space="preserve"> 젊은 나이에 엄청난 부를 쌓았지만 평범하게 살아가는 사람들을 뜻하는 말은?</t>
  </si>
  <si>
    <t>딩펫족</t>
  </si>
  <si>
    <t>노마드족</t>
  </si>
  <si>
    <t xml:space="preserve"> ‘눈가리고 ()한다’에서 ()안에 들어갈 말은?</t>
  </si>
  <si>
    <t>아잉</t>
  </si>
  <si>
    <t>야옹</t>
  </si>
  <si>
    <t xml:space="preserve"> ‘문화가 있는 날’은 매달 마지막 주 무슨 요일일까?</t>
  </si>
  <si>
    <t>화요일</t>
  </si>
  <si>
    <t>금요일</t>
  </si>
  <si>
    <t xml:space="preserve"> 올바른 우리말로 대체된 것이 아닌 것은?</t>
  </si>
  <si>
    <r>
      <t>레시피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조리법</t>
    </r>
  </si>
  <si>
    <r>
      <t>네티즌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누리꾼</t>
    </r>
  </si>
  <si>
    <t xml:space="preserve"> 1운동이 일어난 연도는?</t>
  </si>
  <si>
    <t>1917년</t>
  </si>
  <si>
    <t>1918년</t>
  </si>
  <si>
    <t xml:space="preserve"> 태양계에서 가장 큰 행성은?</t>
  </si>
  <si>
    <t>수성</t>
  </si>
  <si>
    <t>금성</t>
  </si>
  <si>
    <t xml:space="preserve"> ‘기분이 좋아지다’라는 뜻을 가진 디저트의 이름은?</t>
  </si>
  <si>
    <t>마카롱</t>
  </si>
  <si>
    <t>다쿠아즈</t>
  </si>
  <si>
    <t xml:space="preserve"> 다음 중 저자와 책 제목이 잘못 연결된 것은?</t>
  </si>
  <si>
    <r>
      <t>목민심서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정약용</t>
    </r>
  </si>
  <si>
    <r>
      <t>자산어보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정약전</t>
    </r>
  </si>
  <si>
    <t xml:space="preserve"> 콕사키 바이러스에 의해 발병하며 주로 여름철 손, 발, 입에 수포성 발진이 생기는 이 질환은?</t>
  </si>
  <si>
    <t>수두</t>
  </si>
  <si>
    <t>홍역</t>
  </si>
  <si>
    <t xml:space="preserve"> 동요 &lt;곰 세 마리&gt; 1절에서 ‘곰’은 몇 번 나올까?</t>
  </si>
  <si>
    <t>6번</t>
  </si>
  <si>
    <t xml:space="preserve">7번 </t>
  </si>
  <si>
    <t>8번</t>
  </si>
  <si>
    <t xml:space="preserve"> 해리포터에서 호그와트 기숙사이름과 기숙사를 상징하는 동물이 일치하지 않는 것은?</t>
  </si>
  <si>
    <r>
      <t>그리핀도르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사자</t>
    </r>
  </si>
  <si>
    <r>
      <t>후플푸프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오소리</t>
    </r>
  </si>
  <si>
    <t xml:space="preserve">슬리데린 – 독수리 </t>
  </si>
  <si>
    <t xml:space="preserve"> ‘삶은 문제 해결의 연속이다’라고 말한 철학자는?</t>
  </si>
  <si>
    <r>
      <t>임마누엘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칸트</t>
    </r>
  </si>
  <si>
    <r>
      <t>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샌델</t>
    </r>
  </si>
  <si>
    <t xml:space="preserve">칼 포퍼 </t>
  </si>
  <si>
    <t xml:space="preserve"> 중국 소설 &lt;삼국지연의&gt;에서 가장 늦게 나온 고사성어는 무엇일까요?</t>
  </si>
  <si>
    <t xml:space="preserve">칠종칠금 </t>
  </si>
  <si>
    <t>삼고초려</t>
  </si>
  <si>
    <t>도원결의</t>
  </si>
  <si>
    <t xml:space="preserve"> ‘()도 오뉴월이 한철이다’에서 ()안에 들어갈 말은?</t>
  </si>
  <si>
    <t>감기</t>
  </si>
  <si>
    <t xml:space="preserve">메뚜기 </t>
  </si>
  <si>
    <t>유재석</t>
  </si>
  <si>
    <t xml:space="preserve"> 소설 ‘셜록홈즈’의 작가는?</t>
  </si>
  <si>
    <r>
      <t>명탐정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코난</t>
    </r>
  </si>
  <si>
    <t>김도일</t>
  </si>
  <si>
    <t xml:space="preserve">아서 코난 도일 </t>
  </si>
  <si>
    <t xml:space="preserve"> 초고층 빌딩을 보호 장비 없이 맨손으로 오르는 등반가는?</t>
  </si>
  <si>
    <t>빌딩트래커</t>
  </si>
  <si>
    <t xml:space="preserve">어반클라이머 </t>
  </si>
  <si>
    <t>파쿠르</t>
  </si>
  <si>
    <t xml:space="preserve"> 조선시대 서예가 한석봉의 본명은?</t>
  </si>
  <si>
    <t>한화</t>
  </si>
  <si>
    <t>한해</t>
  </si>
  <si>
    <t xml:space="preserve">한호 </t>
  </si>
  <si>
    <t xml:space="preserve"> 6.12 북미 정상회담에서 전체 경호는 누가 맡았을까?</t>
  </si>
  <si>
    <t xml:space="preserve">네팔 구르카족 </t>
  </si>
  <si>
    <r>
      <t>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외인부대</t>
    </r>
  </si>
  <si>
    <r>
      <t>스위스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용병</t>
    </r>
  </si>
  <si>
    <t xml:space="preserve"> 물고기의 나이는 무엇을 보고 알 수 있을까?</t>
  </si>
  <si>
    <t>꼬리</t>
  </si>
  <si>
    <t xml:space="preserve">비늘 </t>
  </si>
  <si>
    <t xml:space="preserve"> 우리나라에서 우표를 제조하는 곳은?</t>
  </si>
  <si>
    <t>한국관광공사</t>
  </si>
  <si>
    <t xml:space="preserve">한국조폐공사  </t>
  </si>
  <si>
    <t>한국도로공사</t>
  </si>
  <si>
    <t xml:space="preserve"> 프랑스의 루브르 박물관은 원래 어떤 용도였을까?</t>
  </si>
  <si>
    <t>감옥</t>
  </si>
  <si>
    <t xml:space="preserve">왕궁 </t>
  </si>
  <si>
    <t>성당</t>
  </si>
  <si>
    <t xml:space="preserve"> 지구의 기온이 일정하게 유지되다가, 산업화 이후 급상승한 것을 보여주는 그래프는?</t>
  </si>
  <si>
    <r>
      <t>제트스틱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</si>
  <si>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하키스틱 그래프 </t>
  </si>
  <si>
    <r>
      <t>골프클럽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</si>
  <si>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 6월 미국에서 개최되는 세계 최대 게임쇼는?</t>
  </si>
  <si>
    <t>A3</t>
  </si>
  <si>
    <t xml:space="preserve">E3  </t>
  </si>
  <si>
    <t>G3</t>
  </si>
  <si>
    <t xml:space="preserve"> ‘위축(蝟縮)되다’에서 연상되는 동물은?</t>
  </si>
  <si>
    <t>자라</t>
  </si>
  <si>
    <t>쥐</t>
  </si>
  <si>
    <t xml:space="preserve">고슴도치 </t>
  </si>
  <si>
    <t xml:space="preserve"> ‘CMYK 색 모델’에 포함되지 않는 색상은?</t>
  </si>
  <si>
    <t>검은색</t>
  </si>
  <si>
    <t>청록색</t>
  </si>
  <si>
    <t xml:space="preserve">주황색 </t>
  </si>
  <si>
    <t xml:space="preserve"> 6.13 지방선거에서 투표를 할 때 꼭 필요한 준비물은?</t>
  </si>
  <si>
    <t xml:space="preserve">본인임을 확인할 수 있는 신분증 </t>
  </si>
  <si>
    <t>땅문서</t>
  </si>
  <si>
    <t>우황청심환</t>
  </si>
  <si>
    <t xml:space="preserve"> ‘모르는 사이에 조금씩 조금씩’이라는 뜻의 우리말은?</t>
  </si>
  <si>
    <t xml:space="preserve">시나브로 </t>
  </si>
  <si>
    <t>신나부러</t>
  </si>
  <si>
    <t>시나로브</t>
  </si>
  <si>
    <t xml:space="preserve"> ‘미꾸라짓국을 먹고 0한다’에서 0안에 들어갈 말은?</t>
  </si>
  <si>
    <t>신트림</t>
  </si>
  <si>
    <t xml:space="preserve">용트림 </t>
  </si>
  <si>
    <t>된트림</t>
  </si>
  <si>
    <t xml:space="preserve"> 선거 4대 원칙이 아닌 것은?</t>
  </si>
  <si>
    <t>평등선거</t>
  </si>
  <si>
    <t>비밀선거</t>
  </si>
  <si>
    <t xml:space="preserve">간접선거 </t>
  </si>
  <si>
    <t xml:space="preserve"> 용인에 위치한 “에버랜드”의 바뀌기 전 이름은 무엇일까?</t>
  </si>
  <si>
    <t xml:space="preserve">자연농원 </t>
  </si>
  <si>
    <t>자연공원</t>
  </si>
  <si>
    <t>용인농원</t>
  </si>
  <si>
    <t xml:space="preserve"> 타임지가 선정한 ‘2018 가장 영향력있는 100인’이 아닌 사람은?</t>
  </si>
  <si>
    <r>
      <t>김정은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국무위원장</t>
    </r>
  </si>
  <si>
    <t xml:space="preserve">방탄소년단 </t>
  </si>
  <si>
    <r>
      <t>문재인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</si>
  <si>
    <t xml:space="preserve"> 동영주, 섭라, 탐모라, 탐라가 옛 지명이였던 지역은?</t>
  </si>
  <si>
    <t>대구</t>
  </si>
  <si>
    <t>평양</t>
  </si>
  <si>
    <t xml:space="preserve">제주 </t>
  </si>
  <si>
    <t xml:space="preserve"> 다음 중 뜻이 다른 말은?</t>
  </si>
  <si>
    <t>Je t’aime(쥬뗌므)</t>
  </si>
  <si>
    <t>Ti amo(티아모)</t>
  </si>
  <si>
    <t xml:space="preserve">Guten Tag(구텐탁) </t>
  </si>
  <si>
    <t xml:space="preserve"> ‘서로 동시에 감시한다’는 뜻으로 대중이 권력자를 감시할 수 있다는 의미로 쓰이는 용어는?</t>
  </si>
  <si>
    <t>팬옵티콘</t>
  </si>
  <si>
    <t>스나이퍼</t>
  </si>
  <si>
    <t xml:space="preserve">시놉티콘 </t>
  </si>
  <si>
    <t xml:space="preserve"> 6.13 지방선거 최연소 후보와 최고령 후보의 나이차이는?</t>
  </si>
  <si>
    <t>48세</t>
  </si>
  <si>
    <t>52세</t>
  </si>
  <si>
    <t xml:space="preserve">61세 </t>
  </si>
  <si>
    <t xml:space="preserve"> 지방자치단체장의 연임 제한 횟수는?</t>
  </si>
  <si>
    <t>1회</t>
  </si>
  <si>
    <t>2회</t>
  </si>
  <si>
    <t xml:space="preserve">3회 </t>
  </si>
  <si>
    <t xml:space="preserve"> 한 선수가 한 게임에서 3득점 이상 올린 것을 의미하는 ‘해트트릭’은 어느 스포츠에서 유래 됐을까?</t>
  </si>
  <si>
    <t xml:space="preserve">크리켓 </t>
  </si>
  <si>
    <t>펜싱</t>
  </si>
  <si>
    <t>골프</t>
  </si>
  <si>
    <t xml:space="preserve"> 세계 최대 국제 경찰 조직으로, 국제 범죄 해결과 기술협력을 위해 설립된 기구는?</t>
  </si>
  <si>
    <t>어벤져스</t>
  </si>
  <si>
    <r>
      <t>저스티스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</t>
    </r>
  </si>
  <si>
    <t>인터폴</t>
  </si>
  <si>
    <t xml:space="preserve"> ‘완전하고 검증가능하며 불가역적인 핵폐기’를 뜻하는 이 용어는?</t>
  </si>
  <si>
    <t>CVID</t>
  </si>
  <si>
    <t>EXID</t>
  </si>
  <si>
    <t>FACE ID</t>
  </si>
  <si>
    <t xml:space="preserve"> 연극에서 극중 인물이 암묵적으로 관객에게만 들리게 말하는 대사는?</t>
  </si>
  <si>
    <t>고백</t>
  </si>
  <si>
    <t>방백</t>
  </si>
  <si>
    <t>불백</t>
  </si>
  <si>
    <t xml:space="preserve"> 다음 중 국기 안에 별모양이 없는 나라는 어디일까?</t>
  </si>
  <si>
    <t>터키</t>
  </si>
  <si>
    <t>남아프리카공화국</t>
  </si>
  <si>
    <t>중국</t>
  </si>
  <si>
    <t xml:space="preserve"> 초밥에 들어가는 ‘배합초’에 들어가지 않는 것은?</t>
  </si>
  <si>
    <t>식초</t>
  </si>
  <si>
    <t>설탕</t>
  </si>
  <si>
    <t>간장</t>
  </si>
  <si>
    <t xml:space="preserve"> 조선시대 임금 중 재위 기간이 가장 길었던 왕은?</t>
  </si>
  <si>
    <t>선조</t>
  </si>
  <si>
    <t>숙종</t>
  </si>
  <si>
    <t>영조</t>
  </si>
  <si>
    <t xml:space="preserve"> 다음 중 모국어로 가장 많이 쓰이는 언어는?</t>
  </si>
  <si>
    <t>영어</t>
  </si>
  <si>
    <t>힌디어</t>
  </si>
  <si>
    <t>스페인어</t>
  </si>
  <si>
    <t xml:space="preserve"> 미국 공화당의 상징으로 알맞은 동물은?</t>
  </si>
  <si>
    <t>독수리</t>
  </si>
  <si>
    <t>사자</t>
  </si>
  <si>
    <t>코끼리</t>
  </si>
  <si>
    <t xml:space="preserve"> ‘식사 전 입맛을 돋우기 위한 한입거리 요리’를 뜻하는 프랑스어는?</t>
  </si>
  <si>
    <t>Entrée(앙트레)</t>
  </si>
  <si>
    <r>
      <t>Plat principal(쁠라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프랭시팔)</t>
    </r>
  </si>
  <si>
    <r>
      <t>Amuse Bouche(아뮤즈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부쉬)</t>
    </r>
  </si>
  <si>
    <t xml:space="preserve"> 올해는 서기 2018년 이다. 그러면 단기로는 몇 년 일까?</t>
  </si>
  <si>
    <r>
      <t>단기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4351년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</si>
  <si>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4370년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</si>
  <si>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4363년</t>
    </r>
  </si>
  <si>
    <t xml:space="preserve"> ‘하늘 천’으로 시작하는 천자문의 마지막 한자는?</t>
  </si>
  <si>
    <t xml:space="preserve">也 (야) </t>
  </si>
  <si>
    <r>
      <t>哉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(재)</t>
    </r>
  </si>
  <si>
    <r>
      <t>乎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(호)</t>
    </r>
  </si>
  <si>
    <t xml:space="preserve"> 다음 빌딩 중 가장 층수가 적은 빌딩은 무엇일까?</t>
  </si>
  <si>
    <r>
      <t>상하이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</si>
  <si>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r>
      <t>롯데월드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</si>
  <si>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t xml:space="preserve">아브라즈 알 바이트 타워 </t>
  </si>
  <si>
    <t xml:space="preserve"> ‘과로 등으로 심신에 피로가 쌓여 모든 일에 무기력해진 상태’를 뜻하는 것은?</t>
  </si>
  <si>
    <r>
      <t>번아웃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증후군</t>
    </r>
  </si>
  <si>
    <r>
      <t>우루사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</si>
  <si>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r>
      <t>삐콤씨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</si>
  <si>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t xml:space="preserve"> 물리적 힘을 나타내는데 필요한 ‘힘의 3요소’가 아닌 것은?</t>
  </si>
  <si>
    <t>크기</t>
  </si>
  <si>
    <t>방향</t>
  </si>
  <si>
    <t>나이</t>
  </si>
  <si>
    <t xml:space="preserve"> ‘아침식사’를 의미하는 영어 단어는?</t>
  </si>
  <si>
    <t>Breakpast</t>
  </si>
  <si>
    <t>Breakfest</t>
  </si>
  <si>
    <t>Breakfast</t>
  </si>
  <si>
    <t xml:space="preserve"> ‘에티켓’이라는 단어는 어느나라에서 유래했을까?</t>
  </si>
  <si>
    <t>영국</t>
  </si>
  <si>
    <t xml:space="preserve"> 국내 근로자가 가입하는 ‘4대보험’에 속하지 않는 것은?</t>
  </si>
  <si>
    <t>산재보험</t>
  </si>
  <si>
    <t>퇴직연금</t>
  </si>
  <si>
    <t>국민연금</t>
  </si>
  <si>
    <t xml:space="preserve"> 소의 4개의 위 중 3번째에 해당하는 것은?</t>
  </si>
  <si>
    <t>처녑</t>
  </si>
  <si>
    <t>막창</t>
  </si>
  <si>
    <t>양</t>
  </si>
  <si>
    <t xml:space="preserve"> 우리나라 국기인 태권도의 품새 종류가 아닌 것은?</t>
  </si>
  <si>
    <t>한라,백두</t>
  </si>
  <si>
    <t>금강,한수</t>
  </si>
  <si>
    <t>천권,평원</t>
  </si>
  <si>
    <t xml:space="preserve"> 그리스 신화에서 제우스의 자녀가 아닌 것은?</t>
  </si>
  <si>
    <t>헤스티아</t>
  </si>
  <si>
    <t>디오니소스</t>
  </si>
  <si>
    <t>아테나</t>
  </si>
  <si>
    <t xml:space="preserve"> ‘팔 도마뱀’이라는 뜻을 가진 온순한 성격의 초식 공룡은?</t>
  </si>
  <si>
    <t>티라노사우루스</t>
  </si>
  <si>
    <t>브라키오사우루스</t>
  </si>
  <si>
    <t>카르노타우루스</t>
  </si>
  <si>
    <t xml:space="preserve"> 브라질의 열정적이고 관능적인 춤으로 “채찍”이란 뜻을 가진 것은?</t>
  </si>
  <si>
    <t>삼바</t>
  </si>
  <si>
    <t>룸바</t>
  </si>
  <si>
    <t>람바다</t>
  </si>
  <si>
    <t xml:space="preserve"> 경제협력 개발 기구를 뜻하는 OECD에 포함된 국가가 아닌 것은?</t>
  </si>
  <si>
    <t>에스토니아</t>
  </si>
  <si>
    <t>칠레</t>
  </si>
  <si>
    <t xml:space="preserve"> 빈틈없이 아주 여무진 사람이란 뜻의 순우리말은?</t>
  </si>
  <si>
    <t>감바리</t>
  </si>
  <si>
    <t>모도리</t>
  </si>
  <si>
    <t>내미손</t>
  </si>
  <si>
    <t xml:space="preserve"> 다음 중 맞춤법이 맞는 것은?</t>
  </si>
  <si>
    <t>깎두기</t>
  </si>
  <si>
    <t>깍뚜기</t>
  </si>
  <si>
    <t>깍두기</t>
  </si>
  <si>
    <t xml:space="preserve"> 《매부리, 주먹, 들창》 다음에서 연상되는 것은?</t>
  </si>
  <si>
    <t>코</t>
  </si>
  <si>
    <t>입</t>
  </si>
  <si>
    <t xml:space="preserve"> 일상에서 느낄 수 있는 작지만 확실하게 실현 가능한 행복이라는 뜻의 단어는?</t>
  </si>
  <si>
    <t>소확행</t>
  </si>
  <si>
    <t>일코노미</t>
  </si>
  <si>
    <t>N포세대</t>
  </si>
  <si>
    <t xml:space="preserve"> 소설&lt;채식주의자&gt;로 한국인 최초로 맨부커상을 수상한 작가는?</t>
  </si>
  <si>
    <t>최은영</t>
  </si>
  <si>
    <t>한강</t>
  </si>
  <si>
    <t>김애란</t>
  </si>
  <si>
    <t xml:space="preserve"> 1인치는 몇 센티미터일까?</t>
  </si>
  <si>
    <t>15cm</t>
  </si>
  <si>
    <t>86cm</t>
  </si>
  <si>
    <t>54cm</t>
  </si>
  <si>
    <t xml:space="preserve"> 2018 러시아월드컵에 출전하는 대한민국 대표팀 최종멤버가 아닌 선수는?</t>
  </si>
  <si>
    <t>김진수</t>
  </si>
  <si>
    <t>조현우</t>
  </si>
  <si>
    <t>오반석</t>
  </si>
  <si>
    <t xml:space="preserve"> 5만원권이 처음으로 발행된 년도는?</t>
  </si>
  <si>
    <t>2009년</t>
  </si>
  <si>
    <t>2010년</t>
  </si>
  <si>
    <t>2011년</t>
  </si>
  <si>
    <t xml:space="preserve"> 탁구 서브의 종류가 아닌 것은?</t>
  </si>
  <si>
    <t>너클</t>
  </si>
  <si>
    <t>스파이크</t>
  </si>
  <si>
    <t>커트</t>
  </si>
  <si>
    <t xml:space="preserve"> 《바티칸, 최후의 심판, 교황선출》 다음에서 연상되는 장소는?</t>
  </si>
  <si>
    <r>
      <t>시스티나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성당</t>
    </r>
  </si>
  <si>
    <r>
      <t>세인트폴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</si>
  <si>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r>
      <t>세비야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</si>
  <si>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t xml:space="preserve"> 다음 중 야구에서 사이클링히트에 해당하지 않는 것은?</t>
  </si>
  <si>
    <t>안타</t>
  </si>
  <si>
    <t>홈런</t>
  </si>
  <si>
    <t>희생번트</t>
  </si>
  <si>
    <t xml:space="preserve"> 전세계 기업 중에서 시가총액이 1위인 기업은?(2018년 6월 5일 기준)</t>
  </si>
  <si>
    <t>구글</t>
  </si>
  <si>
    <t>애플</t>
  </si>
  <si>
    <t>아마존</t>
  </si>
  <si>
    <t xml:space="preserve"> 다음 중 제주특별자치도에 속하는 섬은 무엇일까?</t>
  </si>
  <si>
    <t>거금도</t>
  </si>
  <si>
    <t>돌산도</t>
  </si>
  <si>
    <t>추자도</t>
  </si>
  <si>
    <t xml:space="preserve"> 다음 중 기네스 북에 오르지 않은 사람은?</t>
  </si>
  <si>
    <t>강호동</t>
  </si>
  <si>
    <t>황광희</t>
  </si>
  <si>
    <t>유민상</t>
  </si>
  <si>
    <t xml:space="preserve"> 최초의 복제양(羊) 이름은?</t>
  </si>
  <si>
    <t>돌리</t>
  </si>
  <si>
    <t>둘리</t>
  </si>
  <si>
    <t>젤리</t>
  </si>
  <si>
    <t xml:space="preserve"> 자유의 여신상을 미국에게 선물한 나라는?</t>
  </si>
  <si>
    <t>스위스</t>
  </si>
  <si>
    <t xml:space="preserve"> ‘88 서울올림픽’의 공식 주제가는?</t>
  </si>
  <si>
    <r>
      <t>손에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손잡고</t>
    </r>
  </si>
  <si>
    <r>
      <t>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넘어서</t>
    </r>
  </si>
  <si>
    <t>코리아나</t>
  </si>
  <si>
    <t xml:space="preserve"> 메이저리그 최고의 좌완 투수였던 랜디 존슨이 벌인 전설 같은 사건은?</t>
  </si>
  <si>
    <r>
      <t>야구장에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뛰어든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맞힘</t>
    </r>
  </si>
  <si>
    <r>
      <t>야구장에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날아든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비둘기를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공으로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맞힘</t>
    </r>
  </si>
  <si>
    <r>
      <t>한게임에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</t>
    </r>
  </si>
  <si>
    <t xml:space="preserve"> 다음 중 암살당한 인물이 아닌 사람은?</t>
  </si>
  <si>
    <r>
      <t>마하트마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간디</t>
    </r>
  </si>
  <si>
    <r>
      <t>아돌프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히틀러</t>
    </r>
  </si>
  <si>
    <r>
      <t>마틴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킹</t>
    </r>
  </si>
  <si>
    <t xml:space="preserve"> 우주비행사를 달에 착륙시켰다가 지구로 안전하게 귀환시키는 미국의 계획은</t>
  </si>
  <si>
    <r>
      <t>마르코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</si>
  <si>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오디세우스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</si>
  <si>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아폴로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계획</t>
    </r>
  </si>
  <si>
    <t xml:space="preserve"> 발명품과 최초 만든 사람이 잘못 연결된 것은?</t>
  </si>
  <si>
    <r>
      <t>카디건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카디건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백작</t>
    </r>
  </si>
  <si>
    <r>
      <t>마가린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이뽈리뜨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마가린</t>
    </r>
  </si>
  <si>
    <r>
      <t>버버리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토마스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버버리</t>
    </r>
  </si>
  <si>
    <t xml:space="preserve"> 노벨이 발명한 ‘다이너마이트’는 그리스어로 무슨 뜻일까?</t>
  </si>
  <si>
    <t>힘</t>
  </si>
  <si>
    <t>축제</t>
  </si>
  <si>
    <t>다이아몬드</t>
  </si>
  <si>
    <t xml:space="preserve"> 세계 최초 여성 대통령을 배출한 나라는?</t>
  </si>
  <si>
    <t>독일</t>
  </si>
  <si>
    <t>캐나다</t>
  </si>
  <si>
    <t>아르헨티나</t>
  </si>
  <si>
    <t xml:space="preserve"> 미생물학자로, 탄저병·광견병 백신을 만들어 인류보건에 이바지한 사람은?</t>
  </si>
  <si>
    <r>
      <t>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다윈</t>
    </r>
  </si>
  <si>
    <t>아인슈타인</t>
  </si>
  <si>
    <r>
      <t>루이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파스퇴르</t>
    </r>
  </si>
  <si>
    <t xml:space="preserve"> 다음 중 시대적 배경이 다른 영화는?</t>
  </si>
  <si>
    <r>
      <t>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호스(스티븐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스필버그)</t>
    </r>
  </si>
  <si>
    <r>
      <t>이오지마에서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편지(클린트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이스트우드)</t>
    </r>
  </si>
  <si>
    <r>
      <t>진주만(마이클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베이)</t>
    </r>
  </si>
  <si>
    <t xml:space="preserve"> 피터팬이 사는 곳은?</t>
  </si>
  <si>
    <t>에버랜드</t>
  </si>
  <si>
    <t>모모랜드</t>
  </si>
  <si>
    <t>원더랜드</t>
  </si>
  <si>
    <t xml:space="preserve"> “□로/으로 주고 말로 받는다” 빈칸에 들어갈 말은?</t>
  </si>
  <si>
    <t>되</t>
  </si>
  <si>
    <t>주먹</t>
  </si>
  <si>
    <t>쌀</t>
  </si>
  <si>
    <t xml:space="preserve"> 다음 중 우리나라 지폐에 새겨진 인물이 잘못 짝지어진 것은?</t>
  </si>
  <si>
    <r>
      <t>1천원권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율곡이이</t>
    </r>
  </si>
  <si>
    <r>
      <t>1만원권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세종대왕</t>
    </r>
  </si>
  <si>
    <r>
      <t>5만원권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신사임당</t>
    </r>
  </si>
  <si>
    <t xml:space="preserve"> 실화를 토대로 한 영화가 아닌 것은?</t>
  </si>
  <si>
    <t>말아톤</t>
  </si>
  <si>
    <t>택시운전사</t>
  </si>
  <si>
    <t>올드보이</t>
  </si>
  <si>
    <t xml:space="preserve"> 올해는 무슨 년일까?</t>
  </si>
  <si>
    <t>무술년</t>
  </si>
  <si>
    <t>정유년</t>
  </si>
  <si>
    <t>기해년</t>
  </si>
  <si>
    <t xml:space="preserve"> 만화책 저자가 우리나라 사람인 것은?</t>
  </si>
  <si>
    <t>원피스</t>
  </si>
  <si>
    <t>열혈강호</t>
  </si>
  <si>
    <t>나루토</t>
  </si>
  <si>
    <t xml:space="preserve"> 컴퓨터 관련 용어 중 분류가 다른 하나는?</t>
  </si>
  <si>
    <t>SSD</t>
  </si>
  <si>
    <t>HDD</t>
  </si>
  <si>
    <t>OS</t>
  </si>
  <si>
    <t xml:space="preserve"> 카드이용대금을 일부만 결제하는 제도는?</t>
  </si>
  <si>
    <t>카드론</t>
  </si>
  <si>
    <t>리볼빙</t>
  </si>
  <si>
    <t>현금서비스</t>
  </si>
  <si>
    <t xml:space="preserve"> 영화&lt;코코&gt;의 배경이 된 지역은 어디일까?</t>
  </si>
  <si>
    <t>멕시코</t>
  </si>
  <si>
    <t>텍사스</t>
  </si>
  <si>
    <t>다음 중 표준어가 아닌 것은?</t>
  </si>
  <si>
    <t>시방</t>
  </si>
  <si>
    <t>기집애</t>
  </si>
  <si>
    <t>거시기</t>
  </si>
  <si>
    <t xml:space="preserve"> 잠수교 (반포대교)의 차량 통제 기준은 얼마일까?</t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</si>
  <si>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5.5m</t>
    </r>
  </si>
  <si>
    <r>
      <t>한강수위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6.2m</t>
    </r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</si>
  <si>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7.2m</t>
    </r>
  </si>
  <si>
    <t xml:space="preserve"> 가장 약한 고리가 쇠사슬 전체의 힘을 결정한다는 법칙은?</t>
  </si>
  <si>
    <r>
      <t>미니멈의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</si>
  <si>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딜버트의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</si>
  <si>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브룩스의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</si>
  <si>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‘풀이나 나무를 베고 남은 밑동’을 가리키는 순우리말은?</t>
  </si>
  <si>
    <r>
      <t>아이엠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그루트</t>
    </r>
  </si>
  <si>
    <t>그루터기</t>
  </si>
  <si>
    <t>한그루</t>
  </si>
  <si>
    <t xml:space="preserve"> 불특정 다수에게 대량으로 유포되는 광고성 전자우편은?</t>
  </si>
  <si>
    <r>
      <t>에그메일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(egg mail)</t>
    </r>
  </si>
  <si>
    <r>
      <t>스팸메일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(spam mail)</t>
    </r>
  </si>
  <si>
    <r>
      <t>칩스메일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(chips mail)</t>
    </r>
  </si>
  <si>
    <t xml:space="preserve"> 대한민국 헌법에 명시된 국민의 4대 의무가 아닌 것은?</t>
  </si>
  <si>
    <r>
      <t>국방의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</si>
  <si>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교육의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</si>
  <si>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행복의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의무</t>
    </r>
  </si>
  <si>
    <t xml:space="preserve"> 선비를 상징하는 사군자(四君子) 중 겨울을 상징하는 것은?</t>
  </si>
  <si>
    <t>매화</t>
  </si>
  <si>
    <t>난초</t>
  </si>
  <si>
    <t>대나무</t>
  </si>
  <si>
    <t xml:space="preserve"> 의회에서 법안통과를 막기 위한 합법적인 방해 행위는?</t>
  </si>
  <si>
    <t>필리버스터</t>
  </si>
  <si>
    <t>메가버스터</t>
  </si>
  <si>
    <t>필립코스터</t>
  </si>
  <si>
    <t xml:space="preserve"> 대한민국에서 두 번째로 높은 산은?</t>
  </si>
  <si>
    <t>한라산</t>
  </si>
  <si>
    <t>지리산</t>
  </si>
  <si>
    <t>설악산</t>
  </si>
  <si>
    <t xml:space="preserve"> 세계 가톨릭 교회 수장인 교황이 타는 공식 의전 차량을 뜻하는 말은?</t>
  </si>
  <si>
    <t>포프모빌</t>
  </si>
  <si>
    <t>카톨릭모빌</t>
  </si>
  <si>
    <t>파더모빌</t>
  </si>
  <si>
    <t xml:space="preserve"> 기존 항공사에 비해 저렴한 운임을 제공하는 저비용항공사를 뜻하는 영문 약자는?</t>
  </si>
  <si>
    <t>LCC</t>
  </si>
  <si>
    <t>MSC</t>
  </si>
  <si>
    <t>FSC</t>
  </si>
  <si>
    <t xml:space="preserve"> 6월부터 ‘호우주의보’는 3시간 동안 □이상 비가 예상될 때 발령된다. 알맞은 말은?</t>
  </si>
  <si>
    <t>30mm</t>
  </si>
  <si>
    <t>60mm</t>
  </si>
  <si>
    <t>70mm</t>
  </si>
  <si>
    <r>
      <t>캐나다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</t>
    </r>
  </si>
  <si>
    <r>
      <t>인도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영양</t>
    </r>
  </si>
  <si>
    <r>
      <t>미국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흑소</t>
    </r>
  </si>
  <si>
    <t xml:space="preserve"> 버뮤다 삼각지대로 유명한 버뮤다 섬은 어느 나라의 자치 속령인가?</t>
  </si>
  <si>
    <t xml:space="preserve"> 다음 중 브랜드 창립자간 형제 사이가 아닌 것은?</t>
  </si>
  <si>
    <t>아디다스</t>
  </si>
  <si>
    <t>나이키</t>
  </si>
  <si>
    <t>푸마</t>
  </si>
  <si>
    <t xml:space="preserve"> ‘닭 잡아먹고 ()내놓기’에서 ()안에 것은?</t>
  </si>
  <si>
    <t>오리털</t>
  </si>
  <si>
    <t>오리입</t>
  </si>
  <si>
    <t>오리발</t>
  </si>
  <si>
    <t xml:space="preserve"> 《오아시스, 우유니, 사하라》 다음에서 연상되는 것은?</t>
  </si>
  <si>
    <t>바다</t>
  </si>
  <si>
    <t>계곡</t>
  </si>
  <si>
    <t>사막</t>
  </si>
  <si>
    <t xml:space="preserve"> 세진은 ‘손 없는 날’에 이사할 예정인데, 이때 ‘손’의 의미는?</t>
  </si>
  <si>
    <t>비</t>
  </si>
  <si>
    <t>도둑</t>
  </si>
  <si>
    <t>악귀</t>
  </si>
  <si>
    <t xml:space="preserve"> 태권도에서 가장 그빙 낮은 띠는?</t>
  </si>
  <si>
    <r>
      <t>노란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</si>
  <si>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r>
      <t>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띠</t>
    </r>
  </si>
  <si>
    <r>
      <t>빨간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</si>
  <si>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t xml:space="preserve"> 고양이와 친해지는 방법이 아닌 것은?</t>
  </si>
  <si>
    <r>
      <t>머리를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쓰다듬어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준다</t>
    </r>
  </si>
  <si>
    <r>
      <t>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때린다</t>
    </r>
  </si>
  <si>
    <r>
      <t>턱밑을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살살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긁어준다</t>
    </r>
  </si>
  <si>
    <t xml:space="preserve"> 다음중 제조사가 다른 라면은 무엇일까?</t>
  </si>
  <si>
    <t>오징어짬뽕</t>
  </si>
  <si>
    <t>참깨라면</t>
  </si>
  <si>
    <t>무파마</t>
  </si>
  <si>
    <t xml:space="preserve"> ‘(), 겨우 요만큼?’에서 ()의 바른 표기는 무엇일까?</t>
  </si>
  <si>
    <t>에게</t>
  </si>
  <si>
    <t>에걔</t>
  </si>
  <si>
    <t>에계</t>
  </si>
  <si>
    <t xml:space="preserve"> ‘용기를 가지고 도전해 조직에 큰 영향을 주는 구성원’을 일컫는 말은?</t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</si>
  <si>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</t>
    </r>
  </si>
  <si>
    <r>
      <t>퍼스트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펭귄</t>
    </r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</si>
  <si>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어벤져</t>
    </r>
  </si>
  <si>
    <r>
      <t>1910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Times New Roman"/>
        <family val="1"/>
      </rPr>
      <t xml:space="preserve"> 8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Times New Roman"/>
        <family val="1"/>
      </rPr>
      <t xml:space="preserve"> 29</t>
    </r>
    <r>
      <rPr>
        <sz val="10"/>
        <color rgb="FFFF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</si>
  <si>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15</t>
    </r>
    <r>
      <rPr>
        <sz val="10"/>
        <color rgb="FF00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</si>
  <si>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7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19</t>
    </r>
    <r>
      <rPr>
        <sz val="10"/>
        <color rgb="FF000000"/>
        <rFont val="바탕"/>
        <family val="1"/>
        <charset val="129"/>
      </rPr>
      <t>일</t>
    </r>
  </si>
  <si>
    <t xml:space="preserve"> 다음 중 ‘보퍼트의 풍력 계급’중 가장 약한 바람은?</t>
  </si>
  <si>
    <t>왕바람</t>
  </si>
  <si>
    <t>센바람</t>
  </si>
  <si>
    <t>큰바람</t>
  </si>
  <si>
    <t xml:space="preserve"> 올림픽 오륜기에서 ‘유럽’을 상징하는 색은?</t>
  </si>
  <si>
    <t>빨강</t>
  </si>
  <si>
    <t>파랑</t>
  </si>
  <si>
    <t xml:space="preserve"> 우리나라 최초로 전기가 들어온 곳은?</t>
  </si>
  <si>
    <t>창덕궁</t>
  </si>
  <si>
    <t>경복궁</t>
  </si>
  <si>
    <t xml:space="preserve"> ‘남녀가 일곱 살이 되면 자리를 같이 하지 않는다’는 옛말은?</t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</si>
  <si>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부동산</t>
    </r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</si>
  <si>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부동자세</t>
    </r>
  </si>
  <si>
    <r>
      <t>남녀칠세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부동석</t>
    </r>
  </si>
  <si>
    <t xml:space="preserve"> </t>
  </si>
  <si>
    <t xml:space="preserve"> 걸어다니면 스마트폰을 하는 사람을 뜻하는 신조어는?</t>
  </si>
  <si>
    <t>나야나</t>
  </si>
  <si>
    <t>사랑비</t>
  </si>
  <si>
    <t>스몸비</t>
  </si>
  <si>
    <t xml:space="preserve"> 문어의 다리는 몇 개일까?</t>
  </si>
  <si>
    <t>10개</t>
  </si>
  <si>
    <t>9개</t>
  </si>
  <si>
    <t>8월</t>
  </si>
  <si>
    <t xml:space="preserve"> 다음 중 자동차 브랜드가 아닌 것은?</t>
  </si>
  <si>
    <t>부가티</t>
  </si>
  <si>
    <t>크라이슬러</t>
  </si>
  <si>
    <t>마타하리</t>
  </si>
  <si>
    <t xml:space="preserve"> 다음 중 실제로 존재하지 않는 학교는?</t>
  </si>
  <si>
    <r>
      <t>김제동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</si>
  <si>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이영애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</si>
  <si>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이효리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초등학교</t>
    </r>
  </si>
  <si>
    <t xml:space="preserve"> 다음 보기 중 가장 작은 소수는?</t>
  </si>
  <si>
    <t xml:space="preserve"> 공식적으로 음반을 가장 많이 판매한 음악가는?</t>
  </si>
  <si>
    <t>비틀즈</t>
  </si>
  <si>
    <t>퀸</t>
  </si>
  <si>
    <r>
      <t>머라이어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캐리</t>
    </r>
  </si>
  <si>
    <t xml:space="preserve"> ‘트로피’의 어원은 무엇일까?</t>
  </si>
  <si>
    <t>승리</t>
  </si>
  <si>
    <t>전투</t>
  </si>
  <si>
    <t>패배</t>
  </si>
  <si>
    <t xml:space="preserve"> 여의도에 있는 국회의사당을 받치고 있는 주변 외벽의 큰 기둥은 모두 몇 개일까?</t>
  </si>
  <si>
    <t>22개</t>
  </si>
  <si>
    <t>24개</t>
  </si>
  <si>
    <t>26개</t>
  </si>
  <si>
    <t xml:space="preserve"> ‘집단토론회의’를 뜻하는 ‘심포지엄’은 어떤 말에서 유래했을까?</t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</si>
  <si>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</si>
  <si>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함께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술을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마시다</t>
    </r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</si>
  <si>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걷다</t>
    </r>
  </si>
  <si>
    <t xml:space="preserve"> 한국에서 천만 관객수를 넘지 못한 영화는?</t>
  </si>
  <si>
    <t>겨울왕국</t>
  </si>
  <si>
    <t>설국열차</t>
  </si>
  <si>
    <t>인터스텔라</t>
  </si>
  <si>
    <t xml:space="preserve"> 동요 ‘섬집아기’에서 엄마가 따러 간 것은?</t>
  </si>
  <si>
    <t>소라</t>
  </si>
  <si>
    <t>귤</t>
  </si>
  <si>
    <t>굴</t>
  </si>
  <si>
    <t xml:space="preserve"> 주민등록번호가 부여되는 때는?</t>
  </si>
  <si>
    <r>
      <t>출생신고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시</t>
    </r>
  </si>
  <si>
    <r>
      <t>고등학교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2학년</t>
    </r>
  </si>
  <si>
    <r>
      <t>결혼할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</si>
  <si>
    <t xml:space="preserve"> ‘연륜이 쌓이다’에서 ‘연륜’의 본래 뜻은?</t>
  </si>
  <si>
    <t>돌멩이</t>
  </si>
  <si>
    <t>쌀가마니</t>
  </si>
  <si>
    <t>나이테</t>
  </si>
  <si>
    <t xml:space="preserve"> 결혼 관련 용어 ‘스드메’에 해당하지 않는 것은?</t>
  </si>
  <si>
    <t>스튜디오</t>
  </si>
  <si>
    <t>드라이</t>
  </si>
  <si>
    <t>메이크업</t>
  </si>
  <si>
    <t xml:space="preserve"> 다음 중 ‘미야자키 하야오’ 감독의 작품이 아닌 것은?</t>
  </si>
  <si>
    <r>
      <t>하울의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움직이는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</t>
    </r>
  </si>
  <si>
    <r>
      <t>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치히로의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행방불명</t>
    </r>
  </si>
  <si>
    <r>
      <t>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이름은</t>
    </r>
  </si>
  <si>
    <t xml:space="preserve"> 두 가지 이상 악재가 동시에 발생할 때를 가리키는 경제 용어는?</t>
  </si>
  <si>
    <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</t>
    </r>
  </si>
  <si>
    <t xml:space="preserve"> 숫자를 나타내는 단어 중 뜻이 다른 하나는?</t>
  </si>
  <si>
    <t>six</t>
  </si>
  <si>
    <t>sept</t>
  </si>
  <si>
    <t>sechs</t>
  </si>
  <si>
    <t xml:space="preserve"> 국내 최초 인터넷 전문 은행은?</t>
  </si>
  <si>
    <t>케이뱅크</t>
  </si>
  <si>
    <t>카카오뱅크</t>
  </si>
  <si>
    <t>페이큐뱅크</t>
  </si>
  <si>
    <t xml:space="preserve"> 보드랍고 화창한 바람을 의미하는 것은?</t>
  </si>
  <si>
    <t>보라바람</t>
  </si>
  <si>
    <t>명지바람</t>
  </si>
  <si>
    <t>노대바람</t>
  </si>
  <si>
    <t xml:space="preserve"> 실업률과 경제성장률간의 상관 관계를 뜻하는 단어는?</t>
  </si>
  <si>
    <r>
      <t>세이의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</si>
  <si>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테일러의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</si>
  <si>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오쿤의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</si>
  <si>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t xml:space="preserve"> 일기예보에서 ‘예년’이란 과거 □년간의 통계치를 말한다.</t>
  </si>
  <si>
    <t>10년</t>
  </si>
  <si>
    <t>20년</t>
  </si>
  <si>
    <t>30년</t>
  </si>
  <si>
    <t xml:space="preserve"> 다음 중 순우리말은?</t>
  </si>
  <si>
    <t>마지노선</t>
  </si>
  <si>
    <t>터부시하다</t>
  </si>
  <si>
    <t>헹가래</t>
  </si>
  <si>
    <t xml:space="preserve"> 학교나 직장 따위에 일정한 기간 동안 하루도 빠짐없이 출석한 사람에게 주는 상은?</t>
  </si>
  <si>
    <t>개근상</t>
  </si>
  <si>
    <t>개근면상</t>
  </si>
  <si>
    <t xml:space="preserve"> ‘지렁이도 밟으면 ()한다’에서 ()는 무엇인가?</t>
  </si>
  <si>
    <t>꼼지락</t>
  </si>
  <si>
    <t>꿈틀</t>
  </si>
  <si>
    <t>노래</t>
  </si>
  <si>
    <t xml:space="preserve"> 긴 막대기로 작은 막대기를 치거나 튕기면서 노는 놀이는?</t>
  </si>
  <si>
    <t>자치기</t>
  </si>
  <si>
    <t>배치기</t>
  </si>
  <si>
    <t>때려치기</t>
  </si>
  <si>
    <t xml:space="preserve"> 스웨덴 그룹 ABBA의 노래들을 이야기로 엮은 뮤지컬은?</t>
  </si>
  <si>
    <t>맘마미아</t>
  </si>
  <si>
    <t>시카고</t>
  </si>
  <si>
    <t>위키드</t>
  </si>
  <si>
    <t xml:space="preserve"> 1984년 《LA타임스》가 처음으로 사용한‘보복·난폭 운전’을 뜻하는 말은?</t>
  </si>
  <si>
    <t>패스트&amp;퓨리어스</t>
  </si>
  <si>
    <t>로드레이지</t>
  </si>
  <si>
    <r>
      <t>크레이지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드라이버</t>
    </r>
  </si>
  <si>
    <t xml:space="preserve"> ‘자다가 봉창 두드린다’에서 ‘봉창(封窓)’은?</t>
  </si>
  <si>
    <r>
      <t>전쟁에서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날카로운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</t>
    </r>
  </si>
  <si>
    <r>
      <t>창틀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없이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토벽에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구멍을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뚫은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창</t>
    </r>
  </si>
  <si>
    <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노래소리</t>
    </r>
  </si>
  <si>
    <t xml:space="preserve"> 체포영장이 발부된 주요 도피사범을 현지 경찰이 수배­검거하는 것은?</t>
  </si>
  <si>
    <t>흑색수배</t>
  </si>
  <si>
    <t>청색수배</t>
  </si>
  <si>
    <t>적색수배</t>
  </si>
  <si>
    <t xml:space="preserve"> 사회봉사를 표방하는 세계 최초의 봉사 클럽 연합체 이름은?</t>
  </si>
  <si>
    <r>
      <t>신호등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</si>
  <si>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r>
      <t>로타리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클럽</t>
    </r>
  </si>
  <si>
    <r>
      <t>심봉사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</si>
  <si>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t xml:space="preserve"> 다음 중 뤽 베송이 제작자로 참여한 영화는?</t>
  </si>
  <si>
    <t>그랑블루</t>
  </si>
  <si>
    <t>테이큰</t>
  </si>
  <si>
    <t>오션스8</t>
  </si>
  <si>
    <t xml:space="preserve"> ‘평소 재앙·재난 상황에 대한 준비를 하는 사람들’을 뜻하는 단어는?</t>
  </si>
  <si>
    <t>레스큐어</t>
  </si>
  <si>
    <t>아유레디</t>
  </si>
  <si>
    <t>프레퍼</t>
  </si>
  <si>
    <t xml:space="preserve"> 다음 중 가장 먼저 시작한 소셜네트워크 서비스는?</t>
  </si>
  <si>
    <t>트위터</t>
  </si>
  <si>
    <t>페이스북</t>
  </si>
  <si>
    <t>마이스페이스</t>
  </si>
  <si>
    <t xml:space="preserve"> 반도체, 태양전지, 합금재료 등으로 사용되며 실리콘이라 부르기도 하는 물질은?</t>
  </si>
  <si>
    <t>포타슘</t>
  </si>
  <si>
    <t>베릴륨</t>
  </si>
  <si>
    <t>규소</t>
  </si>
  <si>
    <t xml:space="preserve"> 다음 중 ‘축구’를 뜻하는 단어가 아닌 것은?</t>
  </si>
  <si>
    <t>Soccer</t>
  </si>
  <si>
    <t>Football</t>
  </si>
  <si>
    <t>Gateball</t>
  </si>
  <si>
    <t xml:space="preserve"> 바로 오늘! 2018 월드컵 F조인 우리나라와 첫 경기를 하는 나라는?</t>
  </si>
  <si>
    <t>스웨덴</t>
  </si>
  <si>
    <t xml:space="preserve"> 2018 월드컵, 우리나라 대표팀의 감독은 누구일까?</t>
  </si>
  <si>
    <t>신태용</t>
  </si>
  <si>
    <t>홍명보</t>
  </si>
  <si>
    <t>차범근</t>
  </si>
  <si>
    <t xml:space="preserve"> 다음 중 러시아 국기는? (그림 문제)</t>
  </si>
  <si>
    <t>흰색-파란색-빨간색(가로줄)</t>
  </si>
  <si>
    <t>빨간색-흰색-파란색(가로줄)</t>
  </si>
  <si>
    <t>파란색-흰색-빨간색(세로줄)</t>
  </si>
  <si>
    <t xml:space="preserve"> 지난, 2014년 월드컵 개최국은?</t>
  </si>
  <si>
    <t>브라질</t>
  </si>
  <si>
    <t>우루과이</t>
  </si>
  <si>
    <t xml:space="preserve"> 2018 월드컵에 출전하는 우리나라의 최종 엔트리는 몇 명일까?</t>
  </si>
  <si>
    <t>11명</t>
  </si>
  <si>
    <t>18명</t>
  </si>
  <si>
    <t>23명</t>
  </si>
  <si>
    <t xml:space="preserve"> 역대 월드컵 공인구가 맞는 것은?</t>
  </si>
  <si>
    <t>슈퍼노바</t>
  </si>
  <si>
    <r>
      <t>델스타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</t>
    </r>
  </si>
  <si>
    <t>팀가이스트</t>
  </si>
  <si>
    <t xml:space="preserve"> FIFA월드컵에서 최다 득점한 기록을 선수에게 수여하는 상은?</t>
  </si>
  <si>
    <t>골든골(Golden goal)</t>
  </si>
  <si>
    <t>골든부트(Golden boot)</t>
  </si>
  <si>
    <t>골든볼(Golden ball)</t>
  </si>
  <si>
    <t xml:space="preserve"> 우리나라 역대 최고 FIFA랭킹은 몇위일까?</t>
  </si>
  <si>
    <t>16위</t>
  </si>
  <si>
    <t>17위</t>
  </si>
  <si>
    <t>4위</t>
  </si>
  <si>
    <t xml:space="preserve"> 선수와 감독으로 모두 월드컵 우승을 경험한 사람은?</t>
  </si>
  <si>
    <r>
      <t>프란츠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베켄바워</t>
    </r>
  </si>
  <si>
    <r>
      <t>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크루이프</t>
    </r>
  </si>
  <si>
    <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플라티니</t>
    </r>
  </si>
  <si>
    <t xml:space="preserve"> 우리나라가 월드컵 본선에서 첫승을 기록한 상대 국가는?</t>
  </si>
  <si>
    <t>토고</t>
  </si>
  <si>
    <t>폴란드</t>
  </si>
  <si>
    <t>포르투갈</t>
  </si>
  <si>
    <t xml:space="preserve"> 월드컵 역대 최다골 기록 보유자는?</t>
  </si>
  <si>
    <t>호나우두</t>
  </si>
  <si>
    <r>
      <t>미로슬라프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클로제</t>
    </r>
  </si>
  <si>
    <r>
      <t>게르트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뮐러</t>
    </r>
  </si>
  <si>
    <t xml:space="preserve"> 홍길동전에 등장하는 이상사회의 이름은?</t>
  </si>
  <si>
    <t>율무국</t>
  </si>
  <si>
    <t>소고기뭇국</t>
  </si>
  <si>
    <t>율도국</t>
  </si>
  <si>
    <t xml:space="preserve"> 다음 중 윈도우 키보드 단축키가 다르게 연결된 것은?</t>
  </si>
  <si>
    <r>
      <t xml:space="preserve">Ctrl+S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실행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취소하기</t>
    </r>
  </si>
  <si>
    <r>
      <t xml:space="preserve">Ctrl+C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복사하기</t>
    </r>
  </si>
  <si>
    <r>
      <t xml:space="preserve">Ctrl+A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전체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선택하기</t>
    </r>
  </si>
  <si>
    <t xml:space="preserve"> 다음 걸그룹 중 멤버수가 가장 많은 그룹은?</t>
  </si>
  <si>
    <t>AOA</t>
  </si>
  <si>
    <t>레드벨벳</t>
  </si>
  <si>
    <t xml:space="preserve"> 《네덜란드, 물랭루주, 돈키호테》 공통점은?</t>
  </si>
  <si>
    <t>풍차</t>
  </si>
  <si>
    <t>튤립</t>
  </si>
  <si>
    <t>히딩크</t>
  </si>
  <si>
    <t xml:space="preserve"> 일제강점기의 기간으로 맞는 것은?</t>
  </si>
  <si>
    <t>1910~1945년</t>
  </si>
  <si>
    <t>1911~1945년</t>
  </si>
  <si>
    <t>1918~1945년</t>
  </si>
  <si>
    <t xml:space="preserve"> 오케스트라에서 전체 악기를 조율할 때 음의 기준이 되는 악기는?</t>
  </si>
  <si>
    <t>바이올린</t>
  </si>
  <si>
    <t>트럼펫</t>
  </si>
  <si>
    <t xml:space="preserve"> ‘사무실 책상 앞에서 급하게 먹는 점심’을 뜻하는 신조어는?</t>
  </si>
  <si>
    <t>워런치</t>
  </si>
  <si>
    <t>알데스코</t>
  </si>
  <si>
    <t>슬리포노믹스</t>
  </si>
  <si>
    <t xml:space="preserve"> 캐나다 국기의 단풍잎 양쪽에 있는 붉은 기둥이 의미하는 것은?</t>
  </si>
  <si>
    <r>
      <t>토착민과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이주민</t>
    </r>
  </si>
  <si>
    <r>
      <t>영국과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프랑스</t>
    </r>
  </si>
  <si>
    <r>
      <t>태평양과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대서양</t>
    </r>
  </si>
  <si>
    <t xml:space="preserve"> 《지식은 □과 함께 자란다》 - 괴테</t>
  </si>
  <si>
    <t>돈</t>
  </si>
  <si>
    <t>경험</t>
  </si>
  <si>
    <t>의심</t>
  </si>
  <si>
    <t xml:space="preserve"> 다음 중 국가번호가 가장 큰 나라는?</t>
  </si>
  <si>
    <t>대한민국</t>
  </si>
  <si>
    <t>체코</t>
  </si>
  <si>
    <t xml:space="preserve"> ‘남의 비밀을 알아내어 다른 사람에게 알려 준다’는 뜻의 우리말은?</t>
  </si>
  <si>
    <r>
      <t>장쇠를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</si>
  <si>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알쇠를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주다</t>
    </r>
  </si>
  <si>
    <r>
      <t>발쇠를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서다</t>
    </r>
  </si>
  <si>
    <t xml:space="preserve"> 승마에서 말이 대각선이 되는 두발을 동시에 들면서 걷거나 달리는 보법은?</t>
  </si>
  <si>
    <r>
      <t>발라드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</si>
  <si>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r>
      <t>트롯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보법</t>
    </r>
  </si>
  <si>
    <r>
      <t>탱고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</si>
  <si>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t xml:space="preserve"> 대중의 인기를 얻기 위해 선심성 정책을 공약하는 것은?</t>
  </si>
  <si>
    <t>포퓰리즘</t>
  </si>
  <si>
    <t>레이니즘</t>
  </si>
  <si>
    <t>에어리즘</t>
  </si>
  <si>
    <t xml:space="preserve"> 《피라미드, 클레오파트라, 아낙수나문》 연상되는 나라는?</t>
  </si>
  <si>
    <t>이집트</t>
  </si>
  <si>
    <t xml:space="preserve"> 다음 중 조류가 아닌 것은?</t>
  </si>
  <si>
    <t>박쥐</t>
  </si>
  <si>
    <t>펭귄</t>
  </si>
  <si>
    <t>타조</t>
  </si>
  <si>
    <t xml:space="preserve"> ‘나의 죽음을 적에게 알리지 마라’로 유명한 이순신 장군의 전투는?</t>
  </si>
  <si>
    <t>노량해전</t>
  </si>
  <si>
    <t>명량대첩</t>
  </si>
  <si>
    <t>옥포해전</t>
  </si>
  <si>
    <t xml:space="preserve"> 우리나라 프로농구에서 공격 제한 시간은?</t>
  </si>
  <si>
    <t>21초</t>
  </si>
  <si>
    <t>24초</t>
  </si>
  <si>
    <t>26초</t>
  </si>
  <si>
    <t xml:space="preserve"> 다음 중 에스프레소 기반 음료가 아닌 것은?</t>
  </si>
  <si>
    <t>아인슈페너</t>
  </si>
  <si>
    <t>샤케라또</t>
  </si>
  <si>
    <t>뱅쇼</t>
  </si>
  <si>
    <t xml:space="preserve"> ‘새로운 물결’이라는 뜻의 1950년대 프랑스 영화 운동은?</t>
  </si>
  <si>
    <t>봉주르</t>
  </si>
  <si>
    <t>누벨바그</t>
  </si>
  <si>
    <t>다다이즘</t>
  </si>
  <si>
    <t xml:space="preserve"> 첨단 제품에 예술을 접목시켜 브랜드의 품격을 높이는 마케팅 기법은?</t>
  </si>
  <si>
    <r>
      <t>데카르트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마케팅</t>
    </r>
  </si>
  <si>
    <r>
      <t>바이럴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</si>
  <si>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r>
      <t>인플루언서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</si>
  <si>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t xml:space="preserve"> ‘치자 피즈’처럼 음절 순서를 뒤바꿔 말하는 실수는?</t>
  </si>
  <si>
    <t>스푸너리즘</t>
  </si>
  <si>
    <t>포크너리즘</t>
  </si>
  <si>
    <t>찹스틱리즘</t>
  </si>
  <si>
    <t xml:space="preserve"> 다음 중 백합과에 속는 작물이 아닌 것은?</t>
  </si>
  <si>
    <t>둥굴레</t>
  </si>
  <si>
    <t>양파</t>
  </si>
  <si>
    <t xml:space="preserve"> 극지방에서 목격되는 ‘오로라(Aurora)’의 뜻은?</t>
  </si>
  <si>
    <t>하늘</t>
  </si>
  <si>
    <t>별</t>
  </si>
  <si>
    <t>새벽</t>
  </si>
  <si>
    <t>‘호랑이’를 뜻하는 한자가 쓰인 사자성어는?</t>
  </si>
  <si>
    <t>호연지기</t>
  </si>
  <si>
    <t>호사다마</t>
  </si>
  <si>
    <t>호시탐탐</t>
  </si>
  <si>
    <t xml:space="preserve"> 사이버 공간에서 사용자의 분신(分身)처럼 사용되는 그래픽 이미지는?</t>
  </si>
  <si>
    <t>아이디</t>
  </si>
  <si>
    <t>아바타</t>
  </si>
  <si>
    <t>좀비</t>
  </si>
  <si>
    <t xml:space="preserve"> 윷놀이에서 윷가락의 개수는?</t>
  </si>
  <si>
    <t>5개</t>
  </si>
  <si>
    <t xml:space="preserve"> 개의 품종이 아닌 것은?</t>
  </si>
  <si>
    <r>
      <t>세인트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버나드</t>
    </r>
  </si>
  <si>
    <r>
      <t>러시안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불루</t>
    </r>
  </si>
  <si>
    <r>
      <t>그레이트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데인</t>
    </r>
  </si>
  <si>
    <t xml:space="preserve"> 다음 중 힙합 레이블 ‘일리네어’의 소속이 아닌 연예인은?</t>
  </si>
  <si>
    <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콰이엇</t>
    </r>
  </si>
  <si>
    <r>
      <t>형동이와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대준이</t>
    </r>
  </si>
  <si>
    <t>빈지노</t>
  </si>
  <si>
    <t xml:space="preserve"> 《굿이나 보고 □이나 먹지》 에 들어갈 말은?</t>
  </si>
  <si>
    <t>밥</t>
  </si>
  <si>
    <t>꿀</t>
  </si>
  <si>
    <t>떡</t>
  </si>
  <si>
    <t xml:space="preserve"> 미국 화폐 중 행운의 지폐라고 알려진 2달러에 새겨진 인물은?</t>
  </si>
  <si>
    <r>
      <t>토마스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제퍼슨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</si>
  <si>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</si>
  <si>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r>
      <t>벤자민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프랭클린</t>
    </r>
  </si>
  <si>
    <t xml:space="preserve"> 비디오 아트의 창시자는?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</si>
  <si>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</t>
    </r>
  </si>
  <si>
    <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보테로</t>
    </r>
  </si>
  <si>
    <t>백남준</t>
  </si>
  <si>
    <t xml:space="preserve"> 다음 중 섬나라는?</t>
  </si>
  <si>
    <t>오스트레일리아</t>
  </si>
  <si>
    <t>그리스</t>
  </si>
  <si>
    <t>퉁가</t>
  </si>
  <si>
    <t xml:space="preserve"> 《배고픈 민상은 햄버거를 □ 물었다》 알맞은 말은?</t>
  </si>
  <si>
    <t>덮썩</t>
  </si>
  <si>
    <t>덥썩</t>
  </si>
  <si>
    <t>덥석</t>
  </si>
  <si>
    <t xml:space="preserve"> ‘방향이 없이 이리저리 함부로 부는 바람은’?</t>
  </si>
  <si>
    <t>색바람</t>
  </si>
  <si>
    <t>왜바람</t>
  </si>
  <si>
    <t>살바람</t>
  </si>
  <si>
    <t xml:space="preserve"> 다음 중 원소의 불꽃 반응 색이 잘못 연결된 것은?</t>
  </si>
  <si>
    <r>
      <t>나트륨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노란색</t>
    </r>
  </si>
  <si>
    <t>구리-주황색</t>
  </si>
  <si>
    <r>
      <t>루비듐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빨간색</t>
    </r>
  </si>
  <si>
    <t xml:space="preserve"> 수도와 국명이 다른나라는?</t>
  </si>
  <si>
    <t>알제리</t>
  </si>
  <si>
    <t>싱가포르</t>
  </si>
  <si>
    <t>룩쌤부르크</t>
  </si>
  <si>
    <t xml:space="preserve"> 범인 식별을 위해 구금 과정에서 촬영하는 얼굴 사진을 뜻하는 말은?</t>
  </si>
  <si>
    <t>헤드샷</t>
  </si>
  <si>
    <t>머그샷</t>
  </si>
  <si>
    <t>페이스샷</t>
  </si>
  <si>
    <t xml:space="preserve"> 디즈니랜드가 없는 나라는?</t>
  </si>
  <si>
    <t>일본</t>
  </si>
  <si>
    <t xml:space="preserve"> 결혼 전 우울한 상태를 뜻하는 말은 메리지 모라고 한다. 알맞은 말은?</t>
  </si>
  <si>
    <t>화이트</t>
  </si>
  <si>
    <t>옐로우</t>
  </si>
  <si>
    <t>블루</t>
  </si>
  <si>
    <t xml:space="preserve"> Mnet &lt;프로듀스 101&gt;출신 멤버가 없는 걸그룹은?</t>
  </si>
  <si>
    <t>다이아</t>
  </si>
  <si>
    <t>러블리즈</t>
  </si>
  <si>
    <t>구구단</t>
  </si>
  <si>
    <t xml:space="preserve"> 다음 중 자화상으로 유명한 네덜란드의 화가는?</t>
  </si>
  <si>
    <t>렘브란트</t>
  </si>
  <si>
    <r>
      <t>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로스</t>
    </r>
  </si>
  <si>
    <r>
      <t>구스타프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클림트</t>
    </r>
  </si>
  <si>
    <t xml:space="preserve"> ‘소꿉놀이’와 의미가 다른 하나는?</t>
  </si>
  <si>
    <t>하루살이</t>
  </si>
  <si>
    <t>빠꿈살이</t>
  </si>
  <si>
    <t>세간살이</t>
  </si>
  <si>
    <t xml:space="preserve"> 다음 중 세계에서 길이가 가장 긴 산맥은?</t>
  </si>
  <si>
    <t>로키</t>
  </si>
  <si>
    <t>안데스</t>
  </si>
  <si>
    <t>히말라야</t>
  </si>
  <si>
    <t xml:space="preserve"> 사내를 낮잡아 이르는 말의 표기법으로 올바른 것은?</t>
  </si>
  <si>
    <t>놈팡이</t>
  </si>
  <si>
    <t>놈팽이</t>
  </si>
  <si>
    <t>곰팡이</t>
  </si>
  <si>
    <t xml:space="preserve"> 세계 최초의 인공위성 이름은?</t>
  </si>
  <si>
    <r>
      <t>스푸트니크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</si>
  <si>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r>
      <t>익스플로러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</si>
  <si>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아폴로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</si>
  <si>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북유럽 신화에서 ‘인간 세계’를 뜻하는 말은?</t>
  </si>
  <si>
    <t>니플헤임</t>
  </si>
  <si>
    <t>미드가르드</t>
  </si>
  <si>
    <t>아스가르드</t>
  </si>
  <si>
    <t xml:space="preserve"> 영화 ‘뷰티풀 마인드’에서 주인공인 존 내쉬가 앓던 병은?</t>
  </si>
  <si>
    <t>조울병</t>
  </si>
  <si>
    <t>상사병</t>
  </si>
  <si>
    <t>조현병</t>
  </si>
  <si>
    <t xml:space="preserve"> 세계 4대 문명이 아닌 것은?</t>
  </si>
  <si>
    <r>
      <t>메소포타미아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</si>
  <si>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r>
      <t>스팀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문명</t>
    </r>
  </si>
  <si>
    <r>
      <t>황하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</si>
  <si>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t xml:space="preserve"> 다음 중 ‘고양이과’에 해당하지 않은 것은?</t>
  </si>
  <si>
    <t>호랑이</t>
  </si>
  <si>
    <t>여우</t>
  </si>
  <si>
    <t xml:space="preserve"> 24절기 중 첫 번째 절기는?</t>
  </si>
  <si>
    <t>입춘</t>
  </si>
  <si>
    <t>경칩</t>
  </si>
  <si>
    <t>우수</t>
  </si>
  <si>
    <t xml:space="preserve"> 부가가치세 판매세처럼 납세자들이 세금을 내고 있다는 사실을 체감하지 못하도록 한 세금은?</t>
  </si>
  <si>
    <r>
      <t>스파이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</t>
    </r>
  </si>
  <si>
    <r>
      <t>스텔스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세금</t>
    </r>
  </si>
  <si>
    <t>홈택스</t>
  </si>
  <si>
    <t xml:space="preserve"> 애니메이션 ‘꼬마버스 타요’에서 타요의 색깔은 무엇일까요?</t>
  </si>
  <si>
    <t xml:space="preserve"> 우리나라 여름 날씨에 영향을 주는 기단은?</t>
  </si>
  <si>
    <r>
      <t>시베리아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</si>
  <si>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양쯔강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</si>
  <si>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북태평양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기단</t>
    </r>
  </si>
  <si>
    <t xml:space="preserve"> 방송 프로그램과 프로그램 사이 시간을 이용해 전달하는 토막 뉴스는?</t>
  </si>
  <si>
    <r>
      <t>스푼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뉴스</t>
    </r>
  </si>
  <si>
    <r>
      <t>스폿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뉴스</t>
    </r>
  </si>
  <si>
    <t>스쿠프</t>
  </si>
  <si>
    <t xml:space="preserve"> 머리가 잠시 멍한 상태가 되어 하려던 말이나 행동을 까맣게 잊는 현상은?</t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</si>
  <si>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트림</t>
    </r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</si>
  <si>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딸꾹질</t>
    </r>
  </si>
  <si>
    <r>
      <t>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방귀</t>
    </r>
  </si>
  <si>
    <t xml:space="preserve"> &lt;모의 양을 속여 팔면 그 벌로 물속에 던져 익사시킨다&gt; - 함무라비 법전</t>
  </si>
  <si>
    <t>커피</t>
  </si>
  <si>
    <t>우유</t>
  </si>
  <si>
    <t>맥주</t>
  </si>
  <si>
    <t>도널드 트럼프가 출연한 영화가 아닌 것은?</t>
  </si>
  <si>
    <r>
      <t>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집에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</si>
  <si>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윅스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노티스</t>
    </r>
  </si>
  <si>
    <t>아마겟돈</t>
  </si>
  <si>
    <t xml:space="preserve"> 다음 중 사람 이름에서 유래한 상은?</t>
  </si>
  <si>
    <t>아카데미상</t>
  </si>
  <si>
    <t>퓰리처상</t>
  </si>
  <si>
    <t>맨부커상</t>
  </si>
  <si>
    <t xml:space="preserve"> 쿠바의 민속 리듬인 룸바에 재즈 요소를 가미한 리듬 또는 그 춤곡은?</t>
  </si>
  <si>
    <t>맘보</t>
  </si>
  <si>
    <t>삼보</t>
  </si>
  <si>
    <t>플라멩코</t>
  </si>
  <si>
    <t xml:space="preserve"> ‘고래싸움에 모 터진다’에서 모안에 들어갈 것은?</t>
  </si>
  <si>
    <t>폭죽</t>
  </si>
  <si>
    <t>풍선</t>
  </si>
  <si>
    <t>새우등</t>
  </si>
  <si>
    <t xml:space="preserve"> 컴퓨터 시스템을 사용할 수 없도록 만든 뒤, 이를 통해 금전을 요구하는 악성 프로그램은?</t>
  </si>
  <si>
    <t>루팡웨어</t>
  </si>
  <si>
    <t>랜섬웨어</t>
  </si>
  <si>
    <t>비치웨어</t>
  </si>
  <si>
    <t xml:space="preserve"> 우리나라 멸종 위기의 야생동물이 아닌 것은?</t>
  </si>
  <si>
    <t>멧돼지</t>
  </si>
  <si>
    <t>삵</t>
  </si>
  <si>
    <t xml:space="preserve"> 《슬랩스틱 코미디, 콧수염, 모던타임즈》 연상되는 사람은?</t>
  </si>
  <si>
    <r>
      <t>셜록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홈즈</t>
    </r>
  </si>
  <si>
    <r>
      <t>닥터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스트레인지</t>
    </r>
  </si>
  <si>
    <r>
      <t>찰리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채플린</t>
    </r>
  </si>
  <si>
    <t xml:space="preserve"> &lt;상대방에 대한 이미지는 비언어적 요소가 더 큰 영향을 준다&gt;는 법칙은?</t>
  </si>
  <si>
    <r>
      <t>포메라니안의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</si>
  <si>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메라비언의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</si>
  <si>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아이라이너의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</si>
  <si>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가격이 비쌀수록 오히려 구매 소비자의 수가 늘어나는 현상은?</t>
  </si>
  <si>
    <r>
      <t>구매버블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</si>
  <si>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r>
      <t>베블런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</t>
    </r>
  </si>
  <si>
    <r>
      <t>이코노믹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</si>
  <si>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t xml:space="preserve"> 고대 그리스에서는 모에 이름을 써서 투표하는 선거를 실시했다. 모는?</t>
  </si>
  <si>
    <r>
      <t>동물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가죽</t>
    </r>
  </si>
  <si>
    <r>
      <t>도자기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파편</t>
    </r>
  </si>
  <si>
    <r>
      <t>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</si>
  <si>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다음 중 틀린 말은?</t>
  </si>
  <si>
    <t>애초</t>
  </si>
  <si>
    <t>애당초</t>
  </si>
  <si>
    <t>애시당초</t>
  </si>
  <si>
    <t xml:space="preserve"> 주거지에 빈 집이 기하급수적으로 늘어나 사회 문제로 번지는 것을 뜻하는 말은?</t>
  </si>
  <si>
    <t>빈집쇼크</t>
  </si>
  <si>
    <t>프리하우징</t>
  </si>
  <si>
    <t>엠티타운</t>
  </si>
  <si>
    <t xml:space="preserve"> 일반적으로 엄마가 O형, 아빠가 AB형일 때 나올 수 없는 혈액형은?</t>
  </si>
  <si>
    <t>B형</t>
  </si>
  <si>
    <t>AB형</t>
  </si>
  <si>
    <t>A형</t>
  </si>
  <si>
    <t xml:space="preserve"> 조선시대 유학자로 ‘이기호발설’을 주장한 사람은?</t>
  </si>
  <si>
    <r>
      <t>율곡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이이</t>
    </r>
  </si>
  <si>
    <r>
      <t>다산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정약용</t>
    </r>
  </si>
  <si>
    <r>
      <t>퇴계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이황</t>
    </r>
  </si>
  <si>
    <t xml:space="preserve"> 제주도에 없는 동굴은?</t>
  </si>
  <si>
    <t>벵뒤굴</t>
  </si>
  <si>
    <t>쌍용동굴</t>
  </si>
  <si>
    <t>화암동굴</t>
  </si>
  <si>
    <t xml:space="preserve"> ‘아이들 같은 감성과 취향을 지닌 어른’을 지칭하는 용어는?</t>
  </si>
  <si>
    <t>키덜트</t>
  </si>
  <si>
    <t>애어른</t>
  </si>
  <si>
    <t>홍인규</t>
  </si>
  <si>
    <t xml:space="preserve"> ‘2018년 5월 설문결과, 한국인이 좋아하는 TV프로그램 1위’는? (한국갤럽)</t>
  </si>
  <si>
    <r>
      <t>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혼자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산다</t>
    </r>
  </si>
  <si>
    <r>
      <t>전국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노래자랑</t>
    </r>
  </si>
  <si>
    <r>
      <t>맛있는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녀석들</t>
    </r>
  </si>
  <si>
    <t xml:space="preserve"> 다음 중 당구의 종목이 아닌 것은?</t>
  </si>
  <si>
    <t>포켓볼</t>
  </si>
  <si>
    <t>스누커</t>
  </si>
  <si>
    <t>알까기</t>
  </si>
  <si>
    <t xml:space="preserve"> 다음 중 &lt;조깅(jogging)&gt;의 뜻으로 알맞은 것은?</t>
  </si>
  <si>
    <r>
      <t>쾌활하게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</si>
  <si>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r>
      <t>천천히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뛰기</t>
    </r>
  </si>
  <si>
    <r>
      <t>아침에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</si>
  <si>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t xml:space="preserve"> 스쿠버 다이빙의 가장 입문단계 자격증은?</t>
  </si>
  <si>
    <r>
      <t>오픈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워터</t>
    </r>
  </si>
  <si>
    <t>레스큐</t>
  </si>
  <si>
    <r>
      <t>클로즈드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베타</t>
    </r>
  </si>
  <si>
    <t xml:space="preserve"> 볼링에서 퍼펙트 게임의 점수는 몇점일까?</t>
  </si>
  <si>
    <t xml:space="preserve"> 만화&lt;소년탐정 김전일&gt;의 주인공 김전일이 사건을 해결하기 전 항상하는 말은?</t>
  </si>
  <si>
    <r>
      <t>할아버지께서는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말씀하셨지</t>
    </r>
  </si>
  <si>
    <r>
      <t>할아버지의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명예를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걸고</t>
    </r>
  </si>
  <si>
    <r>
      <t>진실은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너머에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있어요</t>
    </r>
  </si>
  <si>
    <t xml:space="preserve"> 시리즈 사상 최고 오프닝 성적을 거둔 오션스 시리즈는? (북미 박스오피스)</t>
  </si>
  <si>
    <t>오션스11</t>
  </si>
  <si>
    <t>오션스12</t>
  </si>
  <si>
    <r>
      <t xml:space="preserve">PG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Perfect Grade</t>
    </r>
  </si>
  <si>
    <r>
      <t xml:space="preserve">HG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High Grade</t>
    </r>
  </si>
  <si>
    <t>‘Circle of Life’는 어떤 뮤지컬의 OST일까?</t>
  </si>
  <si>
    <r>
      <t>록키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픽쳐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쇼</t>
    </r>
  </si>
  <si>
    <r>
      <t>라이온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킹</t>
    </r>
  </si>
  <si>
    <t xml:space="preserve"> 다음 중 발현악기가 아닌 것은?</t>
  </si>
  <si>
    <r>
      <t>클래식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기타</t>
    </r>
  </si>
  <si>
    <t>가야금</t>
  </si>
  <si>
    <t>해금</t>
  </si>
  <si>
    <t xml:space="preserve"> 다음 중 국내에서 가장 최근에 발행된 기념우표는?</t>
  </si>
  <si>
    <r>
      <t>민주선거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70주년</t>
    </r>
  </si>
  <si>
    <t>2018 평창동계올림픽대회</t>
  </si>
  <si>
    <r>
      <t>독립기념관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30주년</t>
    </r>
  </si>
  <si>
    <t xml:space="preserve"> 칠월칠석에 견우와 직녀가 만나는 다리의 이름은?</t>
  </si>
  <si>
    <t>양화대교</t>
  </si>
  <si>
    <t>출렁다리</t>
  </si>
  <si>
    <t>오작교</t>
  </si>
  <si>
    <t xml:space="preserve"> 1×2×3×4×5×6×7×8×9×0=?</t>
  </si>
  <si>
    <t>‘청각적 자극에 반응하여 나타나는 심리적 안정감 등의 경험’을 나타내는 용어는?</t>
  </si>
  <si>
    <t>SMAP</t>
  </si>
  <si>
    <t>ASMR</t>
  </si>
  <si>
    <t>ASAP</t>
  </si>
  <si>
    <t xml:space="preserve"> 2018년 G20 정상회담이 열린 나라는?</t>
  </si>
  <si>
    <t>사우디아라비아</t>
  </si>
  <si>
    <t xml:space="preserve"> “날좀보소~날좀보소~동지 섣달~”로 시작하는 아리랑은?</t>
  </si>
  <si>
    <r>
      <t>진도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</si>
  <si>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정선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</si>
  <si>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밀양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아리랑</t>
    </r>
  </si>
  <si>
    <t xml:space="preserve"> 다음 중 고리가 없는 행성은?</t>
  </si>
  <si>
    <t>토성</t>
  </si>
  <si>
    <t>목성</t>
  </si>
  <si>
    <t xml:space="preserve"> 다음 중 ‘화산섬’인 것은?</t>
  </si>
  <si>
    <t>완도</t>
  </si>
  <si>
    <t>울릉도</t>
  </si>
  <si>
    <t xml:space="preserve"> “인간은 생각하는 갈대이다”라는 명언을 남긴 학자는 누구일까?</t>
  </si>
  <si>
    <t>아리스토텔레스</t>
  </si>
  <si>
    <t>파스칼</t>
  </si>
  <si>
    <t>데카르트</t>
  </si>
  <si>
    <t xml:space="preserve"> 다음 중 ‘멍 때리다’를 뜻하는 영어 관용어는?</t>
  </si>
  <si>
    <t>work out</t>
  </si>
  <si>
    <t>zoom out</t>
  </si>
  <si>
    <t>space out</t>
  </si>
  <si>
    <t xml:space="preserve"> 세계 최초의 원자로는?</t>
  </si>
  <si>
    <r>
      <t>워싱턴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</si>
  <si>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파일</t>
    </r>
  </si>
  <si>
    <r>
      <t>보스턴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</si>
  <si>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t xml:space="preserve"> 다음 중 뜻이 다른 하나는?</t>
  </si>
  <si>
    <t>날개</t>
  </si>
  <si>
    <t>나해</t>
  </si>
  <si>
    <t>나래</t>
  </si>
  <si>
    <t xml:space="preserve"> 지진의 ‘규모’를 나타내는 숫자가 0 증가 할 때, 에너지는 몇 배 증가할까?</t>
  </si>
  <si>
    <t>16배</t>
  </si>
  <si>
    <t>32배</t>
  </si>
  <si>
    <t>100배</t>
  </si>
  <si>
    <t xml:space="preserve"> 국내 비트코인 거래소가 아닌 곳은?</t>
  </si>
  <si>
    <t>페이코</t>
  </si>
  <si>
    <t>빗썸</t>
  </si>
  <si>
    <t>업비트</t>
  </si>
  <si>
    <t xml:space="preserve"> 일보 애니에이션 도라에몽은 무엇을 모델로 한 캐릭터 인가?</t>
  </si>
  <si>
    <t>도깨비</t>
  </si>
  <si>
    <t>원숭이</t>
  </si>
  <si>
    <t xml:space="preserve"> 필요할 때는 쓰고 필요 없을 때는 버린다는 뜻의 ‘토사구팽’에 등장하지 않는 동물은?</t>
  </si>
  <si>
    <t>토끼</t>
  </si>
  <si>
    <t>두더지</t>
  </si>
  <si>
    <t>개</t>
  </si>
  <si>
    <t xml:space="preserve"> 테슬라의 CEO이자 아이언맨의 실제 모델로 불리는 인물은?</t>
  </si>
  <si>
    <r>
      <t>토니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스타크</t>
    </r>
  </si>
  <si>
    <r>
      <t>엘론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머스크</t>
    </r>
  </si>
  <si>
    <r>
      <t>로벝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다우니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주니어</t>
    </r>
  </si>
  <si>
    <t xml:space="preserve"> 정치계에서 흑색선전(黑色宣傳)과 비슷한 의미로 쓰이는 단어는?</t>
  </si>
  <si>
    <t>마타도어</t>
  </si>
  <si>
    <t>헤게모니</t>
  </si>
  <si>
    <t>아비투스</t>
  </si>
  <si>
    <t xml:space="preserve"> 현재 스타벅스 1호점은 어디에 있을까?</t>
  </si>
  <si>
    <t>뉴욕</t>
  </si>
  <si>
    <t>시애틀</t>
  </si>
  <si>
    <t xml:space="preserve"> 악보에서 ‘매우 세게’연주하라는 말은?</t>
  </si>
  <si>
    <t>데크레센도</t>
  </si>
  <si>
    <t>피아니시모</t>
  </si>
  <si>
    <t>포르티시모</t>
  </si>
  <si>
    <t xml:space="preserve"> 네덜란드의 한 문화사학자가 제창한 개념으로 인간의 본질을 ‘유희’라고 한 인간관은?</t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</si>
  <si>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로켄스</t>
    </r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</si>
  <si>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파베르</t>
    </r>
  </si>
  <si>
    <r>
      <t>호모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루덴스</t>
    </r>
  </si>
  <si>
    <t xml:space="preserve"> 맛은 혓바닥과 입천장에 있는 이곳에서 느끼는데 ‘미뢰’라고도 불리는 이것은?</t>
  </si>
  <si>
    <t>꽃봉오리</t>
  </si>
  <si>
    <t>맛봉오리</t>
  </si>
  <si>
    <t>닷봉오리</t>
  </si>
  <si>
    <t xml:space="preserve"> &lt;빌어먹는 놈이 모을 마다할까&gt;에서 모에 들어갈 말은?</t>
  </si>
  <si>
    <t>된밥</t>
  </si>
  <si>
    <t>떡밥</t>
  </si>
  <si>
    <t>콩밥</t>
  </si>
  <si>
    <t xml:space="preserve"> 역대 최고령 노벨 문학상 수상자는?</t>
  </si>
  <si>
    <r>
      <t>앨리슨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먼로</t>
    </r>
  </si>
  <si>
    <r>
      <t>도리스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레싱</t>
    </r>
  </si>
  <si>
    <r>
      <t>윌리엄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포크너</t>
    </r>
  </si>
  <si>
    <t xml:space="preserve"> 다음 중 우리나라 경찰 공무원의 계급으로 가장 높은 것은?</t>
  </si>
  <si>
    <t>경무관</t>
  </si>
  <si>
    <t>경감</t>
  </si>
  <si>
    <t>치안감</t>
  </si>
  <si>
    <t xml:space="preserve"> 2014 브라질 월드컵 최종 우승국은?</t>
  </si>
  <si>
    <t xml:space="preserve"> 족집게 예언으로 화제된 문어 ‘파울’에 버금가는 2018 월드컵의 족집게 동물은?</t>
  </si>
  <si>
    <t>공룡</t>
  </si>
  <si>
    <t>봉황</t>
  </si>
  <si>
    <t xml:space="preserve"> 2022년 월드컵이 열리는 나라는?</t>
  </si>
  <si>
    <t>이란</t>
  </si>
  <si>
    <t>카타르</t>
  </si>
  <si>
    <t xml:space="preserve"> 월드컵 본선에서 우리나라 첫 원정승 상대국가는?</t>
  </si>
  <si>
    <t xml:space="preserve"> 역대 FIFA 월드컵 최다 우승국은?</t>
  </si>
  <si>
    <t xml:space="preserve"> 2018 월드컵 우승 국가에게 주는 우승 상금은?</t>
  </si>
  <si>
    <t>5800만달러</t>
  </si>
  <si>
    <t>4800만달러</t>
  </si>
  <si>
    <t>3800만달러</t>
  </si>
  <si>
    <t xml:space="preserve"> 2018 월드컵의 개 · 폐막식이 열리는 장소는?</t>
  </si>
  <si>
    <r>
      <t>루즈니키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스타디움</t>
    </r>
  </si>
  <si>
    <r>
      <t>칼리닌그라드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</si>
  <si>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r>
      <t>크레스톱스키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</si>
  <si>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t xml:space="preserve"> 2018 월드컵 국가별 조편성이 틀린 것은?</t>
  </si>
  <si>
    <t>일본, 폴란드, 콜롬비아</t>
  </si>
  <si>
    <t>덴마크, 아르헨티나, 페루</t>
  </si>
  <si>
    <t>독일, 스웨덴, 대한민국</t>
  </si>
  <si>
    <t xml:space="preserve"> 2018 월드컵에 참가한 선수 중 등번호가 다른 사람은?</t>
  </si>
  <si>
    <r>
      <t>크리스티아누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호날두(포르투갈)</t>
    </r>
  </si>
  <si>
    <r>
      <t>리오넬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메시(아르헨티나)</t>
    </r>
  </si>
  <si>
    <r>
      <t>사울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니게스(스페인)</t>
    </r>
  </si>
  <si>
    <t xml:space="preserve"> 2018 월드컵에서 ‘대회1호 퇴장’의 불명예를 안은 나라는?</t>
  </si>
  <si>
    <t>콜롬비아</t>
  </si>
  <si>
    <t xml:space="preserve"> 역대 월드컵 축구경기 중 최단시간 퇴장 기록은?</t>
  </si>
  <si>
    <t>54초</t>
  </si>
  <si>
    <r>
      <t>1분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32초</t>
    </r>
  </si>
  <si>
    <r>
      <t>2분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56초</t>
    </r>
  </si>
  <si>
    <t xml:space="preserve"> 2018 월드컵에 참가 중인 국가와 감독이 잘못 연결된 것은?</t>
  </si>
  <si>
    <r>
      <t>스페인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이에로</t>
    </r>
  </si>
  <si>
    <r>
      <t>독일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요아힘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뢰프</t>
    </r>
  </si>
  <si>
    <r>
      <t>브라질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페르난도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산토스</t>
    </r>
  </si>
  <si>
    <t xml:space="preserve"> 속담 ‘같은 값이면 모’에서 모는?</t>
  </si>
  <si>
    <t>월남치마</t>
  </si>
  <si>
    <t>다홍치마</t>
  </si>
  <si>
    <t>검정치마</t>
  </si>
  <si>
    <t xml:space="preserve"> &lt;모을/를 사용하는 민족이 21세기 정보화시대를 지배한다&gt; - 엘빈 토플러</t>
  </si>
  <si>
    <t>양은냄비</t>
  </si>
  <si>
    <t xml:space="preserve"> 다음 중 결혼한 사람은?</t>
  </si>
  <si>
    <t>베토벤</t>
  </si>
  <si>
    <t>소크라테스</t>
  </si>
  <si>
    <t>고흐</t>
  </si>
  <si>
    <t xml:space="preserve"> 다음 중 G7에 속하는 나라는?</t>
  </si>
  <si>
    <t>한국</t>
  </si>
  <si>
    <t xml:space="preserve"> 조선시대 양반층의 풍류, 남녀 간의 연애 등을 주로 그린 풍속화가는?</t>
  </si>
  <si>
    <t>신윤복</t>
  </si>
  <si>
    <t>신사임당</t>
  </si>
  <si>
    <t>김정희</t>
  </si>
  <si>
    <t xml:space="preserve"> 고양이가 먹어도 되는 안전한 음식은?</t>
  </si>
  <si>
    <r>
      <t>익히지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생선</t>
    </r>
  </si>
  <si>
    <r>
      <t>삶은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고구마</t>
    </r>
  </si>
  <si>
    <r>
      <t>사람이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참치캔</t>
    </r>
  </si>
  <si>
    <t xml:space="preserve"> ‘신선도 지수’로 영화나 TV쇼를 평가하는 미국 사이트는?</t>
  </si>
  <si>
    <r>
      <t>로튼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토마토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</si>
  <si>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멜론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</si>
  <si>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레몬</t>
    </r>
  </si>
  <si>
    <t xml:space="preserve"> 액체 상태의 물질이 기체 상태의 물질로 변화하는 현상은?</t>
  </si>
  <si>
    <t>액화</t>
  </si>
  <si>
    <t>기화</t>
  </si>
  <si>
    <t>승화</t>
  </si>
  <si>
    <t xml:space="preserve"> 아인슈타인에게 노벨 물리학상을 안겨준 논문은?</t>
  </si>
  <si>
    <r>
      <t>일반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</si>
  <si>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특수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</si>
  <si>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광양자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가설(광전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효과)</t>
    </r>
  </si>
  <si>
    <t xml:space="preserve"> 사물 인터넷, 빅 데이터 등 첨단 정보통시기술의 발달로 산업의 경계가 모호해지는 현상은?</t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</si>
  <si>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데이터</t>
    </r>
  </si>
  <si>
    <r>
      <t>빅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블러</t>
    </r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</si>
  <si>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브라더</t>
    </r>
  </si>
  <si>
    <t xml:space="preserve"> 법인 세율이 낮은 아일랜드의 세법을 이용한 글로벌 기업의 세금회피 방식은?</t>
  </si>
  <si>
    <r>
      <t>싱글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</si>
  <si>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r>
      <t>더블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아이리시</t>
    </r>
  </si>
  <si>
    <r>
      <t>트리플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</si>
  <si>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t xml:space="preserve"> 인간이 실제 만든 물체 중 지구에서 가장 멀리 있는 것은?</t>
  </si>
  <si>
    <r>
      <t>보이저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</si>
  <si>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t>뉴호라이즌호</t>
  </si>
  <si>
    <t>엔터프라이즈호</t>
  </si>
  <si>
    <t xml:space="preserve"> 속담 중 낮말은 새가 듣고 밤말은 누가 들을까?</t>
  </si>
  <si>
    <t>배트맨</t>
  </si>
  <si>
    <t xml:space="preserve"> 중국과 일본의 영토분쟁이 있는 곳의 명칭으로 맞는 것은?</t>
  </si>
  <si>
    <r>
      <t>센세이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</si>
  <si>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센사람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</si>
  <si>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센카쿠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열도</t>
    </r>
    <r>
      <rPr>
        <sz val="10"/>
        <color rgb="FF000000"/>
        <rFont val="Times New Roman"/>
        <family val="1"/>
      </rPr>
      <t xml:space="preserve"> </t>
    </r>
  </si>
  <si>
    <t xml:space="preserve"> 다음 중 육지가 높이 솟아 올라 산맥을 만드는 활동은?</t>
  </si>
  <si>
    <t>조산운동</t>
  </si>
  <si>
    <t>출산운동</t>
  </si>
  <si>
    <t>케겔운동</t>
  </si>
  <si>
    <t xml:space="preserve"> 리볼버 권총에 1개의 총알만 넣고, 서로 돌아가며 총을 자기 머리에 대고 쏘는 게임은?</t>
  </si>
  <si>
    <t>러시안룰렛</t>
  </si>
  <si>
    <t>권총게임</t>
  </si>
  <si>
    <t>회전룰렛</t>
  </si>
  <si>
    <t xml:space="preserve"> 국가공인 자산관리사를 뜻하는 용어는?</t>
  </si>
  <si>
    <t>MP (Money Planner)</t>
  </si>
  <si>
    <t>FP (Financial Planner)</t>
  </si>
  <si>
    <t>WR (Wealth Planner)</t>
  </si>
  <si>
    <t xml:space="preserve"> 마그마가 식어 굳어진 화성암의 종류가 아닌 것은?</t>
  </si>
  <si>
    <t>화산암</t>
  </si>
  <si>
    <t>반심성암</t>
  </si>
  <si>
    <t>석회암</t>
  </si>
  <si>
    <t>보쌈</t>
  </si>
  <si>
    <t>순대</t>
  </si>
  <si>
    <t>족발</t>
  </si>
  <si>
    <t xml:space="preserve"> 판문점에 있는 JSA의 뜻은?</t>
  </si>
  <si>
    <t>Josun Security Area</t>
  </si>
  <si>
    <t>Justics Security Area</t>
  </si>
  <si>
    <t>Joint Security Area</t>
  </si>
  <si>
    <t xml:space="preserve"> 율법에 의해 유대인들이 먹을 수 있는 음식을 일컫는 말은?</t>
  </si>
  <si>
    <t>코셔</t>
  </si>
  <si>
    <t>할랄</t>
  </si>
  <si>
    <t>하람</t>
  </si>
  <si>
    <t xml:space="preserve"> 야구에서 가장 재미있는 경기 내용을 보여준다는 8대 7 스코어를 뜻하는 말은?</t>
  </si>
  <si>
    <r>
      <t>펠레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</si>
  <si>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r>
      <t>케네디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스코어</t>
    </r>
  </si>
  <si>
    <r>
      <t>텍사스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</si>
  <si>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t xml:space="preserve"> 여러 번을 강조할 때 ‘골백번’이라고 한다. ‘골’이 뜻하는 숫자는?</t>
  </si>
  <si>
    <t xml:space="preserve"> 우리나라에서 자주 국방을 위해 개발한 무기 중 미사일이 아닌 것은?</t>
  </si>
  <si>
    <t>천궁</t>
  </si>
  <si>
    <t>현무</t>
  </si>
  <si>
    <t>비호</t>
  </si>
  <si>
    <t xml:space="preserve"> 다음 중 지구에서 볼 때 태양이 달에 의해서 가려지는 현상은?</t>
  </si>
  <si>
    <t>일식</t>
  </si>
  <si>
    <t>중식</t>
  </si>
  <si>
    <t>한식</t>
  </si>
  <si>
    <t xml:space="preserve"> 다음 중 ‘한국전쟁’을 소재로 한 영화가 아닌 것은?</t>
  </si>
  <si>
    <r>
      <t>태극기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휘날리며</t>
    </r>
  </si>
  <si>
    <t>인천상륙작전</t>
  </si>
  <si>
    <t xml:space="preserve"> 올림픽 마크인 오륜기에 쓰이지 않는 색상은?</t>
  </si>
  <si>
    <t>보라</t>
  </si>
  <si>
    <t xml:space="preserve"> 다음 중 벼룩에게 없는 것은?</t>
  </si>
  <si>
    <t>간</t>
  </si>
  <si>
    <t>더듬이</t>
  </si>
  <si>
    <t xml:space="preserve"> 축구와 배구에서 선수 포지션을 나타내는 용어로 수비수의 일종이며 이탈리아어로 ‘자유인’을 뜻하는 말은?</t>
  </si>
  <si>
    <t>스토퍼</t>
  </si>
  <si>
    <t>리베로</t>
  </si>
  <si>
    <t>윙백</t>
  </si>
  <si>
    <t xml:space="preserve"> 비틀즈의 Yesterday를 실제로 작곡한 사람은?</t>
  </si>
  <si>
    <r>
      <t>링고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</t>
    </r>
  </si>
  <si>
    <r>
      <t>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매카트니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</si>
  <si>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해리슨</t>
    </r>
  </si>
  <si>
    <t xml:space="preserve"> 조선 세종 때 만든 해시계의 이름은?</t>
  </si>
  <si>
    <t>자격루</t>
  </si>
  <si>
    <t>양부일구</t>
  </si>
  <si>
    <t xml:space="preserve"> 다음 중 안도현 시인의 작품이 아닌 것은?</t>
  </si>
  <si>
    <r>
      <t>너에게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묻는다</t>
    </r>
  </si>
  <si>
    <r>
      <t>접시꽃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당신</t>
    </r>
  </si>
  <si>
    <r>
      <t>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눈밭이라면</t>
    </r>
  </si>
  <si>
    <t xml:space="preserve"> 명품에 비해 저렴하지만 심리적 만족을 얻을 수 있는 고급품을 소비하는 경향은?</t>
  </si>
  <si>
    <t>매스티지</t>
  </si>
  <si>
    <r>
      <t>워버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럭셔리</t>
    </r>
  </si>
  <si>
    <t>리마케팅</t>
  </si>
  <si>
    <t xml:space="preserve"> 고대 그리스에 살았던 이솝 우화의 작가 이름은?</t>
  </si>
  <si>
    <t>아이소포스</t>
  </si>
  <si>
    <t>아르타니스</t>
  </si>
  <si>
    <t>다니모스</t>
  </si>
  <si>
    <t>신조어인 ‘이모지(Emoji)’에서 ’모지’의 의미는?</t>
  </si>
  <si>
    <t>그림</t>
  </si>
  <si>
    <t>문자</t>
  </si>
  <si>
    <t>감정</t>
  </si>
  <si>
    <t xml:space="preserve"> ‘구본신참(舊本新參)’을 원칙으로 하여 토지를 조사하고 지계 발급을 추진했던 개혁은?</t>
  </si>
  <si>
    <t>을미개혁</t>
  </si>
  <si>
    <t>갑오개혁</t>
  </si>
  <si>
    <t>광무개혁</t>
  </si>
  <si>
    <t xml:space="preserve"> 비용을 각자 부담하는 것을 이르는 말은?</t>
  </si>
  <si>
    <t>따따블</t>
  </si>
  <si>
    <r>
      <t>더치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페이</t>
    </r>
  </si>
  <si>
    <t>골든벨</t>
  </si>
  <si>
    <t xml:space="preserve"> 축구장에서 난동 및 폭력을 휘두르는 관중, 팬을 일컫는 말은?</t>
  </si>
  <si>
    <t>훌리건</t>
  </si>
  <si>
    <t>팬덤</t>
  </si>
  <si>
    <t>피터팬</t>
  </si>
  <si>
    <t xml:space="preserve"> 맥주 양조장에서 맥주 제조의 전 공정을 관리하는 양조기술자는?</t>
  </si>
  <si>
    <r>
      <t>브루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마스터</t>
    </r>
  </si>
  <si>
    <r>
      <t>브루노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</t>
    </r>
  </si>
  <si>
    <r>
      <t>브루스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윌리스</t>
    </r>
  </si>
  <si>
    <t xml:space="preserve"> 아니사키스라고 불리며, 복통의 원인이 되는 이것은?</t>
  </si>
  <si>
    <t>고래회충</t>
  </si>
  <si>
    <t>우중충</t>
  </si>
  <si>
    <t>곤충</t>
  </si>
  <si>
    <t xml:space="preserve"> 애국가 4절의 가사가 아닌 것은?</t>
  </si>
  <si>
    <r>
      <t>가을하늘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공활한데</t>
    </r>
  </si>
  <si>
    <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기상과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맘으로</t>
    </r>
  </si>
  <si>
    <r>
      <t>괴로우나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즐거우나</t>
    </r>
  </si>
  <si>
    <t xml:space="preserve"> 미국 전직 대통령 이름을 딴 항공모함이 아닌 것은?</t>
  </si>
  <si>
    <r>
      <t>USS 로널드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레이건</t>
    </r>
  </si>
  <si>
    <r>
      <t>USS 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빈슨</t>
    </r>
  </si>
  <si>
    <r>
      <t>USS 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</si>
  <si>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t xml:space="preserve"> &lt;재화 중 희소성이 있어서 대가를 지불해야만 얻을 수 있는 것&gt;을 뜻하는 용어는?</t>
  </si>
  <si>
    <t>비일비재</t>
  </si>
  <si>
    <t>자유재</t>
  </si>
  <si>
    <t>경제재</t>
  </si>
  <si>
    <t xml:space="preserve"> 뉴턴의 운동 제2법칙 ‘F=ma’에서 a란?</t>
  </si>
  <si>
    <t>질량</t>
  </si>
  <si>
    <t>가속도</t>
  </si>
  <si>
    <r>
      <t>노트에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적히면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죽는다</t>
    </r>
  </si>
  <si>
    <r>
      <t>노트의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동일한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</t>
    </r>
  </si>
  <si>
    <t xml:space="preserve"> 다음 중 가장 큰 점수는?</t>
  </si>
  <si>
    <t xml:space="preserve"> 경부고속도로의 총 길이는?(한국도로공사 기준)</t>
  </si>
  <si>
    <t>406km</t>
  </si>
  <si>
    <t>416km</t>
  </si>
  <si>
    <t>456km</t>
  </si>
  <si>
    <t xml:space="preserve"> 국제 영화 제작자 연맹에서 공인한 국제 경쟁 영화제가 아닌 것은?</t>
  </si>
  <si>
    <r>
      <t>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</si>
  <si>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국제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영화제</t>
    </r>
  </si>
  <si>
    <r>
      <t>마르텔플라타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</si>
  <si>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 xml:space="preserve"> 네팔의 수도는?</t>
  </si>
  <si>
    <t>왕만두</t>
  </si>
  <si>
    <t>카트만두</t>
  </si>
  <si>
    <t>갈비만두</t>
  </si>
  <si>
    <t xml:space="preserve"> 바나나가 숙성되어 생기는 검은 반점을 뜻하는 말은?</t>
  </si>
  <si>
    <t>포토스팟</t>
  </si>
  <si>
    <t>슈가스팟</t>
  </si>
  <si>
    <t>잭팟</t>
  </si>
  <si>
    <t xml:space="preserve"> 구름을 타고 다니는 만화주인공이 아닌 것은?</t>
  </si>
  <si>
    <r>
      <t>배추도사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무도사</t>
    </r>
  </si>
  <si>
    <r>
      <t>드래곤볼의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손오공</t>
    </r>
  </si>
  <si>
    <t>범블비</t>
  </si>
  <si>
    <t xml:space="preserve"> 화성의 대기는 95% 이상이 모로 이루어져 있다. 모는?</t>
  </si>
  <si>
    <t>이산화탄소</t>
  </si>
  <si>
    <t>채소</t>
  </si>
  <si>
    <t xml:space="preserve"> 고구려 소수림왕이 설립한 우리나라 최초의 국립 교육기관은?</t>
  </si>
  <si>
    <t>태학</t>
  </si>
  <si>
    <t>규장각</t>
  </si>
  <si>
    <t>카이스트</t>
  </si>
  <si>
    <t xml:space="preserve"> 다음 중 실제로 제주도에 존재하는 지명은?</t>
  </si>
  <si>
    <t>군산오름</t>
  </si>
  <si>
    <t>부산오름</t>
  </si>
  <si>
    <t>대구오름</t>
  </si>
  <si>
    <t xml:space="preserve"> 골프공에 패인 홈을 부르는 이름은?</t>
  </si>
  <si>
    <t>딤플</t>
  </si>
  <si>
    <t>핌플</t>
  </si>
  <si>
    <t>파인애플</t>
  </si>
  <si>
    <t xml:space="preserve"> 레오나르도 다빈치의 작품 &lt;모나리자?의 인물 뒤 배경은?</t>
  </si>
  <si>
    <t>서재</t>
  </si>
  <si>
    <t>벽</t>
  </si>
  <si>
    <t>풍경</t>
  </si>
  <si>
    <t xml:space="preserve"> 오는 6월 27일부터 소방차 진로 방해 시, 과태료는?</t>
  </si>
  <si>
    <t>10만원</t>
  </si>
  <si>
    <t>30만원</t>
  </si>
  <si>
    <t>100만원</t>
  </si>
  <si>
    <t xml:space="preserve"> 잔혹한 참상이 벌어졌던 역사적 장소나 재난, 재해 현장을 돌아보는 여행을 일컫는 말은?</t>
  </si>
  <si>
    <r>
      <t>다크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투어리즘</t>
    </r>
  </si>
  <si>
    <r>
      <t>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</si>
  <si>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r>
      <t>블러드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</si>
  <si>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t xml:space="preserve"> 증시 하락 추세에서 일시적으로 찾아오는 주가 상승 현상은?</t>
  </si>
  <si>
    <r>
      <t>인디언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랠리</t>
    </r>
  </si>
  <si>
    <r>
      <t>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</si>
  <si>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r>
      <t>부시맨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</si>
  <si>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t xml:space="preserve"> 국가를 상대로 한 민사소송에서 법률상 대한민국을 대표하는 사람은?</t>
  </si>
  <si>
    <t>대통령</t>
  </si>
  <si>
    <t>법무부장관</t>
  </si>
  <si>
    <t>국무총리</t>
  </si>
  <si>
    <t xml:space="preserve"> 길거리에서 연주나 노래를 하는 거리 공연을 일컫는 말은?</t>
  </si>
  <si>
    <t>스토킹</t>
  </si>
  <si>
    <t>바이킹</t>
  </si>
  <si>
    <t>버스킹</t>
  </si>
  <si>
    <t xml:space="preserve"> 예전에 아이가 오줌을 싸면 키를 씌운 후 모을/를 얻어오게 했다. 모는?</t>
  </si>
  <si>
    <t>소금</t>
  </si>
  <si>
    <t>밀가루</t>
  </si>
  <si>
    <t xml:space="preserve"> 영국의 유럽연합(EU)탈퇴를 뜻하는 말은?</t>
  </si>
  <si>
    <t>브렉시트</t>
  </si>
  <si>
    <t>카시트</t>
  </si>
  <si>
    <t>유럽시트</t>
  </si>
  <si>
    <t xml:space="preserve"> 소설 ‘운수 좋은 날’의 작가는?</t>
  </si>
  <si>
    <t>현진영</t>
  </si>
  <si>
    <t>현진건</t>
  </si>
  <si>
    <t>현주엽</t>
  </si>
  <si>
    <t xml:space="preserve"> 축구에서 비디오 판정을 뜻하는 용어는?</t>
  </si>
  <si>
    <t>VAR</t>
  </si>
  <si>
    <t>VBR</t>
  </si>
  <si>
    <t>VCR</t>
  </si>
  <si>
    <t xml:space="preserve"> ‘모가지가 길어서 슬픈 짐승이여’로 시작하는 노천명의 시 제목은?</t>
  </si>
  <si>
    <t>사슴</t>
  </si>
  <si>
    <t>기린</t>
  </si>
  <si>
    <t xml:space="preserve"> 프랑스어로 ‘그녀’라는 뜻의 패션 매거진은?</t>
  </si>
  <si>
    <t>엘르(Elle)</t>
  </si>
  <si>
    <t>보그(Vogue)</t>
  </si>
  <si>
    <t>쎄씨(Ceci)</t>
  </si>
  <si>
    <t xml:space="preserve"> 찰리 브라운과 그의 애완견 스누피가 등장하는 만화의 제목은?</t>
  </si>
  <si>
    <t>모아나</t>
  </si>
  <si>
    <r>
      <t>라이너스의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담요</t>
    </r>
  </si>
  <si>
    <t>피너츠</t>
  </si>
  <si>
    <t xml:space="preserve"> 시위 현장에 자주 등장하며, 하얀 얼굴과 콧수염이 인상적인 이 가면은?</t>
  </si>
  <si>
    <r>
      <t>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</si>
  <si>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엘런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</si>
  <si>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가이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포크스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가면</t>
    </r>
  </si>
  <si>
    <t xml:space="preserve"> ‘유난히 귀엽게 여겨 사랑함’을 뜻하는 순우리말은?</t>
  </si>
  <si>
    <t>예그리나</t>
  </si>
  <si>
    <t>다은</t>
  </si>
  <si>
    <t>굄</t>
  </si>
  <si>
    <t xml:space="preserve"> 예금은행의 자금조달비용을 반영해 산출되는 새로운 주택담보대출 기준금리는?</t>
  </si>
  <si>
    <t>코스피</t>
  </si>
  <si>
    <t>콜금리</t>
  </si>
  <si>
    <t>코픽스</t>
  </si>
  <si>
    <r>
      <t>무궁화장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김종필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국무총리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하사받음)</t>
    </r>
  </si>
  <si>
    <t>개나리장</t>
  </si>
  <si>
    <t>모란장</t>
  </si>
  <si>
    <t xml:space="preserve"> 영화 &lt;실미도&gt;에서 안성기의 유명한 대사는?</t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</si>
  <si>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</si>
  <si>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r>
      <t>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쏘고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가라</t>
    </r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</si>
  <si>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웃기고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</si>
  <si>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t xml:space="preserve"> 대동여지도를 제작한 사람은?</t>
  </si>
  <si>
    <t>김태호</t>
  </si>
  <si>
    <t>김정호</t>
  </si>
  <si>
    <t>김경호</t>
  </si>
  <si>
    <t xml:space="preserve"> 다음 중 가장 넓은 면적의 바다는?</t>
  </si>
  <si>
    <t>태평양</t>
  </si>
  <si>
    <t>대서양</t>
  </si>
  <si>
    <t>인도양</t>
  </si>
  <si>
    <t xml:space="preserve"> 다음 중 혼성그룹이 아닌 팀은?</t>
  </si>
  <si>
    <t>악동뮤지션</t>
  </si>
  <si>
    <t>어반자카파</t>
  </si>
  <si>
    <t>멜로망스</t>
  </si>
  <si>
    <t xml:space="preserve"> 울릉도는 행정구역상 어디에 속하나?</t>
  </si>
  <si>
    <t>강원도</t>
  </si>
  <si>
    <t>경상남도</t>
  </si>
  <si>
    <t>경상북도</t>
  </si>
  <si>
    <t xml:space="preserve"> 기업이 시장에서 예상했던 것보다 저조한 실적을 발표해 주가에 영향을 미치는 현상은?</t>
  </si>
  <si>
    <t>어닝쇼크</t>
  </si>
  <si>
    <t>G쇼크</t>
  </si>
  <si>
    <t>러닝쇼크</t>
  </si>
  <si>
    <t xml:space="preserve"> 축구 리그가 아닌 것은?</t>
  </si>
  <si>
    <t>라리가</t>
  </si>
  <si>
    <t>엘클라시코</t>
  </si>
  <si>
    <r>
      <t>세리에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</si>
  <si>
    <t xml:space="preserve"> 아이스 하키의 총 경기시간은 몇 분?</t>
  </si>
  <si>
    <t>40분</t>
  </si>
  <si>
    <t>50분</t>
  </si>
  <si>
    <t>60분</t>
  </si>
  <si>
    <t>배</t>
  </si>
  <si>
    <t>사과</t>
  </si>
  <si>
    <t>포도</t>
  </si>
  <si>
    <t xml:space="preserve"> 다음 중 북유럽신화에 등장하는 신의 이름이 아닌 것은?</t>
  </si>
  <si>
    <t>프레이야</t>
  </si>
  <si>
    <t xml:space="preserve"> 다음 중 남아메리카 대륙에 속하지 않는 나라는?</t>
  </si>
  <si>
    <t>볼리비아</t>
  </si>
  <si>
    <t>불가리아</t>
  </si>
  <si>
    <r>
      <t>몬더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그린</t>
    </r>
  </si>
  <si>
    <r>
      <t>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스위칭</t>
    </r>
  </si>
  <si>
    <t xml:space="preserve"> 서로 편을 나누어 모형총이나 페인트총을 쏘는 레저 스포츠는?</t>
  </si>
  <si>
    <r>
      <t>서바이벌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게임</t>
    </r>
  </si>
  <si>
    <t>워게임</t>
  </si>
  <si>
    <r>
      <t>민방위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훈련</t>
    </r>
  </si>
  <si>
    <t xml:space="preserve"> 옷 사이즈 ‘XL’에서 ‘X’는 무엇의 약자일까?</t>
  </si>
  <si>
    <t>extra</t>
  </si>
  <si>
    <t>X-ray</t>
  </si>
  <si>
    <t xml:space="preserve"> JYP 엔터테인먼트 출신의 걸그룹은?</t>
  </si>
  <si>
    <t>셀럽파이브</t>
  </si>
  <si>
    <t>원더걸스</t>
  </si>
  <si>
    <t>블랙핑크</t>
  </si>
  <si>
    <t xml:space="preserve"> 2018 러시아월드컵의 폐막식이 열리는 도시는?</t>
  </si>
  <si>
    <t>모스크바</t>
  </si>
  <si>
    <t>상트페테르부르크</t>
  </si>
  <si>
    <t>소치</t>
  </si>
  <si>
    <t xml:space="preserve"> 축구 경기에서 ‘OG’의 뜻은?</t>
  </si>
  <si>
    <t>결승골</t>
  </si>
  <si>
    <t>자책골</t>
  </si>
  <si>
    <t>동점골</t>
  </si>
  <si>
    <t xml:space="preserve"> ‘조삼모사(朝三暮四)’와 관련 있는 동물은?</t>
  </si>
  <si>
    <t xml:space="preserve"> 우크라이나의 수도는?</t>
  </si>
  <si>
    <t>키예프</t>
  </si>
  <si>
    <t>부다페스트</t>
  </si>
  <si>
    <t>프라하</t>
  </si>
  <si>
    <t xml:space="preserve"> 호날두가 5번이나 받은 상으로, 매년 세계에서 가장 뛰어나게 활약한 축구선수에게 주는 상은?</t>
  </si>
  <si>
    <r>
      <t>슈퍼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슬래미상</t>
    </r>
  </si>
  <si>
    <t>실버슈즈</t>
  </si>
  <si>
    <t>발롱도르</t>
  </si>
  <si>
    <t xml:space="preserve"> 개인 사용자 누구나 무료 사용이 허가된 공개프로그램을 뜻하는 말은?</t>
  </si>
  <si>
    <t>프리웨어</t>
  </si>
  <si>
    <t>셰어웨어</t>
  </si>
  <si>
    <r>
      <t>랜섬웨어</t>
    </r>
    <r>
      <rPr>
        <sz val="10"/>
        <color rgb="FF000000"/>
        <rFont val="굴림"/>
        <family val="3"/>
        <charset val="129"/>
      </rPr>
      <t xml:space="preserve"> </t>
    </r>
  </si>
  <si>
    <t xml:space="preserve"> 공식 축구 경기에서 페널티킥 지점은 골문에서 11m거리에 있다.</t>
  </si>
  <si>
    <t>11m</t>
  </si>
  <si>
    <t>12m</t>
  </si>
  <si>
    <t>13m</t>
  </si>
  <si>
    <t xml:space="preserve"> 2018 러시아월드컵에 도입된 ‘VAR’판정을 위해 경기장에 배치된 카메라 수는?</t>
  </si>
  <si>
    <t>34대</t>
  </si>
  <si>
    <t>37대</t>
  </si>
  <si>
    <t>40대</t>
  </si>
  <si>
    <t xml:space="preserve"> 조선시대에 공물(특산물)을 쌀로 통일해 바치게 한 납세제도는?</t>
  </si>
  <si>
    <t>탕평책</t>
  </si>
  <si>
    <t>호패법</t>
  </si>
  <si>
    <t>대동법</t>
  </si>
  <si>
    <t xml:space="preserve"> 어제 대한민국 vs 독일 전에서 골을 넣지 않은 선수는?</t>
  </si>
  <si>
    <t>손흥민</t>
  </si>
  <si>
    <t>김영권</t>
  </si>
  <si>
    <t xml:space="preserve"> 별자리의 이름이 아닌 것은?</t>
  </si>
  <si>
    <t>캡틴박지성</t>
  </si>
  <si>
    <t>안드로메다</t>
  </si>
  <si>
    <t>페르세우스</t>
  </si>
  <si>
    <t xml:space="preserve"> SNS를 통해 관심사가 비슷한 사람끼리 만나 식사를 하며 인간관계를 맺는 것은?</t>
  </si>
  <si>
    <t>소셜네트워킹</t>
  </si>
  <si>
    <t>소셜다이닝</t>
  </si>
  <si>
    <t>소셜스토킹</t>
  </si>
  <si>
    <t xml:space="preserve"> 다음 중 우리나라의 특별자치도는 어디일까?</t>
  </si>
  <si>
    <t>서울</t>
  </si>
  <si>
    <t>세종</t>
  </si>
  <si>
    <t xml:space="preserve"> 다음 중 소비지출 관련 용어는?</t>
  </si>
  <si>
    <t>지니계수</t>
  </si>
  <si>
    <t>엥겔계수</t>
  </si>
  <si>
    <t>계수나무</t>
  </si>
  <si>
    <t xml:space="preserve"> 다음 중 국내에서 가장 크고 가장 오래된 석탑은?</t>
  </si>
  <si>
    <r>
      <t>익산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미륵사지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석탑</t>
    </r>
  </si>
  <si>
    <r>
      <t>부여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정림사지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석탑</t>
    </r>
  </si>
  <si>
    <r>
      <t>경주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분황사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모전석탑</t>
    </r>
  </si>
  <si>
    <t xml:space="preserve"> 범죄성립의 3대 요건이 아닌 것은?</t>
  </si>
  <si>
    <t>정당방위</t>
  </si>
  <si>
    <t>위법성</t>
  </si>
  <si>
    <t>구성요건해당성</t>
  </si>
  <si>
    <t xml:space="preserve"> 다음 중 피라미드가 없는 나라는?</t>
  </si>
  <si>
    <t>수단</t>
  </si>
  <si>
    <t>예멘</t>
  </si>
  <si>
    <t xml:space="preserve"> 비만세 세금을 최초로 도입한 나라는?</t>
  </si>
  <si>
    <t>덴마크</t>
  </si>
  <si>
    <t xml:space="preserve"> 흉년·춘궁기에 국가가 백성에게 곡식을 빌려주고 수확기에 갚게 한 구휼제도는?</t>
  </si>
  <si>
    <t>과전법</t>
  </si>
  <si>
    <t>진대법</t>
  </si>
  <si>
    <t xml:space="preserve"> 다음 중 가장 높은 온도는?</t>
  </si>
  <si>
    <t>353K(켈빈)</t>
  </si>
  <si>
    <t>194°F(화씨)</t>
  </si>
  <si>
    <t>100°C(섭씨)</t>
  </si>
  <si>
    <t xml:space="preserve"> ‘가리를 틀다’의 뜻은?</t>
  </si>
  <si>
    <r>
      <t>주둥이를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비틀다</t>
    </r>
  </si>
  <si>
    <r>
      <t>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바꾸다</t>
    </r>
  </si>
  <si>
    <r>
      <t>일이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안되도록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방해하다</t>
    </r>
  </si>
  <si>
    <t xml:space="preserve"> 겨우 먼지나 날리지 않을 정도로 조금 내리는 비는?</t>
  </si>
  <si>
    <t>먼지잼</t>
  </si>
  <si>
    <t>먼지껌</t>
  </si>
  <si>
    <t>먼지비</t>
  </si>
  <si>
    <t xml:space="preserve"> '회자되다'의 '회'는 어떤 의미일까? </t>
  </si>
  <si>
    <t>먹는 회</t>
  </si>
  <si>
    <t>과녘</t>
  </si>
  <si>
    <t>과녁</t>
  </si>
  <si>
    <t>관역</t>
  </si>
  <si>
    <t>.No more dream</t>
  </si>
  <si>
    <t>run</t>
  </si>
  <si>
    <t xml:space="preserve">danger </t>
  </si>
  <si>
    <t>배진영</t>
  </si>
  <si>
    <t>라이관린</t>
  </si>
  <si>
    <t xml:space="preserve">박지훈 </t>
  </si>
  <si>
    <t>토트넘 - 웸블리</t>
  </si>
  <si>
    <t xml:space="preserve">at마드리드 - 캄프누 </t>
  </si>
  <si>
    <t>아스날 - 에미레이트 스타디움</t>
  </si>
  <si>
    <t>내전</t>
  </si>
  <si>
    <t>외전</t>
  </si>
  <si>
    <t>회외</t>
  </si>
  <si>
    <t>화이팅</t>
  </si>
  <si>
    <t>파이팅</t>
  </si>
  <si>
    <t>둘다맞다</t>
  </si>
  <si>
    <t>수련</t>
  </si>
  <si>
    <t>수국</t>
  </si>
  <si>
    <t>수선화</t>
  </si>
  <si>
    <t>TESAT-한국경제신문사</t>
  </si>
  <si>
    <t>ITQ-대한상공회의소</t>
  </si>
  <si>
    <t>TOKL-한국어언어문화원</t>
  </si>
  <si>
    <t>MLB 디트로이트</t>
  </si>
  <si>
    <t>햄릿</t>
  </si>
  <si>
    <t>로미오와줄리엣</t>
  </si>
  <si>
    <t>리어왕</t>
  </si>
  <si>
    <t xml:space="preserve">너구리 </t>
  </si>
  <si>
    <t>라쿤</t>
  </si>
  <si>
    <t>승룡</t>
  </si>
  <si>
    <t xml:space="preserve">몽양 </t>
  </si>
  <si>
    <t>우남</t>
  </si>
  <si>
    <t xml:space="preserve">선릉역 </t>
  </si>
  <si>
    <t xml:space="preserve">도림천역 </t>
  </si>
  <si>
    <t>신대방삼거리역</t>
  </si>
  <si>
    <t xml:space="preserve">대모산입구역 </t>
  </si>
  <si>
    <t xml:space="preserve">청계산입구 </t>
  </si>
  <si>
    <t>아차산</t>
  </si>
  <si>
    <t>골드칼라</t>
  </si>
  <si>
    <t>레인보우칼라</t>
  </si>
  <si>
    <t>다이아몬드칼라</t>
  </si>
  <si>
    <t>화수동</t>
  </si>
  <si>
    <t>화목동</t>
  </si>
  <si>
    <t>화금동</t>
  </si>
  <si>
    <t>우리가 만난 기적</t>
  </si>
  <si>
    <t>너도 인간이니</t>
  </si>
  <si>
    <t xml:space="preserve">슈츠 </t>
  </si>
  <si>
    <t>옹성우</t>
  </si>
  <si>
    <t>박우진</t>
  </si>
  <si>
    <t xml:space="preserve">김재환 </t>
  </si>
  <si>
    <t>트와이스</t>
  </si>
  <si>
    <t>펜타곤</t>
  </si>
  <si>
    <t>갓세븐</t>
  </si>
  <si>
    <t>동 녘과 해잘 녘</t>
  </si>
  <si>
    <t>동 녘과 해잘녘</t>
  </si>
  <si>
    <t>동녘과 해 질 녘</t>
  </si>
  <si>
    <t>사고무친</t>
  </si>
  <si>
    <t>사면초가</t>
  </si>
  <si>
    <t>사각지대</t>
  </si>
  <si>
    <t>초승달</t>
  </si>
  <si>
    <t>나뭇잎</t>
  </si>
  <si>
    <t xml:space="preserve"> 동요 나비야에서 나오지 않는 나비는</t>
  </si>
  <si>
    <t>흰나비</t>
  </si>
  <si>
    <t>호랑나비</t>
  </si>
  <si>
    <t>노랑나비</t>
  </si>
  <si>
    <t>시베리아 기단</t>
  </si>
  <si>
    <t>양쯔강 기단</t>
  </si>
  <si>
    <t>북태평양기단</t>
  </si>
  <si>
    <t>문영주 아이돌그룹 아스트로의 뜻은?</t>
  </si>
  <si>
    <t>미국 본토 동쪽 서쪽 가로길이</t>
  </si>
  <si>
    <t>달의 동쪽 서쪽 가로지름</t>
  </si>
  <si>
    <t>같다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</si>
  <si>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</si>
  <si>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t>A조 - 러시아</t>
  </si>
  <si>
    <t xml:space="preserve">D조 - 코스타리카 </t>
  </si>
  <si>
    <t xml:space="preserve">F조 - 스웨덴 </t>
  </si>
  <si>
    <t>답:1</t>
  </si>
  <si>
    <t>답:3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</si>
  <si>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</si>
  <si>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</si>
  <si>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답:2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</si>
  <si>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단어는?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</si>
  <si>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</si>
  <si>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학교는?</t>
    </r>
  </si>
  <si>
    <t>김제동초등학교</t>
  </si>
  <si>
    <t>이영애초등학교</t>
  </si>
  <si>
    <t>이효리초등학교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</si>
  <si>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여수, 순천, 벌교, 보성을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바다를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가리키는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</si>
  <si>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여자만</t>
  </si>
  <si>
    <t>남자만</t>
  </si>
  <si>
    <t>여순만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</si>
  <si>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</si>
  <si>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자신에 대한 사랑</t>
  </si>
  <si>
    <t>우리에 대한 사랑</t>
  </si>
  <si>
    <t>운명에 대한 사랑</t>
  </si>
  <si>
    <t>A. 3</t>
  </si>
  <si>
    <t xml:space="preserve">될 대로 되라 </t>
  </si>
  <si>
    <t xml:space="preserve">네 멋대로 살아라 </t>
  </si>
  <si>
    <t xml:space="preserve">그렇게 될 일은 결국 그렇게 된다 </t>
  </si>
  <si>
    <t>전경진 역대 월드컵에서 2회이상 우승한 나라는?</t>
  </si>
  <si>
    <t>스페인</t>
  </si>
  <si>
    <t>김지영  달면 삼키고 쓰면 뱉는다는 뜻의 사자성어는?</t>
  </si>
  <si>
    <t>토사구팽</t>
  </si>
  <si>
    <t>감탄고토</t>
  </si>
  <si>
    <t>괄목상대</t>
  </si>
  <si>
    <t xml:space="preserve"> 제1 회 고대 올림픽은 한 종목만 했다고 하는데, 전성기라면 우승 확률이 가장 높은 선수는?</t>
  </si>
  <si>
    <t xml:space="preserve"> 제1 회 아테네 올림픽 수상자 중 다른 사람은?</t>
  </si>
  <si>
    <t>일반 상대성 이론</t>
  </si>
  <si>
    <t>특수 상대성 이론</t>
  </si>
  <si>
    <t>광양자 가설(광전효과)</t>
  </si>
  <si>
    <t xml:space="preserve"> 6월 1일 변경된 기준에 따르면 몇 시간 동안 90mm 이상의 비가 예상될 때, 호우경보를 발령할까요?</t>
  </si>
  <si>
    <t>KBS의 한글 회사명은?</t>
  </si>
  <si>
    <t xml:space="preserve"> 상품에 표시되는 13자리 바코드 중 앞 세 자리는 나라를 표시하는데, 가장 큰 숫자를 사용하는 나라는?</t>
  </si>
  <si>
    <t xml:space="preserve"> EAN-13 바코드에서 우리나라의 국가 코드가 880인 이유는?</t>
  </si>
  <si>
    <t xml:space="preserve">879번까지 다른 나라에 할당된 때 부여받아서 </t>
  </si>
  <si>
    <t xml:space="preserve">88 올림픽을 앞두고 부여받아서 </t>
  </si>
  <si>
    <t>지역의 위도, 경도를 고려하여 할당받은 숫자여서</t>
  </si>
  <si>
    <t xml:space="preserve">3홀 </t>
  </si>
  <si>
    <t xml:space="preserve">5홀 </t>
  </si>
  <si>
    <t>셋째 아들</t>
  </si>
  <si>
    <t>넷째 아들</t>
  </si>
  <si>
    <t>다섯째 아들</t>
  </si>
  <si>
    <t>그가 그렇게 할런지 모르겠네</t>
  </si>
  <si>
    <t>그가 그렇게 할른지 모르겠네</t>
  </si>
  <si>
    <t>그가 그렇게 할는지 모르겠네</t>
  </si>
  <si>
    <t xml:space="preserve"> 6·25 때 1·4 후퇴란 어디를 공산군에게 내 주고 후퇴했다는 뜻일까?</t>
  </si>
  <si>
    <t>맹세 속에</t>
  </si>
  <si>
    <t>맹세 위해</t>
  </si>
  <si>
    <t>맹세 라면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</si>
  <si>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[야구] 5-4-3 더블플레이에서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5는?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</si>
  <si>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태극기를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날은?</t>
    </r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</si>
  <si>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국민연금공단의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</si>
  <si>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NPP</t>
  </si>
  <si>
    <t>NPS</t>
  </si>
  <si>
    <t>NPO</t>
  </si>
  <si>
    <t>왠만하면</t>
  </si>
  <si>
    <t>웬만하면</t>
  </si>
  <si>
    <t>왼만하면</t>
  </si>
  <si>
    <t>A. 2</t>
  </si>
  <si>
    <t>인천광역시</t>
  </si>
  <si>
    <t>대구광역시</t>
  </si>
  <si>
    <t>대전광역시</t>
  </si>
  <si>
    <t>김기둥  CSI에서 S는 무엇의 약자일까?</t>
  </si>
  <si>
    <t>Science</t>
  </si>
  <si>
    <t>Special</t>
  </si>
  <si>
    <t>Scene</t>
  </si>
  <si>
    <t>김민지  "힘들이지 않고 가볍게 살짝 건너뛰거나 올라서는 모양"을 뜻하는 말은?</t>
  </si>
  <si>
    <t>조선 선조 때 류성룡이 쓴 임진왜란 야사는?</t>
  </si>
  <si>
    <t xml:space="preserve"> 다음중 축구에서 오프사이드가 적용되지 않은 상황이 아닌것은?</t>
  </si>
  <si>
    <t>골킥</t>
  </si>
  <si>
    <t>드로인</t>
  </si>
  <si>
    <t>프리킥</t>
  </si>
  <si>
    <t>인도네시아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</si>
  <si>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</si>
  <si>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t>아일랜드</t>
  </si>
  <si>
    <t>북아일랜드</t>
  </si>
  <si>
    <t>아이슬란드</t>
  </si>
  <si>
    <t>뉴질랜드</t>
  </si>
  <si>
    <t>봉미관</t>
  </si>
  <si>
    <t>봉미선</t>
  </si>
  <si>
    <t>봉미저</t>
  </si>
  <si>
    <t>바넘 효과</t>
  </si>
  <si>
    <t>포러 효과</t>
  </si>
  <si>
    <t>호손 효과</t>
  </si>
  <si>
    <t>지붕</t>
  </si>
  <si>
    <t>사다리</t>
  </si>
  <si>
    <t>모자</t>
  </si>
  <si>
    <t>캐시비</t>
  </si>
  <si>
    <t>원패스</t>
  </si>
  <si>
    <t>티머니</t>
  </si>
  <si>
    <t>1m/s</t>
  </si>
  <si>
    <t>1m/h</t>
  </si>
  <si>
    <t>10m/s</t>
  </si>
  <si>
    <t>A형간염</t>
  </si>
  <si>
    <t>B형간염</t>
  </si>
  <si>
    <t>C형간염</t>
  </si>
  <si>
    <t>이산</t>
  </si>
  <si>
    <t>이도</t>
  </si>
  <si>
    <t>이종</t>
  </si>
  <si>
    <t xml:space="preserve"> 우정사업본부에서 위탁한 곳으로 금융업무를 제외한 우편, 소포, 택배 등의 순수한 우편 업무만 취급하는 곳은?</t>
  </si>
  <si>
    <t>우편집중국</t>
  </si>
  <si>
    <t>우체국</t>
  </si>
  <si>
    <t>우편취급국</t>
  </si>
  <si>
    <t>아뇩다라삼막삼보리</t>
  </si>
  <si>
    <t>나무아미타불</t>
  </si>
  <si>
    <t>색즉시공 공즉시색</t>
  </si>
  <si>
    <t>A. 1</t>
  </si>
  <si>
    <t>네덜란드</t>
  </si>
  <si>
    <t>Hi Path</t>
  </si>
  <si>
    <t>High Pass</t>
  </si>
  <si>
    <t>Hi Pass</t>
  </si>
  <si>
    <t>부가가치세</t>
  </si>
  <si>
    <t>허장성세</t>
  </si>
  <si>
    <t>파죽지세</t>
  </si>
  <si>
    <t>실제 지명이 아닌 것은?</t>
  </si>
  <si>
    <t>콩쥐팥쥐로</t>
  </si>
  <si>
    <t>장화홍련로</t>
  </si>
  <si>
    <t>심청로</t>
  </si>
  <si>
    <t xml:space="preserve"> 레고블럭에 작은 구멍이 있는 이유는?</t>
  </si>
  <si>
    <t>조립을 쉽게 하려고</t>
  </si>
  <si>
    <t>변형을 막으려고</t>
  </si>
  <si>
    <t>질식사를 막으려고</t>
  </si>
  <si>
    <t xml:space="preserve"> 국내 커피업계 최초 무인로봇 카페 이름은?</t>
  </si>
  <si>
    <t>정찬성</t>
  </si>
  <si>
    <t>홍진호</t>
  </si>
  <si>
    <t>임요환</t>
  </si>
  <si>
    <t>동쪽에서 부는 바람</t>
  </si>
  <si>
    <t>서쪽에서 부는 바람</t>
  </si>
  <si>
    <t>북쪽에서 부는 바람</t>
  </si>
  <si>
    <t>오영주</t>
  </si>
  <si>
    <t>김현우</t>
  </si>
  <si>
    <t>임연수</t>
  </si>
  <si>
    <t>구급</t>
  </si>
  <si>
    <t>셋톱</t>
  </si>
  <si>
    <t>럭키</t>
  </si>
  <si>
    <t>마마무</t>
  </si>
  <si>
    <t>노이로제</t>
  </si>
  <si>
    <t>요하임 뢰브</t>
  </si>
  <si>
    <t>얼리어답터</t>
  </si>
  <si>
    <t>바로미터</t>
  </si>
  <si>
    <t>멀티콥터</t>
  </si>
  <si>
    <t>삼성서울병원</t>
  </si>
  <si>
    <t>혜민서</t>
  </si>
  <si>
    <t>광혜원</t>
  </si>
  <si>
    <t>김정일 국방위원장</t>
  </si>
  <si>
    <t>노무현 전 대통령</t>
  </si>
  <si>
    <t>김대중 전 대통령</t>
  </si>
  <si>
    <t>비포장도로</t>
  </si>
  <si>
    <t>비행금지구역</t>
  </si>
  <si>
    <t>비무장지대</t>
  </si>
  <si>
    <t>뒷좌석</t>
  </si>
  <si>
    <t>조수석</t>
  </si>
  <si>
    <t>없음(전좌석 안전벨트 착용)</t>
  </si>
  <si>
    <t>신호래이  아이팟 + 라디오 방송의 합성어로 인터넷을 통해 다양한 콘텐츠를 제공하는 서비스는?</t>
  </si>
  <si>
    <t>캐스트 어웨이</t>
  </si>
  <si>
    <t>팟캐스트</t>
  </si>
  <si>
    <t>아이캐스트</t>
  </si>
  <si>
    <t>아이쇼퍼</t>
  </si>
  <si>
    <t>블랙컨슈머</t>
  </si>
  <si>
    <t>미스터리쇼퍼</t>
  </si>
  <si>
    <t>경로자 보호구역</t>
  </si>
  <si>
    <t>노인 안전구역</t>
  </si>
  <si>
    <t xml:space="preserve">노인 보호구역 </t>
  </si>
  <si>
    <t>마사이족</t>
  </si>
  <si>
    <t>구르카족</t>
  </si>
  <si>
    <t>타밀족</t>
  </si>
  <si>
    <t>sing a song writer</t>
  </si>
  <si>
    <t>singer a song-righter</t>
  </si>
  <si>
    <t>singer song-writer</t>
  </si>
  <si>
    <t xml:space="preserve"> 우리나라 돈의 단위중, 해는 경의 몇배일까?</t>
  </si>
  <si>
    <t>겉옷의 길이</t>
  </si>
  <si>
    <t>겉옷의 앞자락</t>
  </si>
  <si>
    <t>겉옷의 뒷자락</t>
  </si>
  <si>
    <t xml:space="preserve"> 고대 산스크리트어로 "히말라야"는 ( )는 뜻이다</t>
  </si>
  <si>
    <t>눈의 거처</t>
  </si>
  <si>
    <t>눈의 여신</t>
  </si>
  <si>
    <t>영원한 빛</t>
  </si>
  <si>
    <t>특허청 페친이 뽑은 인류 최고 발명품 1위는?</t>
  </si>
  <si>
    <t>보라색 꽃이 핀다.</t>
  </si>
  <si>
    <t>한방에서 약재로 쓰인다.</t>
  </si>
  <si>
    <t>뿌리로 비녀를 만들기도 했다</t>
  </si>
  <si>
    <t>귀신 시나락 까먹는 소리</t>
  </si>
  <si>
    <t>귀신 씨나락 까먹는 소리</t>
  </si>
  <si>
    <t>귀신 씻나락 까먹는 소리</t>
  </si>
  <si>
    <t>A. 3번</t>
  </si>
  <si>
    <t>다음중 월드컵 최초 우승국은?</t>
  </si>
  <si>
    <t>블랙파트너</t>
  </si>
  <si>
    <t>블랙리스트</t>
  </si>
  <si>
    <t xml:space="preserve">스위스 </t>
  </si>
  <si>
    <t xml:space="preserve"> 다음중 선발투수가 한명의 타자도 진루시키지 않고 끝낸 경기를 뜻하는말은?</t>
  </si>
  <si>
    <t>완봉승</t>
  </si>
  <si>
    <t>노히트노런</t>
  </si>
  <si>
    <t>퍼펙트게임</t>
  </si>
  <si>
    <t xml:space="preserve"> 다음중 목관악기는?</t>
  </si>
  <si>
    <t>배지터</t>
  </si>
  <si>
    <t>피콜로</t>
  </si>
  <si>
    <t>호른</t>
  </si>
  <si>
    <t>홍윤화</t>
  </si>
  <si>
    <t>김준현</t>
  </si>
  <si>
    <t xml:space="preserve"> 참나무의 열매는?</t>
  </si>
  <si>
    <t>도토리</t>
  </si>
  <si>
    <t>잣</t>
  </si>
  <si>
    <t>호두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</si>
  <si>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4호선에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있는역으로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소설가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작품명을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</si>
  <si>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상록수역</t>
  </si>
  <si>
    <t>침엽수역</t>
  </si>
  <si>
    <t>활엽수역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</si>
  <si>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상록수역</t>
    </r>
  </si>
  <si>
    <t xml:space="preserve"> '아리랑'이나 '도라지타령'에 주로 쓰이는 장단은?</t>
  </si>
  <si>
    <t xml:space="preserve">굿거리장단 세마치장단 휘모리장단 </t>
  </si>
  <si>
    <r>
      <t>A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세마치장단</t>
    </r>
  </si>
  <si>
    <t>타이어가 회전하는 과정에서 타이어의 미끄러짐이 없이 노면에 발생하는 타이어흔적을 무엇이라고 할까요?</t>
  </si>
  <si>
    <t>스키드 마크</t>
  </si>
  <si>
    <t>요마크</t>
  </si>
  <si>
    <t>타이어구름흔적</t>
  </si>
  <si>
    <t>정답: 타이어구름흔적</t>
  </si>
  <si>
    <t>스티  우리나라에서 해안선이 가장 긴 섬은?</t>
  </si>
  <si>
    <t>제주도</t>
  </si>
  <si>
    <t>진도</t>
  </si>
  <si>
    <r>
      <t>A. 거제도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(제주도보다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100여Km길다)</t>
    </r>
  </si>
  <si>
    <t>다음중 표준어로 정확한 표현은?</t>
  </si>
  <si>
    <t>설램 가득한 만남이었어</t>
  </si>
  <si>
    <t>설냄 가득한 만남이었어</t>
  </si>
  <si>
    <t>설렘 가득한 만남이었어</t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</si>
  <si>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'설레이다'혹은'설레임'으로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쓰이기도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'설레다'이므로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명사형도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'설렘'이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</t>
    </r>
  </si>
  <si>
    <t>어이가 없어서 말하려해도 말할수 없음을 뜻하는 사자성어는?</t>
  </si>
  <si>
    <t>언어불공</t>
  </si>
  <si>
    <t>언어상통</t>
  </si>
  <si>
    <t>언어도단</t>
  </si>
  <si>
    <t>정답: 언어도단</t>
  </si>
  <si>
    <t>강태윤  겉으로 보기에는 눈이 멀쩡하나 앞을 보지 못하는 눈 또는 그런 사람을 뜻하는 말은?</t>
  </si>
  <si>
    <t>청맹과니</t>
  </si>
  <si>
    <t>적맹과니</t>
  </si>
  <si>
    <t>흑맹과니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</si>
  <si>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청맹과니</t>
    </r>
  </si>
  <si>
    <t>한반도에서 가장 산지가 많은 지역은?</t>
  </si>
  <si>
    <t>양강도</t>
  </si>
  <si>
    <t>자강도</t>
  </si>
  <si>
    <t>정답: 자강도(북한에있는 도지역으로 면적의 97.4%가 산지로 이루어져있음)</t>
  </si>
  <si>
    <t xml:space="preserve"> 다음 중 선거관리위원회 마스코트가 맞는것은?</t>
  </si>
  <si>
    <t>자비바카 자두 알리</t>
  </si>
  <si>
    <t>정답 : 알리</t>
  </si>
  <si>
    <t>김영산 Q 마도로스는 어느 나라 언어? 스페인 .포르투갈 네덜란드정답3번네덜란드마투로스라는네덜란드말에서유래</t>
  </si>
  <si>
    <t>캄보디아의 공산반군인 크메르 루즈의 지도자로 [킬링 필드]의 장본인인 이사람은 누구일까요?</t>
  </si>
  <si>
    <t>폴포트</t>
  </si>
  <si>
    <t>수하르토</t>
  </si>
  <si>
    <t>라르코 믈라디치</t>
  </si>
  <si>
    <t>정답: 폴포트</t>
  </si>
  <si>
    <t>농구용어중 상대편 선수를 넘어뜨리는 행위를 무엇이라고 할까요?</t>
  </si>
  <si>
    <t>차징</t>
  </si>
  <si>
    <t>푸싱</t>
  </si>
  <si>
    <t>트리핑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</si>
  <si>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트리핑</t>
    </r>
  </si>
  <si>
    <t>다음 중 축구선수 박지성이 뛰었던 팀이 아닌것은?</t>
  </si>
  <si>
    <t>페예노르트</t>
  </si>
  <si>
    <t>psv 아인트호벤</t>
  </si>
  <si>
    <t>퀸즈파크 레인져스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</si>
  <si>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페예노르트(같은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네덜란드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아인트호벤서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활약)</t>
    </r>
  </si>
  <si>
    <t>최저임금제를 가장 먼저 실시한 국가는?</t>
  </si>
  <si>
    <t>정답: 뉴질랜드</t>
  </si>
  <si>
    <t>우리나라의 하계올림픽 최고성적은?</t>
  </si>
  <si>
    <t>5위</t>
  </si>
  <si>
    <t>6위</t>
  </si>
  <si>
    <r>
      <t>정답:1번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(1988서울올림픽때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4위기록)</t>
    </r>
  </si>
  <si>
    <t>다음 중 일본열도를 구성하는 4대섬이 아닌것은?</t>
  </si>
  <si>
    <t>오키나와</t>
  </si>
  <si>
    <t>규슈</t>
  </si>
  <si>
    <t>시코쿠</t>
  </si>
  <si>
    <t>정답) 오키나와</t>
  </si>
  <si>
    <t>다음중 유형자산에 포함되지 않는것은?</t>
  </si>
  <si>
    <t>건물</t>
  </si>
  <si>
    <t>특허권</t>
  </si>
  <si>
    <t>기계장치</t>
  </si>
  <si>
    <t>정답: 특허권(산업재산권으로 무형자산에 속함)</t>
  </si>
  <si>
    <t>노동쟁의 해결방식 순서가 맞는것은?</t>
  </si>
  <si>
    <t>알선 ㅡ 조정 ㅡ 중재 ㅡ 긴급조정</t>
  </si>
  <si>
    <t>조정 ㅡ 중재 ㅡ 알선 ㅡ 긴급조정</t>
  </si>
  <si>
    <t>조정 ㅡ 알선 ㅡ 중재 ㅡ 긴급조정</t>
  </si>
  <si>
    <t>정답: 1번</t>
  </si>
  <si>
    <t xml:space="preserve">장인석  편도선의 도는 무슨 도 인가? </t>
  </si>
  <si>
    <r>
      <t>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島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</si>
  <si>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</si>
  <si>
    <t>우리나라 국회의원의 수는 법률로 몇명 이상어야하는가?</t>
  </si>
  <si>
    <t>100인 이상</t>
  </si>
  <si>
    <t>200인 이상</t>
  </si>
  <si>
    <t>300인 이상</t>
  </si>
  <si>
    <t>정답: 200인이상</t>
  </si>
  <si>
    <t>1976년 금의 공정가격 철폐 등을 정식합의한 체제는?</t>
  </si>
  <si>
    <t>브레튼우즈체제</t>
  </si>
  <si>
    <t>스미소니언체제</t>
  </si>
  <si>
    <t>킹스턴체제</t>
  </si>
  <si>
    <t>정답: 킹스턴체제</t>
  </si>
  <si>
    <r>
      <t>돼지가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방구끼면? 3번</t>
    </r>
  </si>
  <si>
    <t>돈벼락</t>
  </si>
  <si>
    <t>돈방석</t>
  </si>
  <si>
    <t>돈까스</t>
  </si>
  <si>
    <t>Sim HJ  다음 중 맞춤법이 맞는 것은 ? 훤칠하다 헌칠하다 둘다 맞다(정답 : 둘 다 맞다)</t>
  </si>
  <si>
    <t>신호래이  도원결의로 유명한 유비,관우,장비 중 실제 나이가 가장 많았던 사람은?</t>
  </si>
  <si>
    <t>유비</t>
  </si>
  <si>
    <t>관우</t>
  </si>
  <si>
    <t>장비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</si>
  <si>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 관우</t>
    </r>
  </si>
  <si>
    <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</si>
  <si>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소나무 참나무 쌈무</t>
  </si>
  <si>
    <t>정답 : 쌈무</t>
  </si>
  <si>
    <t>Sim HJ  '안성맞춤'은 안성의 ( ) 이/가 뛰어난 데서 유래되었다. A. 농산물 유기 풍물단( 정답 : 유기)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</si>
  <si>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</si>
  <si>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조각,소묘</t>
  </si>
  <si>
    <t>조형,소묘</t>
  </si>
  <si>
    <t>조각,소조(정답)</t>
  </si>
  <si>
    <r>
      <t>산스크리트어는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고전어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일까?</t>
    </r>
  </si>
  <si>
    <t>인도</t>
  </si>
  <si>
    <t>로마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</si>
  <si>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인도</t>
    </r>
  </si>
  <si>
    <r>
      <t>Q 낙타의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들어있을까요?</t>
    </r>
  </si>
  <si>
    <t>물</t>
  </si>
  <si>
    <t>지방</t>
  </si>
  <si>
    <t>근육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</si>
  <si>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</t>
    </r>
  </si>
  <si>
    <r>
      <t>Q 성인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분비되는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양은?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</si>
  <si>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1리터</t>
    </r>
  </si>
  <si>
    <t>2번 5리터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</si>
  <si>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2리터</t>
    </r>
  </si>
  <si>
    <t>정답은 2번 5리터</t>
  </si>
  <si>
    <t>박필우  러시아 월드컵은 몇번째(몇회) 월드컵 일까요?</t>
  </si>
  <si>
    <r>
      <t>21회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22회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23회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</si>
  <si>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21회</t>
    </r>
  </si>
  <si>
    <t>이기영  2018 러시아월드컵에서 대한민국 대표팀이 타고 다니는 버스에 새겨진 슬로건은? 1)승리의 함성, 하나된 한국 2)즐겨라 대한민국 3)아시아의 호랑이 세계를 삼켜라 정답:3) (1번과 2번은 각각 2010 월드컵, 2014 월드컵 슬로건이었습니다) (추천인코드: LWKM9K)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</si>
  <si>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맞춤법은?</t>
    </r>
  </si>
  <si>
    <t>뒤치닥거리</t>
  </si>
  <si>
    <t>뒤치다거리</t>
  </si>
  <si>
    <t xml:space="preserve">뒤치다꺼리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</si>
  <si>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뒤치다꺼리</t>
    </r>
  </si>
  <si>
    <t>이학구  러시아의 체스 세계 챔피언인 갈리 카스펠로프와 대전하여 승리한 AI는?</t>
  </si>
  <si>
    <t>알파고</t>
  </si>
  <si>
    <t>왓슨</t>
  </si>
  <si>
    <t>딥블루</t>
  </si>
  <si>
    <t>심성민  진공청소기의 진은? 티끌 진 참 진 다할 진 A. 2번 참진</t>
  </si>
  <si>
    <t>강태윤  전기차와 수소연료전지차 등 친환경차 번호판 색상은?</t>
  </si>
  <si>
    <t>Green</t>
  </si>
  <si>
    <t>Blue</t>
  </si>
  <si>
    <t>Yellow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</si>
  <si>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Blue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</si>
  <si>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대상을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따라가다의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</si>
  <si>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좇아가다.</t>
  </si>
  <si>
    <t>쫓아가다.</t>
  </si>
  <si>
    <t>쫒아가다.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</si>
  <si>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좇아가다</t>
    </r>
  </si>
  <si>
    <t xml:space="preserve"> 6월12일 싱가포르에서 열리는 북미회담 장소는? 샹그릴라호텔 대통령궁 카펠라호텔 A) 카펠라호텔 (샹그릴라호텔은 유력지였으며, 트럼프 대통령의 숙소)</t>
  </si>
  <si>
    <r>
      <t>Q&gt;1930년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우루과이에서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열렸을때의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명칭은? </t>
    </r>
  </si>
  <si>
    <t>월드컵 빅이어컵 줄리메컵 A&gt;줄리메컵 (1970년 멕시코월드컵때까지 Jules Rimet Trophy라고 불림, 그 후 현재의 피파월드컵이 사용됨; 빅이어컵은 유럽 챔피언스 리스 우승컵)</t>
  </si>
  <si>
    <t>김기둥  조선시대 왕 가운데 2종류의 실록이 남아있는 왕은?</t>
  </si>
  <si>
    <t>명종</t>
  </si>
  <si>
    <t>경종</t>
  </si>
  <si>
    <t>헌종</t>
  </si>
  <si>
    <r>
      <t>A. 경종, 경종실록이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경종수정실록을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추가로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2종류가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남아있음</t>
    </r>
  </si>
  <si>
    <t>이기영  &lt;2018 아시안게임&gt;에 시범종목이 된 e스포츠에서 다음중 채택되지 않은 게임은? 리그오브레전드/배틀그라운드/하스스톤 (정답: 배틀그라운드입니다.) (2018 아시안게임에 시범종목으로 채택된 게임은 리그오브레전드 , 스타크래프트2 , 하스스톤, 위닝일레븐 , 펜타스톰 , 클래시 로얄... 이렇게 총 6개임)</t>
  </si>
  <si>
    <t>이기영  군부대가 많은 강원도 지역에서 다음중 존재하지 않는 지역명은? 상사리/대위리/대장리 (정답: 대장리. 상사리와 대위리는 강원도 철원에 있는 지역명임!)</t>
  </si>
  <si>
    <t>스티  다음중 '좌'의 한자가 다르게 쓰인 한가지는?</t>
  </si>
  <si>
    <t>좌우명</t>
  </si>
  <si>
    <t>좌회전</t>
  </si>
  <si>
    <t>좌천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</si>
  <si>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좌우명</t>
    </r>
  </si>
  <si>
    <t>조현태  우리나라 학명을 가진 공룡이 아닌 것은?</t>
  </si>
  <si>
    <r>
      <t>코리아노사우루스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</si>
  <si>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r>
      <t>해남이크누스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</si>
  <si>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t>고성고케라톱스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</si>
  <si>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고성고케라톱스</t>
    </r>
  </si>
  <si>
    <t>이학구  "너 자신을 알라"는 말을 처음 말한 사람으로 유력한 인물은?</t>
  </si>
  <si>
    <t>탈레스</t>
  </si>
  <si>
    <t>플라톤</t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</si>
  <si>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Q장미의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것일까요?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꽃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뿌리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  <r>
      <rPr>
        <sz val="10"/>
        <color rgb="FF000000"/>
        <rFont val="굴림"/>
        <family val="3"/>
        <charset val="129"/>
      </rPr>
      <t xml:space="preserve"> ④ </t>
    </r>
    <r>
      <rPr>
        <sz val="10"/>
        <color rgb="FF000000"/>
        <rFont val="Times New Roman"/>
        <family val="1"/>
      </rPr>
      <t>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A.</t>
    </r>
    <r>
      <rPr>
        <sz val="10"/>
        <color rgb="FF000000"/>
        <rFont val="굴림"/>
        <family val="3"/>
        <charset val="129"/>
      </rPr>
      <t xml:space="preserve">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</si>
  <si>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6월 13일은 7회째를 맞는 전국동시지방선거가 있습니다.</t>
  </si>
  <si>
    <r>
      <t>그럼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전국동시지방선거는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년도에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시작되었을까요?</t>
    </r>
  </si>
  <si>
    <t>1991년</t>
  </si>
  <si>
    <t>1993년</t>
  </si>
  <si>
    <t>1995년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</si>
  <si>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3번.</t>
    </r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</si>
  <si>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가축인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것은?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물자라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개구리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A. </t>
    </r>
    <r>
      <rPr>
        <sz val="10"/>
        <color rgb="FF000000"/>
        <rFont val="굴림"/>
        <family val="3"/>
        <charset val="129"/>
      </rPr>
      <t xml:space="preserve">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그냥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벌, 말벌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곤충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)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</si>
  <si>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있을까''에서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품사는?</t>
    </r>
  </si>
  <si>
    <t>부사 명사 품사가 아니다</t>
  </si>
  <si>
    <t>답) 2번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</si>
  <si>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문장은?</t>
    </r>
  </si>
  <si>
    <t>물은 얼음이 아니다.</t>
  </si>
  <si>
    <t>물이 얼음이 되었다.</t>
  </si>
  <si>
    <t>물이 얼음으로 되었다.</t>
  </si>
  <si>
    <t>답) 3번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</si>
  <si>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남북정상회담이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연도는?</t>
    </r>
  </si>
  <si>
    <t xml:space="preserve">1994년 2000년 2007년 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</si>
  <si>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</si>
  <si>
    <t xml:space="preserve"> ‘소장파’ 판사들이라고 일컬을 때 ‘소’의 한자의미로 올바른 것은? </t>
  </si>
  <si>
    <t xml:space="preserve">(조직의) 우두머리 </t>
  </si>
  <si>
    <t>나이가 어린</t>
  </si>
  <si>
    <t xml:space="preserve">법원에 소를 제기하는 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</si>
  <si>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: 2 </t>
    </r>
  </si>
  <si>
    <t>조민우  러시아 월드컵 마스코트 선정 당시 경쟁한 동물은 고양이, 늑대, 호랑이였다. 이 중 선정된 동물은?</t>
  </si>
  <si>
    <r>
      <t>고양이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늑대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호랑이</t>
    </r>
  </si>
  <si>
    <t>A. 정답: 늑대</t>
  </si>
  <si>
    <r>
      <t>정현수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야구에서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사이클링히트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그라운드홈런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</si>
  <si>
    <t xml:space="preserve"> 다음중 '방사선'을 이용하여 조사처리한 식품에 표시하는 로고로 옳은것은?</t>
  </si>
  <si>
    <t>아주라</t>
  </si>
  <si>
    <t>라두라</t>
  </si>
  <si>
    <t>루주라</t>
  </si>
  <si>
    <t>답 라두라(Radura)</t>
  </si>
  <si>
    <t>Sim HJ 도널드 트럼프 대통령의 풀네임은? Donald James Trump Donald Jason Trump Donald John Trump (Donald John Trump. 북한 통신은 북미회담을 앞둔 보도에서 트럼프 대통령을 풀네임으로 부르며 예우했다)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</si>
  <si>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&lt;성산별곡, 가사문학, 서인&gt;과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호는?</t>
    </r>
  </si>
  <si>
    <t>송강 삼봉 서애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</si>
  <si>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정철</t>
    </r>
  </si>
  <si>
    <t xml:space="preserve"> 다음 중 음양오행에서 가을을 상징하는 색깔은?</t>
  </si>
  <si>
    <t>빨강 흰색 녹색</t>
  </si>
  <si>
    <t>A. 흰색</t>
  </si>
  <si>
    <r>
      <t>귀신</t>
    </r>
    <r>
      <rPr>
        <sz val="10"/>
        <color rgb="FF000000"/>
        <rFont val="굴림"/>
        <family val="3"/>
        <charset val="129"/>
      </rPr>
      <t xml:space="preserve">○○○ </t>
    </r>
    <r>
      <rPr>
        <sz val="10"/>
        <color rgb="FF000000"/>
        <rFont val="Times New Roman"/>
        <family val="1"/>
      </rPr>
      <t>까먹는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소리에서</t>
    </r>
    <r>
      <rPr>
        <sz val="10"/>
        <color rgb="FF000000"/>
        <rFont val="굴림"/>
        <family val="3"/>
        <charset val="129"/>
      </rPr>
      <t xml:space="preserve"> ○○○</t>
    </r>
    <r>
      <rPr>
        <sz val="10"/>
        <color rgb="FF000000"/>
        <rFont val="Times New Roman"/>
        <family val="1"/>
      </rPr>
      <t>는?</t>
    </r>
  </si>
  <si>
    <t>씨나락</t>
  </si>
  <si>
    <t>씻나락</t>
  </si>
  <si>
    <t>씬나락</t>
  </si>
  <si>
    <r>
      <t>예술작품을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아름다움에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매료되는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공격적인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욕구가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증상은?</t>
    </r>
  </si>
  <si>
    <t>스탕달 증후군</t>
  </si>
  <si>
    <t>다비드 증후군</t>
  </si>
  <si>
    <t>라오콘 증후군</t>
  </si>
  <si>
    <r>
      <t>뒤로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새는?</t>
    </r>
  </si>
  <si>
    <t>벌새</t>
  </si>
  <si>
    <t>딱따구리</t>
  </si>
  <si>
    <t>알바트로스</t>
  </si>
  <si>
    <r>
      <t>태양계에서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</si>
  <si>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</si>
  <si>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</si>
  <si>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</t>
    </r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</si>
  <si>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함^^)</t>
    </r>
  </si>
  <si>
    <t>이학구  서유기에 등장하는 손오공의 머리에 둘러쳐진 관 형태의 머리띠. 삼장법사가 손오공의 행동을 조절하기 위해 씌워놓은 것으로 나쁜 언행을 할 경우 머리띠가 조여 고통을 주는 물건은?</t>
  </si>
  <si>
    <t>금강고</t>
  </si>
  <si>
    <t>금고아</t>
  </si>
  <si>
    <t>긴고아</t>
  </si>
  <si>
    <t>Sim HJ  공공장소에 설치된 터치스크린 방식의 무인 종합정보안내시스템은? 미디어 파사드 키오스크 퍼블릭 인티머시(정답 : 키오스크)</t>
  </si>
  <si>
    <t xml:space="preserve"> ‘가능한 한 인위적으로!’라는 구호는 누구에게서 나온 말일까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</si>
  <si>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워홀/ 데이비드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호크니/ 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</si>
  <si>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</si>
  <si>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t>태양계에서 제일 밝은 행성은 무엇일까요?</t>
  </si>
  <si>
    <t xml:space="preserve"> 미국 각지에 분산되어 있는 연구소와 대학교의 컴퓨터를 연결한 대규모 패킷 교환망으로 인터넷의 기원으로 여겨지는 것은?</t>
  </si>
  <si>
    <t>알로하넷</t>
  </si>
  <si>
    <t>아르파넷</t>
  </si>
  <si>
    <t>WWW</t>
  </si>
  <si>
    <t>답] 아르파넷</t>
  </si>
  <si>
    <t xml:space="preserve"> 오는 6월 13일에 열리는 제7회 전국동시지방선거에서 투표하지 않는 직책은? </t>
  </si>
  <si>
    <t>시도지사</t>
  </si>
  <si>
    <t>국회의원</t>
  </si>
  <si>
    <t>교육감</t>
  </si>
  <si>
    <t>4.마을이장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</si>
  <si>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마을이장</t>
    </r>
  </si>
  <si>
    <t xml:space="preserve">김동우  적으로부터 자신을 보호하기 위해 몸 색깔을 바꾸는 동물이 아닌 것은? </t>
  </si>
  <si>
    <t>불가사리 문어 개구리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</si>
  <si>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불가사리</t>
    </r>
  </si>
  <si>
    <r>
      <t>서용삼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직교좌표계를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</t>
    </r>
  </si>
  <si>
    <t>아폴로니우스</t>
  </si>
  <si>
    <t>아르키메데스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</si>
  <si>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데카르트</t>
    </r>
  </si>
  <si>
    <t>Kyeong Jin Park 트럼프 대통령이 타는 전용 차량의 별칭은?</t>
  </si>
  <si>
    <t>드래곤/비스트/이글</t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</si>
  <si>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비스트</t>
    </r>
  </si>
  <si>
    <t xml:space="preserve"> 6월 13일 있는 전국동시지방선거.</t>
  </si>
  <si>
    <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정해져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시까지일까요?</t>
    </r>
  </si>
  <si>
    <t>오전 6시 ~ 오후 6시</t>
  </si>
  <si>
    <t>오전 7시 ~ 오후 8시</t>
  </si>
  <si>
    <t>오전 8시 ~ 오후 6시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</si>
  <si>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1번.</t>
    </r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</si>
  <si>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October는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'8' 12월의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December는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'10'이란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뜻이다</t>
    </r>
    <r>
      <rPr>
        <sz val="10"/>
        <color rgb="FF000000"/>
        <rFont val="굴림"/>
        <family val="3"/>
        <charset val="129"/>
      </rPr>
      <t xml:space="preserve"> </t>
    </r>
  </si>
  <si>
    <t>O</t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</si>
  <si>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울릉도와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강원도에서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재배되는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'산마늘'의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  <r>
      <rPr>
        <sz val="10"/>
        <color rgb="FF000000"/>
        <rFont val="굴림"/>
        <family val="3"/>
        <charset val="129"/>
      </rPr>
      <t>①</t>
    </r>
    <r>
      <rPr>
        <sz val="10"/>
        <color rgb="FF000000"/>
        <rFont val="Times New Roman"/>
        <family val="1"/>
      </rPr>
      <t>양파</t>
    </r>
    <r>
      <rPr>
        <sz val="10"/>
        <color rgb="FF000000"/>
        <rFont val="굴림"/>
        <family val="3"/>
        <charset val="129"/>
      </rPr>
      <t xml:space="preserve"> ②</t>
    </r>
    <r>
      <rPr>
        <sz val="10"/>
        <color rgb="FF000000"/>
        <rFont val="Times New Roman"/>
        <family val="1"/>
      </rPr>
      <t>생강</t>
    </r>
    <r>
      <rPr>
        <sz val="10"/>
        <color rgb="FF000000"/>
        <rFont val="굴림"/>
        <family val="3"/>
        <charset val="129"/>
      </rPr>
      <t xml:space="preserve"> ③</t>
    </r>
    <r>
      <rPr>
        <sz val="10"/>
        <color rgb="FF000000"/>
        <rFont val="Times New Roman"/>
        <family val="1"/>
      </rPr>
      <t>명이</t>
    </r>
  </si>
  <si>
    <r>
      <t>Gwon Yeong Hyeon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맞추시오.넌센스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입니다.</t>
    </r>
  </si>
  <si>
    <t>1 2 11</t>
  </si>
  <si>
    <r>
      <t>정답: 1 (하나와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한마음이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된다는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풀이)</t>
    </r>
  </si>
  <si>
    <t>에녹  샌프란시스코에 금문교는 무슨색인가?</t>
  </si>
  <si>
    <r>
      <t>검정색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금색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빨간색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</si>
  <si>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빨간색</t>
    </r>
  </si>
  <si>
    <t xml:space="preserve"> 현재 기준 일반적으로 영화가 개봉하는 요일은?</t>
  </si>
  <si>
    <t>수요일 / 목요일 / 금요일</t>
  </si>
  <si>
    <t>A. 목요일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</si>
  <si>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kbo리그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30000호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등번호는?</t>
    </r>
  </si>
  <si>
    <t>NO.10 NO. 17 NO. 27</t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</si>
  <si>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제이미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</t>
    </r>
  </si>
  <si>
    <t>Taro Yamada  국민투표 중 헌법상의 제도화 없이 실시하는, 특히 통치자의 신임 여부를 확인할 때 쓰이는 국민투표는?</t>
  </si>
  <si>
    <r>
      <t>플레비지트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레퍼렌덤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콘클라베</t>
    </r>
  </si>
  <si>
    <t>A. 정답: 플레비지트</t>
  </si>
  <si>
    <t>Yi Jinuk  다음 중 우리나라에서 쓰인 연호가 아닌 것은?</t>
  </si>
  <si>
    <r>
      <t>홍제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정개</t>
    </r>
  </si>
  <si>
    <t>A. 홍가</t>
  </si>
  <si>
    <t>Kyeong Jin Park 외국인 유권자가 가장 많은 곳은?</t>
  </si>
  <si>
    <t>경기도/서울/경상남도</t>
  </si>
  <si>
    <r>
      <t>A.정답: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경기도</t>
    </r>
  </si>
  <si>
    <r>
      <t>유승우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클로버의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상징하는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</si>
  <si>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희망</t>
  </si>
  <si>
    <t>축복</t>
  </si>
  <si>
    <t>성실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</si>
  <si>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 </t>
    </r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</si>
  <si>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</si>
  <si>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개리(강희건)</t>
  </si>
  <si>
    <t>공효진</t>
  </si>
  <si>
    <t>정답:개리</t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</si>
  <si>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</si>
  <si>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보아</t>
  </si>
  <si>
    <t>전소민</t>
  </si>
  <si>
    <t>문채원</t>
  </si>
  <si>
    <t>A)보아</t>
  </si>
  <si>
    <t>이학구  소설 걸리버 여행기에서 걸리버의 직업은?</t>
  </si>
  <si>
    <t>군인</t>
  </si>
  <si>
    <t>의사</t>
  </si>
  <si>
    <t>정치인</t>
  </si>
  <si>
    <t>심성민  현재 우리나라 의전서열 순위 2위는? 대법원장 국무총리 국회의장 A. 3번 국회의장 1위부터 차례대로 대통령- 국회의장- 대법원장-헌재소장-국무총리 순서</t>
  </si>
  <si>
    <r>
      <t>서재훈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대통령은??</t>
    </r>
  </si>
  <si>
    <t>이승만</t>
  </si>
  <si>
    <t>박정희</t>
  </si>
  <si>
    <t>전두환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</si>
  <si>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박정희</t>
    </r>
  </si>
  <si>
    <t>박유선 영국의 극작가 버나드쇼의 묘비명은?</t>
  </si>
  <si>
    <t>"이만하면 됐다"</t>
  </si>
  <si>
    <t>"일어나지 못해 미안하다"</t>
  </si>
  <si>
    <t>"내 우물쭈물하다 이럴 줄 알았다"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</si>
  <si>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우물쭈물하다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알았다"</t>
    </r>
  </si>
  <si>
    <t>조원상  프랑스가 강탈해간 외규장각의 문화유산중 우리나라 최초의 금속활자는?</t>
  </si>
  <si>
    <t>직지심체요절</t>
  </si>
  <si>
    <t>무구정광대다라니경</t>
  </si>
  <si>
    <t>8만대장경판</t>
  </si>
  <si>
    <t>(답: 직지심체요절)</t>
  </si>
  <si>
    <t xml:space="preserve"> 한국의 핫도그를 미국에선 뭐라고 부를까?</t>
  </si>
  <si>
    <t>Frank Dog Dachs Dog Corn Dog</t>
  </si>
  <si>
    <t>A. Corn Dog</t>
  </si>
  <si>
    <t xml:space="preserve"> C로 시작하지 않는 외래어는?</t>
  </si>
  <si>
    <t>칵테일 칼로리 코알라</t>
  </si>
  <si>
    <t>A. 코알라</t>
  </si>
  <si>
    <t xml:space="preserve"> 다음중 수컷을 나타내는 맞춤법이 다른 것은?</t>
  </si>
  <si>
    <t xml:space="preserve">숫쥐 </t>
  </si>
  <si>
    <t>숫소</t>
  </si>
  <si>
    <t xml:space="preserve">숫양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</si>
  <si>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숫소가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표기해야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표준어입니다!)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</si>
  <si>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Q대통령의임기는몇년일까요?</t>
    </r>
  </si>
  <si>
    <t>3년/4년/5년</t>
  </si>
  <si>
    <t>A.정답:5년</t>
  </si>
  <si>
    <t>Youngmi Oh  그릇 위까지 수북하게 담은 밥을 뜻하는 순우리말은?</t>
  </si>
  <si>
    <r>
      <t>감투밥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고봉밥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고두밥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</si>
  <si>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감투밥</t>
    </r>
  </si>
  <si>
    <r>
      <t>정은정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지방선거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60%를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아닌것은? </t>
    </r>
  </si>
  <si>
    <t>보기 1995년 2002년 2018년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</si>
  <si>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</si>
  <si>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Q편의점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술을마시면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몇년징역에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몇천만원의이나올까요?</t>
    </r>
  </si>
  <si>
    <r>
      <t>2년이하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1000만원이하/3년이하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3000만원이하/ 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</si>
  <si>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r>
      <t>A.정답:5년이하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</si>
  <si>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t>정민희 치킨이 익었는데도 불구하고 치킨속살이 붉게 보여지는 용어를 뜻한것은? 삼다현상 핑킹현상 삼투압현상 -정답은 : 2번</t>
  </si>
  <si>
    <t xml:space="preserve"> 다음 중 사의 한자표기가 다른 것은?</t>
  </si>
  <si>
    <t>검사/ 판사/ 변호사</t>
  </si>
  <si>
    <t>A. 정답: 변호사</t>
  </si>
  <si>
    <t>이호창  경기도 평택시에 위치한 미군부대 앞에 시장이름은?</t>
  </si>
  <si>
    <t>평화국제시장 국제중앙시장 미군중앙시장</t>
  </si>
  <si>
    <r>
      <t>A. 2번(국제중앙시장이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정답입니다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위치해잇어서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다른말로는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송프란시스코라고도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ㅎ)</t>
    </r>
  </si>
  <si>
    <t xml:space="preserve"> 문제 우리나라에서 최초로 나온 라면의 출시 년도는?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</si>
  <si>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( 1963년/1971년/1979년)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</si>
  <si>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1963년</t>
    </r>
  </si>
  <si>
    <t>손자경  충무공이순신탄신일은 몇월 몇일일까요?</t>
  </si>
  <si>
    <t>4월 28일</t>
  </si>
  <si>
    <t>6월 10일</t>
  </si>
  <si>
    <t>8월 15일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</si>
  <si>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4월28일</t>
    </r>
  </si>
  <si>
    <t>이문희  다음중 '도'자가 다른 하나는?</t>
  </si>
  <si>
    <t>울릉도/제주도/여의도</t>
  </si>
  <si>
    <t>A. 제주도</t>
  </si>
  <si>
    <t>충무공 이순신 장군의 본관은?</t>
  </si>
  <si>
    <t>전주 덕수 충무</t>
  </si>
  <si>
    <t>A. 덕수</t>
  </si>
  <si>
    <t>Younggon Kim  다음 보기 중 가장 큰 수는?</t>
  </si>
  <si>
    <r>
      <t>나유타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</si>
  <si>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나유타</t>
    </r>
  </si>
  <si>
    <t>김대현  다음 중 본명이 아닌 스포츠 스타는?</t>
  </si>
  <si>
    <t>펠레</t>
  </si>
  <si>
    <t>켄 그리피 주니어</t>
  </si>
  <si>
    <t>우사인 볼트</t>
  </si>
  <si>
    <t>정답 : 펠레</t>
  </si>
  <si>
    <t>김태오 다음 중 서울역의 옛 이름이 아닌것은?</t>
  </si>
  <si>
    <t>경성역</t>
  </si>
  <si>
    <t>한양역</t>
  </si>
  <si>
    <t>남대문역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</si>
  <si>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한양역</t>
    </r>
  </si>
  <si>
    <t>이규석 장애인복지법에 따른 장애유형은 몇가지 일까요?</t>
  </si>
  <si>
    <t>10가지/ 12가지/ 15가지</t>
  </si>
  <si>
    <t>A. 15가지</t>
  </si>
  <si>
    <t>이규석  일반주차구역은 3m인데 장애인전용주차구역의 폭은 얼마일까요?</t>
  </si>
  <si>
    <t>3m / 8m/ 3m</t>
  </si>
  <si>
    <t>A. 3m(휠체어 놓을 공간이 필요해요)</t>
  </si>
  <si>
    <t xml:space="preserve">안종헌  이번 러시아 월드컵 출전국 중 하늘색 유니폼을 입는 나라는? </t>
  </si>
  <si>
    <r>
      <t>페루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멕시코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우루과이</t>
    </r>
    <r>
      <rPr>
        <sz val="10"/>
        <color rgb="FF000000"/>
        <rFont val="굴림"/>
        <family val="3"/>
        <charset val="129"/>
      </rPr>
      <t xml:space="preserve"> </t>
    </r>
  </si>
  <si>
    <t>A. 우루과이</t>
  </si>
  <si>
    <t>Yeongbin Kim 다음중 메이저리그에 진출하지 못한 선수는?</t>
  </si>
  <si>
    <r>
      <t>김현수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이승엽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박병호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</si>
  <si>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이승엽</t>
    </r>
  </si>
  <si>
    <t>스마트폰을 들여다보며 길을 걷는 사람들을 지칭하는 말은?</t>
  </si>
  <si>
    <t>렛츠비</t>
  </si>
  <si>
    <t>메이비</t>
  </si>
  <si>
    <t>김가영  프랑스 파리에 본사를 둔 '이 업체'는 도시 간 장거리 여행에 초점을 둔 차량 공유(카풀) 서비스이다. '이 업체'는?</t>
  </si>
  <si>
    <t>우버</t>
  </si>
  <si>
    <t>리프트</t>
  </si>
  <si>
    <t>블라블라카(정답)</t>
  </si>
  <si>
    <t>스티  기존 항공사에 비해 저렴한 운임을 제공하는 저비용항공사를 뜻하는 영문 약어로 맞는 것은?</t>
  </si>
  <si>
    <t>LCC 항공사</t>
  </si>
  <si>
    <t>MSC 항공사</t>
  </si>
  <si>
    <t>FSC 항공사</t>
  </si>
  <si>
    <t>A. LCC 항공사</t>
  </si>
  <si>
    <t>정희정  주로 5060세대, 즉 실버세대의 전성기를 뜻하는 신조어는?</t>
  </si>
  <si>
    <t>그렉시트 골든그레이 그레이네상스</t>
  </si>
  <si>
    <t>정답: 그레이네상스</t>
  </si>
  <si>
    <t>김기둥  낚시에서 생선의 길이를 잴 때 10cm 단위로 부르는 용어는?</t>
  </si>
  <si>
    <t>척</t>
  </si>
  <si>
    <t>짜</t>
  </si>
  <si>
    <t>장</t>
  </si>
  <si>
    <t>A. 짜</t>
  </si>
  <si>
    <r>
      <t>박인성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해수욕장이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</si>
  <si>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금능해수욕장</t>
  </si>
  <si>
    <t>송도해수욕장</t>
  </si>
  <si>
    <t>화순금모래해수욕장</t>
  </si>
  <si>
    <t>정답 : 송도해수욕장(부산)</t>
  </si>
  <si>
    <t xml:space="preserve"> 다음 중에 뤽 베송이 제작자로 참여한 영화는?</t>
  </si>
  <si>
    <t>그랑블루 테이큰 쿠크하트</t>
  </si>
  <si>
    <t>A. 정답 : 테이큰</t>
  </si>
  <si>
    <t>2002한일 월드컵 대한민국의 성적은?</t>
  </si>
  <si>
    <t>4승1무2패 4승2무2패 3승2무2패</t>
  </si>
  <si>
    <t>정답:3승2무2패(vs폴란드승 미국무 포루투갈승 이탈리아승 스페인무-승부차기경기는 무승부처리 독일패 터키패)</t>
  </si>
  <si>
    <t>선수와감독으로 모두월드컵우승을 경험한 사람은?</t>
  </si>
  <si>
    <t>프란츠 베켄바워 요한 크루이프 미셸 플라티니</t>
  </si>
  <si>
    <t>정답:프란츠 베켄바워(1974서독대회 선수우승, 1990이탈리아대회 감독우승)</t>
  </si>
  <si>
    <t>역대월드컵 본선 한경기에서 한국가가 기록한 최다골은 몇골?</t>
  </si>
  <si>
    <t>9골 10골 11골</t>
  </si>
  <si>
    <t>정답:10골(1982년 스페인대회 헝가리vs엘살바도르 10:1)</t>
  </si>
  <si>
    <t>심성민 대한민국 헌법 제 1조는 몆항까지 있을까요?</t>
  </si>
  <si>
    <t>2항 3항 4항 A. 1번입니다. 대한민국 헌법 1조는 1조1항과 1조2항으로 구성되어 있습니다.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</si>
  <si>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제목무엇일까요?</t>
    </r>
  </si>
  <si>
    <t>연축제</t>
  </si>
  <si>
    <t>허준축제</t>
  </si>
  <si>
    <t>홍삼축제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</si>
  <si>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</si>
  <si>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몆월달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할까요?</t>
    </r>
  </si>
  <si>
    <t>5월</t>
  </si>
  <si>
    <t>6월</t>
  </si>
  <si>
    <t>7월</t>
  </si>
  <si>
    <t>4. 10월</t>
  </si>
  <si>
    <r>
      <t>정답: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10월달</t>
    </r>
  </si>
  <si>
    <t>디지털 시대의 새로운 독신주의자들을 지칭하는 말로 '혼자임을 즐기는 사람들을 가리킴'</t>
  </si>
  <si>
    <t>네오싱글족 혼자살이족 네오홀로족</t>
  </si>
  <si>
    <t>Sena Park  다음 중 각 영양소가 1g당 내는 열량으로 잘못 짝지어 진것은?</t>
  </si>
  <si>
    <r>
      <t>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 / 지방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- 9kcal / 단백질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- 4kcal</t>
    </r>
  </si>
  <si>
    <r>
      <t>A. 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</t>
    </r>
  </si>
  <si>
    <r>
      <t>( 탄수화물는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1g당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4kcal의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냅니다. )</t>
    </r>
  </si>
  <si>
    <t>강윤구 이순신이 그려져있는 돈은?</t>
  </si>
  <si>
    <t>만원 이천원 백원</t>
  </si>
  <si>
    <t>박상현 인체의 뼈는 총 몇개인가?</t>
  </si>
  <si>
    <t>206개</t>
  </si>
  <si>
    <t>187개</t>
  </si>
  <si>
    <t>202개</t>
  </si>
  <si>
    <t>A.정답: 206개</t>
  </si>
  <si>
    <t>강주희  다음 중 노벨 상 수상자가 아닌 사람은 ?</t>
  </si>
  <si>
    <t xml:space="preserve">배리배리 시 라이너 바이스 맷 그레이닝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</si>
  <si>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_ 궁금하면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오백원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</si>
  <si>
    <t>조민우  황희 정승의 누렁소와 검은소 일화에서 농부는 어느 소가 더 일을 잘한다고 했을까요?</t>
  </si>
  <si>
    <r>
      <t>검은소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누렁소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잘한다고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했다</t>
    </r>
  </si>
  <si>
    <t>A. 정답: 누렁소</t>
  </si>
  <si>
    <r>
      <t>이성규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Q전기(electricity)의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어원은??</t>
    </r>
  </si>
  <si>
    <t>호박 선거 빛</t>
  </si>
  <si>
    <t>A. 호박</t>
  </si>
  <si>
    <t>다음중 세속오계에 해당하지 않는것은?</t>
  </si>
  <si>
    <t>군신유의</t>
  </si>
  <si>
    <t>교우이신</t>
  </si>
  <si>
    <t>임전무퇴</t>
  </si>
  <si>
    <t>정답:군신유의 (오륜에 해당)</t>
  </si>
  <si>
    <t>Gwon Yeong Hyeon 유민상은 어디 공채 개그맨 일까요?</t>
  </si>
  <si>
    <t>SBS</t>
  </si>
  <si>
    <t>MBC</t>
  </si>
  <si>
    <t>KBS</t>
  </si>
  <si>
    <r>
      <t>정답:3 KBS 공채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개그맨</t>
    </r>
  </si>
  <si>
    <t>A.정답:</t>
  </si>
  <si>
    <t>김민소  피아노건반 중 검은 건반과 흰 건반을 모두 합한 건반의 갯수는 ?</t>
  </si>
  <si>
    <t>68개/87개/88개</t>
  </si>
  <si>
    <t>A. 88개</t>
  </si>
  <si>
    <t>Jae Hoon Cho  저비용항공사를 뜻하는 LCC(Low Cost C~~)에서 마지막 C가 뜻하는 것은?</t>
  </si>
  <si>
    <t>craft</t>
  </si>
  <si>
    <t>corporation</t>
  </si>
  <si>
    <t>carrier</t>
  </si>
  <si>
    <t>A. 3 carrier</t>
  </si>
  <si>
    <t xml:space="preserve"> '삼각팬티'를 만들어 제일 먼저 특허로 등록한 사람은?</t>
  </si>
  <si>
    <t>나카마쓰</t>
  </si>
  <si>
    <t>사키치</t>
  </si>
  <si>
    <t>사쿠라이</t>
  </si>
  <si>
    <t>정답: 사쿠라이</t>
  </si>
  <si>
    <t>Yeongbin Kim  현직 국회의원이 아닌 사람은?</t>
  </si>
  <si>
    <r>
      <t>원희룡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유승민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추미애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</si>
  <si>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원희룡(제주도지사) 유승민(대구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동구을) 추미애(서울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광진구을)</t>
    </r>
  </si>
  <si>
    <t xml:space="preserve"> 6월13일 지방선거에 의해 선출된 지방자치단체장의 임기개시일은?</t>
  </si>
  <si>
    <t>6월14일</t>
  </si>
  <si>
    <t>6월20일</t>
  </si>
  <si>
    <t>7월1일</t>
  </si>
  <si>
    <r>
      <t>최송희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문제: '경호'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영어로하면?</t>
    </r>
  </si>
  <si>
    <t>security</t>
  </si>
  <si>
    <t>sacurity</t>
  </si>
  <si>
    <t>sakurity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</si>
  <si>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</si>
  <si>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>이원준  캐나다의 수도는?</t>
  </si>
  <si>
    <t>밴쿠버</t>
  </si>
  <si>
    <t>오타와</t>
  </si>
  <si>
    <t>토론토</t>
  </si>
  <si>
    <t>A.정답 : 오타와</t>
  </si>
  <si>
    <t>이예찬  스포츠문제 축구에서 발롱도르를 제일 많이 받은 선수는?</t>
  </si>
  <si>
    <t>cristiano ronaldo</t>
  </si>
  <si>
    <t>lionel messi</t>
  </si>
  <si>
    <t>ronaldo</t>
  </si>
  <si>
    <t>A. lionel messi</t>
  </si>
  <si>
    <t>이학구  &lt;&lt;레고 에릭센 크로네&gt;&gt;로 연상이 되는 나라는?</t>
  </si>
  <si>
    <t>핀란드</t>
  </si>
  <si>
    <t>김영민  백제시대 미륵산은 무엇으로 불렸을까요?</t>
  </si>
  <si>
    <t>용왕산/용화산/용마산</t>
  </si>
  <si>
    <t>A. 정답:용화산</t>
  </si>
  <si>
    <t>안길환  다음 중 가장 오래된 다리는?</t>
  </si>
  <si>
    <r>
      <t>동호대교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원효대교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동작대교</t>
    </r>
  </si>
  <si>
    <t>A. 원효대교</t>
  </si>
  <si>
    <t>안길환  인천과 강릉을 잇는 영동고속도로의 노선번호는?</t>
  </si>
  <si>
    <r>
      <t>45번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50번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55번</t>
    </r>
  </si>
  <si>
    <t>A. 50번</t>
  </si>
  <si>
    <t>안길환  다음 중 현재 존재하지 않는 역명은?</t>
  </si>
  <si>
    <r>
      <t>신천역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신내역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성내역</t>
    </r>
  </si>
  <si>
    <t>A. 성내역</t>
  </si>
  <si>
    <t>안길환  다음 중 가장 작은 수(數)는?</t>
  </si>
  <si>
    <r>
      <t>육덕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찰나</t>
    </r>
  </si>
  <si>
    <t>A. 육덕</t>
  </si>
  <si>
    <t>안길환  다음 중 10의16제곱을 일컫는 말은?</t>
  </si>
  <si>
    <r>
      <t>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</t>
    </r>
    <r>
      <rPr>
        <sz val="10"/>
        <color rgb="FF000000"/>
        <rFont val="굴림"/>
        <family val="3"/>
        <charset val="129"/>
      </rPr>
      <t xml:space="preserve"> </t>
    </r>
  </si>
  <si>
    <t>A. 경</t>
  </si>
  <si>
    <r>
      <t>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</si>
  <si>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먼지잼 는개 감바리</t>
  </si>
  <si>
    <r>
      <t>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감바리</t>
    </r>
  </si>
  <si>
    <t>먼지잼 : 먼지를 겨우 재워놓을 정도로 내리는비</t>
  </si>
  <si>
    <t>안개비보다는 조금 굵고 이슬비보다는 가는 비</t>
  </si>
  <si>
    <t>잇속을 노리고 약삭빠르게 달라붙는 사람</t>
  </si>
  <si>
    <t xml:space="preserve"> 페북이나 인스타 등 SNS상에서 빠르게 판매를 하는 사람을 일컫는 말은? 79피플</t>
  </si>
  <si>
    <t>82피플</t>
  </si>
  <si>
    <t>90피플 (정답은 2번, 82피플)</t>
  </si>
  <si>
    <r>
      <t>김민서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않은것은?</t>
    </r>
  </si>
  <si>
    <t>diminish (디미니쉬)</t>
  </si>
  <si>
    <t>mason (메이슨)</t>
  </si>
  <si>
    <t>Augmented (어그먼트)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</si>
  <si>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. 2번</t>
    </r>
  </si>
  <si>
    <r>
      <t>박준현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낸사람의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</si>
  <si>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t>박준현 김준현 유민상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</si>
  <si>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</si>
  <si>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임채술 유럽인들이 가장 즐겨먹는 음식은?</t>
  </si>
  <si>
    <t>아이유식 이유식 아이식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</si>
  <si>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LG의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옳은것은?</t>
    </r>
  </si>
  <si>
    <t xml:space="preserve">Life Good Lucky Goldstar Last Go </t>
  </si>
  <si>
    <t>Jason Shim 세계 4대 미항(아름다운 항구)인 곳은?</t>
  </si>
  <si>
    <t>모나코</t>
  </si>
  <si>
    <t>벤쿠버</t>
  </si>
  <si>
    <t>베니스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</si>
  <si>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3대미항(나폴리, 시드니, 리우데자네이루)+4대미항(벤쿠버)</t>
    </r>
  </si>
  <si>
    <t xml:space="preserve"> 2018 러시아 월드컵은 몇 번째 월드컵일까요?</t>
  </si>
  <si>
    <t>20회 21회 22회</t>
  </si>
  <si>
    <r>
      <t>A.2번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21회</t>
    </r>
  </si>
  <si>
    <t>Hyerim Yun 임진왜란 중 거북선이 첫 출정한 해전은?</t>
  </si>
  <si>
    <t>사천해전 명량해전 노량해전</t>
  </si>
  <si>
    <t>Hyerim Yun  다음중 충청남도에 있는 온천이 아닌 곳은?</t>
  </si>
  <si>
    <t>온양온천 덕산온천 수안보온천</t>
  </si>
  <si>
    <r>
      <t>구은미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Q순우리말은?</t>
    </r>
  </si>
  <si>
    <t>족발. 순대 호떡</t>
  </si>
  <si>
    <t>A2순대</t>
  </si>
  <si>
    <t>이학구  인간과 비슷한 모습의 야만적인 종족 야후(Yahoo)가 등장하는 소설은?</t>
  </si>
  <si>
    <t>이상한 나라의 앨리스</t>
  </si>
  <si>
    <t>오즈의 마법사</t>
  </si>
  <si>
    <t>걸리버 여행기</t>
  </si>
  <si>
    <t>김은현  코르크 최대 생산국은?</t>
  </si>
  <si>
    <t>프랑스 칠레 포르투갈</t>
  </si>
  <si>
    <t>정답: 3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</si>
  <si>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윤봉길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임시정부의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누구인가</t>
    </r>
  </si>
  <si>
    <t>김구</t>
  </si>
  <si>
    <t>이동녕</t>
  </si>
  <si>
    <t xml:space="preserve">이승만 </t>
  </si>
  <si>
    <t>정답은 이동녕</t>
  </si>
  <si>
    <t>강태윤  다음 중 제2한강교는 어느 곳?</t>
  </si>
  <si>
    <t>한남대교</t>
  </si>
  <si>
    <t>동작대교</t>
  </si>
  <si>
    <t>김은현  다음 중 jtbc 예능 비긴어게인2 출연자가 아닌 사람은?</t>
  </si>
  <si>
    <t>박정현 김윤아 이소라</t>
  </si>
  <si>
    <r>
      <t>한상민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문제입니다. 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상은?</t>
    </r>
  </si>
  <si>
    <t>푸스카스 상 (Puskas) 발롱도르 (Ballon d'or) 3 골든 슈즈 (Golden shoes)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</si>
  <si>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발롱도르</t>
    </r>
  </si>
  <si>
    <t>전설  다음 중 가장 큰 나라는?</t>
  </si>
  <si>
    <r>
      <t>카자흐스탄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파키스탄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부탄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</si>
  <si>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카자흐스탄</t>
    </r>
  </si>
  <si>
    <t>김은현  다음 중 금요일에 방영되는 음악프로그램은?</t>
  </si>
  <si>
    <t>쇼음악중심 뮤직뱅크 엠카운트다운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</si>
  <si>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</si>
  <si>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t>김은현 다음 중 에스프레소 기반 음료가 아닌 것은?</t>
  </si>
  <si>
    <t>아인슈페너 샤케라또 뱅쇼</t>
  </si>
  <si>
    <t>정답3</t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</si>
  <si>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최초득점자는?</t>
    </r>
  </si>
  <si>
    <t>산도르 콕시스 쥐스트 퐁텐 루시앙 로랑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</si>
  <si>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</t>
    </r>
  </si>
  <si>
    <t>조홍열  명태의 다른 이름 중 실제 없는 이름은?</t>
  </si>
  <si>
    <r>
      <t>서태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추태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</si>
  <si>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서태</t>
    </r>
  </si>
  <si>
    <t>이진혁  2018 러시아 월드컵 출전 선수 중 가장 많은 a매치 골을 기록하고 있는 선수는?</t>
  </si>
  <si>
    <t>리오넬 메시 토마스 뮐러 크리스티아누 호날두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</si>
  <si>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</si>
  <si>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어디일까?</t>
    </r>
  </si>
  <si>
    <t>브라질 잉글랜드 우루과이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</si>
  <si>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</t>
    </r>
  </si>
  <si>
    <t>함명국 대한민국 월드컵 역사상 첫 골을 기록한 선수는?</t>
  </si>
  <si>
    <r>
      <t>허정무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박창선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최순호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</si>
  <si>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박창선</t>
    </r>
  </si>
  <si>
    <t>최봉제  잔디 코트에서 하는 테니스대회는?</t>
  </si>
  <si>
    <r>
      <t>윔블던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호주오픈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US오픈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</si>
  <si>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윔블던</t>
    </r>
  </si>
  <si>
    <t>최봉제  창덕궁의 정문은?</t>
  </si>
  <si>
    <r>
      <t>홍화문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대한문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돈화문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</si>
  <si>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돈화문</t>
    </r>
  </si>
  <si>
    <t>Minjun Jo  TV에 나오는 아이돌스타! 그때의 아이돌의 어원은 어느 어로부터 왔을까?</t>
  </si>
  <si>
    <t>라틴어 히브리어 그리스어</t>
  </si>
  <si>
    <t>정답:3</t>
  </si>
  <si>
    <r>
      <t>김기둥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</t>
    </r>
  </si>
  <si>
    <t>잉글랜드</t>
  </si>
  <si>
    <t>A. 잉글랜드 1회 우승</t>
  </si>
  <si>
    <r>
      <t>So Hyun Jeon 선물시장이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급변할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현현물시장을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안정적으로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운용하기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프로그램?</t>
    </r>
  </si>
  <si>
    <t>사이드카/세븐카/마진카</t>
  </si>
  <si>
    <t>정답: 사이드카</t>
  </si>
  <si>
    <t>강동현  다음중 참나무 종류가 아닌 수종은?</t>
  </si>
  <si>
    <t>느티나무 떡갈나무 상수리나무</t>
  </si>
  <si>
    <t>A.1번</t>
  </si>
  <si>
    <t>임채현 동화책 제목중 맞는것은?</t>
  </si>
  <si>
    <t>신비한 나라의 엘리스</t>
  </si>
  <si>
    <t>신기한 나라의 엘리스</t>
  </si>
  <si>
    <t xml:space="preserve">이상한 나라의 엘리스 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</si>
  <si>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이상한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엘리스</t>
    </r>
  </si>
  <si>
    <t>이소원 다음 중 너의 이름은 영화에서 남자 주인공과 여자 주인공 이름이 올바른 것은?</t>
  </si>
  <si>
    <t>1 .마츠리,타마시</t>
  </si>
  <si>
    <t>미츠코,마사오</t>
  </si>
  <si>
    <t>미츠하,타키도</t>
  </si>
  <si>
    <t>정답-3번:미츠하,타키도</t>
  </si>
  <si>
    <t>Sim HJ  두말 할 것 없이 당연히 라는 뜻의 부사는? 의례 으례 으레 (정답 : 으레 / 의례는 명사 으례는 으레의 잘못된 말)</t>
  </si>
  <si>
    <t>Park Jongseon 2018러시아월드컵 마스코트 자비바카 가 착용하고 있는 안경의 색깔은?</t>
  </si>
  <si>
    <t>초록색 스포츠안경</t>
  </si>
  <si>
    <t>파란색 스포츠안경</t>
  </si>
  <si>
    <t>주황색 스포츠안경</t>
  </si>
  <si>
    <r>
      <t>정답: 주황색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스포츠안경</t>
    </r>
  </si>
  <si>
    <r>
      <t>김호진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15주년을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맞이한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횡스크롤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mmorpg는?</t>
    </r>
  </si>
  <si>
    <t>리니지 바람의 나라 메이플스토리</t>
  </si>
  <si>
    <t>정답. 3</t>
  </si>
  <si>
    <t>2018 러시아월드컵 결승경기가 열리는 도시는?</t>
  </si>
  <si>
    <t>칼리닌그라드</t>
  </si>
  <si>
    <t>상테페테르부르크</t>
  </si>
  <si>
    <r>
      <t>A.정답: 모스크바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(루즈니키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스타디움)</t>
    </r>
  </si>
  <si>
    <t>2018러시아 월드컵 우승국가에게 주는 우승상금은 얼마일까요?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</si>
  <si>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3800만달러(한화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약410억)</t>
    </r>
  </si>
  <si>
    <t>우리나라가 월드컵 첫 본선 진출한 대회는?</t>
  </si>
  <si>
    <t>1954년 스위스대회</t>
  </si>
  <si>
    <t>1978년 아르헨티나대회</t>
  </si>
  <si>
    <t>1986년 멕시코대회</t>
  </si>
  <si>
    <t>월드컵 최초 2연패를 기록한 나라는?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</si>
  <si>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</t>
    </r>
  </si>
  <si>
    <t>2018러시아 월드컵에 출전중인 우리나라 선수중 골키퍼(GK)가 아닌 사람은?</t>
  </si>
  <si>
    <t>김진현</t>
  </si>
  <si>
    <t>김민우</t>
  </si>
  <si>
    <t>김승규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</si>
  <si>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김민우(수비수)</t>
    </r>
  </si>
  <si>
    <t>2018러시아 월드컵 오늘(6.18일) 우리나라와 대결할 스웨덴은 FIFA랭킹 몇위일까요? (2018년6월기준)</t>
  </si>
  <si>
    <t>15위</t>
  </si>
  <si>
    <t>24위</t>
  </si>
  <si>
    <t>57위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</si>
  <si>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24위</t>
    </r>
  </si>
  <si>
    <t>다음중 우리나라 경기장에 붙은 애칭중 빅 크라운 이라는 애칭을 가진 경기장은?</t>
  </si>
  <si>
    <t>대구 스타디움</t>
  </si>
  <si>
    <t>울산 문수축구경기장</t>
  </si>
  <si>
    <t>제주 월드컵경기장</t>
  </si>
  <si>
    <t>정답: 2번</t>
  </si>
  <si>
    <t xml:space="preserve"> 기다리고 바라던 일이 마침내 이루어진다는 말을 가리키는 속담은?</t>
  </si>
  <si>
    <r>
      <t>가문에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</si>
  <si>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</si>
  <si>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강윤구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장군님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그려져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돈은?</t>
    </r>
  </si>
  <si>
    <t>백원/이천원/만원</t>
  </si>
  <si>
    <t>답:1백원</t>
  </si>
  <si>
    <t>100원짜리에 있는 인물은?</t>
  </si>
  <si>
    <t>이순신</t>
  </si>
  <si>
    <t>세종대왕</t>
  </si>
  <si>
    <t>광개토대왕</t>
  </si>
  <si>
    <t>김경호  한국형 기동헬기 수리온이 작년 11월부터 올해 3월까지 진행하려 모두 통과한 시험의 이름은?</t>
  </si>
  <si>
    <t>감항인증</t>
  </si>
  <si>
    <t>체계결빙</t>
  </si>
  <si>
    <t>착빙탐지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</si>
  <si>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체계결빙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</si>
  <si>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고르시오</t>
    </r>
  </si>
  <si>
    <r>
      <t>1:지렁이도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밟으면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힘이된다.</t>
    </r>
  </si>
  <si>
    <r>
      <t>2:누워서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떡먹기.</t>
    </r>
  </si>
  <si>
    <r>
      <t>3:보기좋은떡이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맞도없다.</t>
    </r>
  </si>
  <si>
    <t>답2</t>
  </si>
  <si>
    <t>쉬어가는문재</t>
  </si>
  <si>
    <t>0888=7</t>
  </si>
  <si>
    <t>2541=0</t>
  </si>
  <si>
    <t>9088=6</t>
  </si>
  <si>
    <t>9090=?</t>
  </si>
  <si>
    <r>
      <t>답4 동그라미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세보세요</t>
    </r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</si>
  <si>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퀴즈</t>
    </r>
  </si>
  <si>
    <r>
      <t>학생이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실어하는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나무는</t>
    </r>
  </si>
  <si>
    <t>1:야자나무</t>
  </si>
  <si>
    <t>2:여자나무</t>
  </si>
  <si>
    <t>3:남자나무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</si>
  <si>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576+841를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나머지는?</t>
    </r>
  </si>
  <si>
    <t>스티  다음 전설적인 3명의 재즈 뮤지션 중 연주하는 악기가 다른 한 사람은?</t>
  </si>
  <si>
    <t>마일즈 데이비스</t>
  </si>
  <si>
    <t>존 콜트레인</t>
  </si>
  <si>
    <t>쳇 베이커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</si>
  <si>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콜트레인</t>
    </r>
  </si>
  <si>
    <t>스티  다음 재즈 용어 중 악기들의 즉흥 연주를 뜻하는 것은?</t>
  </si>
  <si>
    <t>임프로비제이션</t>
  </si>
  <si>
    <t>어레인지먼트</t>
  </si>
  <si>
    <t>더블 타임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</si>
  <si>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임프로비제이션</t>
    </r>
  </si>
  <si>
    <t>Park Jongseon 다음중 운전전문학원과 관련이 없는 자격증은?</t>
  </si>
  <si>
    <t>운전기능강사 자격증</t>
  </si>
  <si>
    <t>운전검정감시 자격증</t>
  </si>
  <si>
    <t>기능검정원 자격증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</si>
  <si>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운전검정감시자격증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없는자격증입니다.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</si>
  <si>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'해질녘'의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띄어쓰기로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알맞은것은?</t>
    </r>
  </si>
  <si>
    <t>해질녘</t>
  </si>
  <si>
    <t>해질 녘</t>
  </si>
  <si>
    <t>해 질 녘</t>
  </si>
  <si>
    <r>
      <t>A.3 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녘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</si>
  <si>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국가나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지방자치단체(지자체)가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일방적으로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용어는?</t>
    </r>
  </si>
  <si>
    <t>뱅크 딜레이</t>
  </si>
  <si>
    <t>디폴트</t>
  </si>
  <si>
    <t>모라토리엄</t>
  </si>
  <si>
    <t>A.3모라토리엄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</si>
  <si>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색깔은?</t>
    </r>
  </si>
  <si>
    <t>파란색</t>
  </si>
  <si>
    <t>흰색</t>
  </si>
  <si>
    <t>빨간색</t>
  </si>
  <si>
    <t>A.파란색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</si>
  <si>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</si>
  <si>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제1위 - 혹위</t>
  </si>
  <si>
    <t>제2위 - 천엽</t>
  </si>
  <si>
    <t>제3위- 주름위</t>
  </si>
  <si>
    <t>A.제1위 -혹위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</si>
  <si>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사회와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</si>
  <si>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중국- 검은색</t>
  </si>
  <si>
    <t>이집트 - 흰색</t>
  </si>
  <si>
    <t>집시 - 빨강색</t>
  </si>
  <si>
    <t>A. 집시 빨강색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</si>
  <si>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'국가'책에서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'00의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비유'를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교육관을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설명하였다.</t>
    </r>
  </si>
  <si>
    <t>동굴</t>
  </si>
  <si>
    <t>얼음</t>
  </si>
  <si>
    <t>우물</t>
  </si>
  <si>
    <t>A동굴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</si>
  <si>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수는?</t>
    </r>
  </si>
  <si>
    <t>2명</t>
  </si>
  <si>
    <t>4명</t>
  </si>
  <si>
    <t>8명</t>
  </si>
  <si>
    <t>A.8명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</si>
  <si>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인공위성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이름은?</t>
    </r>
  </si>
  <si>
    <t>스푸트니크 1호</t>
  </si>
  <si>
    <t>익스플로러 1호</t>
  </si>
  <si>
    <t>아폴로 1호</t>
  </si>
  <si>
    <t>A. 스푸트니크 1호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</si>
  <si>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포브스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1위는?</t>
    </r>
  </si>
  <si>
    <t>제프 베조스</t>
  </si>
  <si>
    <t>빌게이츠</t>
  </si>
  <si>
    <t>워렌 버핏</t>
  </si>
  <si>
    <r>
      <t>A. 1제프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베조스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</si>
  <si>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종친이나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근신에게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하는가?</t>
    </r>
  </si>
  <si>
    <t>봉서</t>
  </si>
  <si>
    <t>친서</t>
  </si>
  <si>
    <t>장서</t>
  </si>
  <si>
    <t>A.1봉서</t>
  </si>
  <si>
    <t xml:space="preserve"> 다음 중 습지보호를 위한 협약으로 알맞은 것은?</t>
  </si>
  <si>
    <t>람사르 협약</t>
  </si>
  <si>
    <t>런던 협약</t>
  </si>
  <si>
    <t>바젤 협약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</si>
  <si>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람사르협약(1971)</t>
    </r>
  </si>
  <si>
    <t>이종상  야구에서 2루수와 유격수, 이 두 명의 내야수를 묶어 지칭하는 말은?</t>
  </si>
  <si>
    <r>
      <t>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멘도사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테이블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세터</t>
    </r>
  </si>
  <si>
    <r>
      <t>A. 정답: 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</si>
  <si>
    <t>Park Jongseon  다음중 우리말 '치사랑' 에 대한 뜻풀이로 옳은것은?</t>
  </si>
  <si>
    <t>아랫사람에 대한 사랑</t>
  </si>
  <si>
    <t>손주나손녀에 대한 사랑</t>
  </si>
  <si>
    <t>손윗사람에 대한 사랑</t>
  </si>
  <si>
    <t>정답: 3번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</si>
  <si>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Q미국제1대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</si>
  <si>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 xml:space="preserve">오바마 링컨 조직워싱턴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</si>
  <si>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</si>
  <si>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박시현 오늘은 몇월○○입니까? 에서 ○○에 알맞은 말은?</t>
  </si>
  <si>
    <t>몇일 2몇칠 며칠</t>
  </si>
  <si>
    <t>A.며칠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</si>
  <si>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일까요?</t>
    </r>
  </si>
  <si>
    <t xml:space="preserve">16회 17회 18 회 4.19회 </t>
  </si>
  <si>
    <t>정답:4번</t>
  </si>
  <si>
    <t>이종상  백투백 홈런(Back-to-Back Home Runs)은?</t>
  </si>
  <si>
    <r>
      <t>그라운드의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방향으로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타석에서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</si>
  <si>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r>
      <t>A.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</si>
  <si>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t>이종상  야구에서 타자의 능력을 평가하는 지표 중 하나인 '장타율'을 바르게 나타낸 것은?</t>
  </si>
  <si>
    <r>
      <t>타격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비거리의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확률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</si>
  <si>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r>
      <t>A.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</si>
  <si>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t>Park Jongseon 다음중 노벨상 부문에 속하지 않는 것은?</t>
  </si>
  <si>
    <t>언론상</t>
  </si>
  <si>
    <t>문학상</t>
  </si>
  <si>
    <t>의학상</t>
  </si>
  <si>
    <t>정답: 언론상</t>
  </si>
  <si>
    <t>박수진  의복을 경우에 알맞게 착용하는 것을 뜻하는 용어인 TPO에 포함되지 않는 것은?</t>
  </si>
  <si>
    <r>
      <t>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상황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날씨</t>
    </r>
  </si>
  <si>
    <t>A. 날씨</t>
  </si>
  <si>
    <t>Park Jongseon  다음중 고대설화의 내용과 관계가 먼 것은?</t>
  </si>
  <si>
    <t>민담</t>
  </si>
  <si>
    <t>전설</t>
  </si>
  <si>
    <t>우화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</si>
  <si>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우화</t>
    </r>
    <r>
      <rPr>
        <sz val="10"/>
        <color rgb="FF000000"/>
        <rFont val="굴림"/>
        <family val="3"/>
        <charset val="129"/>
      </rPr>
      <t xml:space="preserve"> </t>
    </r>
  </si>
  <si>
    <t>Park Jongseon  속담 '청기와 장수' 와 관련있는 것은?</t>
  </si>
  <si>
    <t>매점매석</t>
  </si>
  <si>
    <t>안하무인</t>
  </si>
  <si>
    <t>정보독점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</si>
  <si>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정보독점</t>
    </r>
  </si>
  <si>
    <t>Park Jongseon  손익계산서에 나타나지 않는 내용은?</t>
  </si>
  <si>
    <t>회계기간의 비용현황</t>
  </si>
  <si>
    <t>회계기간의 재무현황</t>
  </si>
  <si>
    <t>회계기간의 수익현황</t>
  </si>
  <si>
    <t>정답: 2</t>
  </si>
  <si>
    <t>Park Jongseon  탄핵의 대상이 되지 않는 사람은?</t>
  </si>
  <si>
    <t>국회의장</t>
  </si>
  <si>
    <t>대법원장</t>
  </si>
  <si>
    <t>헌법재판소장</t>
  </si>
  <si>
    <t>정답: 국회의장</t>
  </si>
  <si>
    <t>Park Jongseon  머리가 3개 달려있고 뱀의 꼬리를 가졌다는 지옥문을 지키는 개 모양의 신은?</t>
  </si>
  <si>
    <t>페가수스</t>
  </si>
  <si>
    <t>케르베로스</t>
  </si>
  <si>
    <t>미노타우로스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</si>
  <si>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</si>
  <si>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캐릭터하나는?</t>
    </r>
  </si>
  <si>
    <t>또치</t>
  </si>
  <si>
    <t>푸우</t>
  </si>
  <si>
    <t>스누피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</si>
  <si>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또치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</si>
  <si>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Speak of the ( )은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호랑이도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온다더니의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영어표현이다.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빈칸에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말은??</t>
    </r>
  </si>
  <si>
    <t>귀신</t>
  </si>
  <si>
    <t>악마</t>
  </si>
  <si>
    <t>A. 악마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</si>
  <si>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원산지가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종류는?</t>
    </r>
  </si>
  <si>
    <t>치와와</t>
  </si>
  <si>
    <t>골든리트리버</t>
  </si>
  <si>
    <t>시츄</t>
  </si>
  <si>
    <t>-정답 골든리트리버</t>
  </si>
  <si>
    <r>
      <t>골든리트리버는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개, 치와와와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</si>
  <si>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마지막에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섬은?</t>
    </r>
  </si>
  <si>
    <t>독도</t>
  </si>
  <si>
    <t>-정답 제주도</t>
  </si>
  <si>
    <r>
      <t>독도&gt;울릉도&gt;제주도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생김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</si>
  <si>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화산섬인것은?</t>
    </r>
  </si>
  <si>
    <t>-정답 울릉도</t>
  </si>
  <si>
    <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갯수는?</t>
    </r>
  </si>
  <si>
    <t>201개</t>
  </si>
  <si>
    <t>203개</t>
  </si>
  <si>
    <t>-정답 206개</t>
  </si>
  <si>
    <r>
      <t>윤나영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평균거리는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몇센티씩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멀어질까요?</t>
    </r>
  </si>
  <si>
    <t>8cm</t>
  </si>
  <si>
    <t>4.8cm</t>
  </si>
  <si>
    <t>답) 2번 8cm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</si>
  <si>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틀린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</si>
  <si>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애시당초</t>
    </r>
  </si>
  <si>
    <r>
      <t>J.S. Lee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개봉예정영화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</si>
  <si>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앤트맨과 와스프</t>
  </si>
  <si>
    <t>시카리오 : 데이 오브 솔다도</t>
  </si>
  <si>
    <t>스파이더맨: 뉴 유니버스</t>
  </si>
  <si>
    <t>윤현탁  당송팔대가가 아닌 사람은?</t>
  </si>
  <si>
    <t>구양수</t>
  </si>
  <si>
    <t>한유</t>
  </si>
  <si>
    <t>왕세정</t>
  </si>
  <si>
    <t>A. 정답 : 왕세정</t>
  </si>
  <si>
    <t>김준엽  다음 중 등장하는 애니매이션이 다른 하나는?</t>
  </si>
  <si>
    <t>홍수몬 아구몬 고라파덕</t>
  </si>
  <si>
    <t>답: 아구몬</t>
  </si>
  <si>
    <r>
      <t>소녀가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간다.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줄이면?</t>
    </r>
  </si>
  <si>
    <t>걸리버여행기</t>
  </si>
  <si>
    <t>걸리버여행</t>
  </si>
  <si>
    <t>헨젤과그레텔</t>
  </si>
  <si>
    <t>A.걸리버여행.</t>
  </si>
  <si>
    <t>윤현탁  신라 문장가 최치원의 작품이 맞는것은?</t>
  </si>
  <si>
    <t>화왕계(花王戒)</t>
  </si>
  <si>
    <t>토황소격문 (討黃巢檄文)</t>
  </si>
  <si>
    <t>낭원대사오진탑비명(朗圓大師悟眞塔碑銘)</t>
  </si>
  <si>
    <t>A. 정답 : 토황소격문</t>
  </si>
  <si>
    <r>
      <t>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발견한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</si>
  <si>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구텐베르크</t>
  </si>
  <si>
    <t>모호로비치치</t>
  </si>
  <si>
    <t>레만</t>
  </si>
  <si>
    <t>A.레만</t>
  </si>
  <si>
    <r>
      <t>원소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주기율표에서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비활성기체가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</si>
  <si>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제논</t>
  </si>
  <si>
    <t>크립톤</t>
  </si>
  <si>
    <t>아이오딘</t>
  </si>
  <si>
    <t>A.아이오딘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</si>
  <si>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태양으로부터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곳은?</t>
    </r>
  </si>
  <si>
    <t>천왕성</t>
  </si>
  <si>
    <t>해왕성</t>
  </si>
  <si>
    <t>A.해왕성</t>
  </si>
  <si>
    <t>윤현탁  다음 고사성어중 토끼가 들어가지 않는 사자성어는?</t>
  </si>
  <si>
    <t>수주대토</t>
  </si>
  <si>
    <t>A. 정답 : 감탄고토(甘呑苦吐 달면 삼키고 쓰면 토해낸다.)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</si>
  <si>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해태제과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과자인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</si>
  <si>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오예스</t>
  </si>
  <si>
    <t>초코파이</t>
  </si>
  <si>
    <t>몽쉘</t>
  </si>
  <si>
    <t>A.오예스</t>
  </si>
  <si>
    <t>윤현탁  다음중 바다가 아닌것은?</t>
  </si>
  <si>
    <t>북해</t>
  </si>
  <si>
    <t>사해</t>
  </si>
  <si>
    <t>흑해</t>
  </si>
  <si>
    <t>A. 정답 : 사해 (염도가 높은 호수)</t>
  </si>
  <si>
    <t>김준엽  다음 중 '구축'의 뜻으로 옳지 않은 것은?</t>
  </si>
  <si>
    <t>체제, 체계 따위의 기초를 닦아 세움</t>
  </si>
  <si>
    <t>어떤 세력 따위를 몰아서 쫓아냄</t>
  </si>
  <si>
    <t>저장하여 둔 곡식이 말라서 그 양이 축남</t>
  </si>
  <si>
    <t>답: '건축'의 뜻입니다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</si>
  <si>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대학교는?</t>
    </r>
  </si>
  <si>
    <t>곰방대학교</t>
  </si>
  <si>
    <t>루터대학교</t>
  </si>
  <si>
    <t>칼빈대학교</t>
  </si>
  <si>
    <t>A.곰방대학교</t>
  </si>
  <si>
    <t>윤현탁  다음중 한자어가 아닌것은?</t>
  </si>
  <si>
    <t>도가니</t>
  </si>
  <si>
    <t>만끽</t>
  </si>
  <si>
    <t>감귤</t>
  </si>
  <si>
    <t>A. 정답 : 도가니</t>
  </si>
  <si>
    <t>김준엽  다음 중 한국에서 초미세먼지를 분류하는 기준은?</t>
  </si>
  <si>
    <t>지름이 5㎛ 이하인 먼지</t>
  </si>
  <si>
    <t>지름이 0.5㎛ 이하인 먼지</t>
  </si>
  <si>
    <t>답: 1번</t>
  </si>
  <si>
    <t>Youngil Kwak  한국에서만 쓰는 음역 한자인 '乭'의 올바른 발음은?</t>
  </si>
  <si>
    <r>
      <t>보기: 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돋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</si>
  <si>
    <r>
      <t>A. 돌(이름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돌)</t>
    </r>
  </si>
  <si>
    <t>이학구  장사지낸 뒤에 세번째 지내는 제사를 이르는 말은?</t>
  </si>
  <si>
    <t>삼오제</t>
  </si>
  <si>
    <t>삼우제</t>
  </si>
  <si>
    <t>삼호제</t>
  </si>
  <si>
    <r>
      <t>김미진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김정은국방위원장의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불쌍한척,억울한척하며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챙기는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태영호공사가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뭐라했나?</t>
    </r>
  </si>
  <si>
    <t>손오공식 외교</t>
  </si>
  <si>
    <t>사오정식 외교</t>
  </si>
  <si>
    <t>저팔계식 외교</t>
  </si>
  <si>
    <r>
      <t>답. 저팔계식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</t>
    </r>
  </si>
  <si>
    <t>Youngmi Oh  평창롱패딩 등 국가에서 기획한 문화상품을 구매하는 사람을 NG족이라고 하는데요. 여기서 NG의 원어는 무엇일까요?</t>
  </si>
  <si>
    <t>No Good / National Goods / National Guard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</si>
  <si>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National Goods</t>
    </r>
  </si>
  <si>
    <t>이호연  다음 중 우리 몸의 관절 이름과 부위가 바르게 연결된 것은?</t>
  </si>
  <si>
    <t>슬관절 - 어깨</t>
  </si>
  <si>
    <t>주관절 - 팔꿈치</t>
  </si>
  <si>
    <t>견관절 - 손가락</t>
  </si>
  <si>
    <t>A. 주관절 - 팔꿈치</t>
  </si>
  <si>
    <t>J.S. Lee  20년 만에 복원된 '국보 11호'인 이 석탑은?</t>
  </si>
  <si>
    <t>감은사지 3층 석탑</t>
  </si>
  <si>
    <t>미륵사지 석탑</t>
  </si>
  <si>
    <t>불국사 3층 석탑</t>
  </si>
  <si>
    <t>A. 미륵사지 석탑</t>
  </si>
  <si>
    <t>임채빈  우리나라 국세기본법 제2조에 의한 국세에 해당하지 않는 것은?</t>
  </si>
  <si>
    <r>
      <t>교통세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농어촌특별세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담배소비세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</si>
  <si>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담배소비세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부과되는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'개별소비세'와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'담배소비세' 등으로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구성되어있음)</t>
    </r>
  </si>
  <si>
    <t>이복음  다음중 소설가 베르나르 베르베르의 작품이 아닌것은?</t>
  </si>
  <si>
    <t>뇌</t>
  </si>
  <si>
    <t>파피용</t>
  </si>
  <si>
    <t>거미</t>
  </si>
  <si>
    <t>정답: 거미</t>
  </si>
  <si>
    <r>
      <t>김은혜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것인가?</t>
    </r>
  </si>
  <si>
    <t>토성 해왕성 화성</t>
  </si>
  <si>
    <t>정답: 2번해왕성</t>
  </si>
  <si>
    <t xml:space="preserve">Jaehoon Han  다음 중 현재 우리나라처럼 분단상태에 있는 나라는? </t>
  </si>
  <si>
    <t>독일 연방 공화국</t>
  </si>
  <si>
    <t>키프로스 공화국</t>
  </si>
  <si>
    <t>도미니카 공화국</t>
  </si>
  <si>
    <r>
      <t>답. 2 (북키프로스/남키프로스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분단상태)</t>
    </r>
  </si>
  <si>
    <t>Jaehoon Han  영국과 과거 대영제국 일부 국가들이 모여 구성한 조직은?</t>
  </si>
  <si>
    <t>코먼웰스 오브 네이션스</t>
  </si>
  <si>
    <t>더 브리튼 페더레이션스</t>
  </si>
  <si>
    <t>포스트 제너레이션스</t>
  </si>
  <si>
    <t>Jaehoon Han 최근 교육부가 발표한 대학기본역량진단평가 중 최우수 등급에 해당하는 것은?</t>
  </si>
  <si>
    <t>역량강화대학</t>
  </si>
  <si>
    <t>진단제외대학</t>
  </si>
  <si>
    <t>자율개선대학</t>
  </si>
  <si>
    <t>Jaehoon Han  최근 개편된 MBC Every1의 프로그램 "주간아이돌"의 MC가 아닌 사람은?</t>
  </si>
  <si>
    <t>이상민</t>
  </si>
  <si>
    <t>김신영</t>
  </si>
  <si>
    <t>데프콘</t>
  </si>
  <si>
    <t>Jaehoon Han  이번 월드컵에서 맞붙는 나라로 올바르게 짝지어지지 않은 것은?</t>
  </si>
  <si>
    <t>일본 vs 파나마</t>
  </si>
  <si>
    <t>이란 vs 스페인</t>
  </si>
  <si>
    <t>프랑스 vs 페루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</si>
  <si>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최남단에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</si>
  <si>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부산역</t>
  </si>
  <si>
    <t>여수엑스포역</t>
  </si>
  <si>
    <t>목포역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</si>
  <si>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여수엑스포역</t>
    </r>
  </si>
  <si>
    <t>장혜신 다음 중 '호화롭게 캠핑을 즐기다'라는 뜻의 합성어는?</t>
  </si>
  <si>
    <r>
      <t>글램핑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즐캠족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캠핑스</t>
    </r>
  </si>
  <si>
    <t>A.글램핑</t>
  </si>
  <si>
    <t>Park Jongseon  볼트나 너트를 죌 때 먼저 개구부위로 조이고 마무리는 박스부분으로 조이도록 된 공구는?</t>
  </si>
  <si>
    <t>박스렌치</t>
  </si>
  <si>
    <t>소켓렌치</t>
  </si>
  <si>
    <t>조합렌치</t>
  </si>
  <si>
    <t>정답: 조합렌치 (Combination Wrench)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</si>
  <si>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'어디에든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아무것도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짓지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마라'라는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이기주의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</si>
  <si>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 xml:space="preserve">님비현상 </t>
  </si>
  <si>
    <t>핌피현상</t>
  </si>
  <si>
    <t>바나나현상</t>
  </si>
  <si>
    <t>답. 3번</t>
  </si>
  <si>
    <r>
      <t>강애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 고슴도치도제새끼는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 O 하다고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한다</t>
    </r>
  </si>
  <si>
    <t>곱상</t>
  </si>
  <si>
    <t>함함</t>
  </si>
  <si>
    <t xml:space="preserve">삐죽 </t>
  </si>
  <si>
    <r>
      <t>답은2번(자기자식의나쁜점은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모르고자랑하는삼는다는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말)</t>
    </r>
  </si>
  <si>
    <t>Kihong Kim  여름철 별자리가 아닌것은?</t>
  </si>
  <si>
    <t>거문고자리</t>
  </si>
  <si>
    <t>황소자리</t>
  </si>
  <si>
    <t>백조자리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</si>
  <si>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황소자리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겨울철별자리</t>
    </r>
  </si>
  <si>
    <r>
      <t>자우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‘차라투스투라는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말했다’에서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과정을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3단계로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구분했는데,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단계는?</t>
    </r>
  </si>
  <si>
    <t>낙타 사자 어린아이</t>
  </si>
  <si>
    <t>이종상  다음 중 실존하지 않는 지명은?</t>
  </si>
  <si>
    <r>
      <t>파전리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소주리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막걸리</t>
    </r>
  </si>
  <si>
    <t>A. 막걸리</t>
  </si>
  <si>
    <t>이종상  다음 중 없는 지명은?</t>
  </si>
  <si>
    <r>
      <t>금성동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토성동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일성동</t>
    </r>
  </si>
  <si>
    <t>A. 일성동</t>
  </si>
  <si>
    <t>YA NG 폭력배가 많은 나라는?</t>
  </si>
  <si>
    <t>칠레/중국/파리</t>
  </si>
  <si>
    <t>A.칠레</t>
  </si>
  <si>
    <t>YA NG  사람이 가장 많이 말하는 소리는?</t>
  </si>
  <si>
    <t>숨소리/욕설/칭찬</t>
  </si>
  <si>
    <t>A.숨소리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</si>
  <si>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</si>
  <si>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헹가래 야밤도주 주구장창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</si>
  <si>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헹가래</t>
    </r>
  </si>
  <si>
    <t>Kihong Kim  화성탐사로봇이 아닌것은?</t>
  </si>
  <si>
    <t>큐리어시티</t>
  </si>
  <si>
    <t>마스옵저버</t>
  </si>
  <si>
    <t>오퍼튜니티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</si>
  <si>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마스옵저버-화성탐사선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</si>
  <si>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</si>
  <si>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남아공</t>
  </si>
  <si>
    <r>
      <t>브라질은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2014 남아공은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2010월드컵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</t>
    </r>
  </si>
  <si>
    <t>Shin-ae Kim 소프라노 조수미 씨의 소프라노 파트는?</t>
  </si>
  <si>
    <r>
      <t>드라마틱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콜로라투라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리릭레쩨로</t>
    </r>
  </si>
  <si>
    <t>A : 콜로라투라</t>
  </si>
  <si>
    <t>이학구  펠레와 쌍벽을 이루는 브라질의 스트라이커 가린샤의 이름을 딴 가린샤 클럽이란 말이 있다. 가린샤 클럽에 대한 올바른 설명은?</t>
  </si>
  <si>
    <t>골을 넣고 금방 퇴장당한 선수</t>
  </si>
  <si>
    <t>한경기에서 득점과 자책골을 함께 넣은 선수</t>
  </si>
  <si>
    <t>심판의 실수로 옐로 카드를 두장 받고 퇴장 당하지 않은 선수</t>
  </si>
  <si>
    <r>
      <t>So Hyun Jeon 문제: 모로코의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수도는? 가. 카사블랑카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나. 모로코시티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다. 라바트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다, 라바트입니다</t>
    </r>
  </si>
  <si>
    <r>
      <t>최민환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Q: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정부부처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18부에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부는?</t>
    </r>
  </si>
  <si>
    <t>농림축산식품부</t>
  </si>
  <si>
    <t>국토해양부</t>
  </si>
  <si>
    <t>중소벤처기업부</t>
  </si>
  <si>
    <t>답: 2</t>
  </si>
  <si>
    <t>Park Jongseon  (당구용어) 큐를 길게 뻗어주는 것을 말하며 당구에서 가장 기본이 되는 샷은?</t>
  </si>
  <si>
    <t>펜샷</t>
  </si>
  <si>
    <t>티키샷</t>
  </si>
  <si>
    <t>팔로우샷</t>
  </si>
  <si>
    <t>정답: 팔로우샷</t>
  </si>
  <si>
    <t>Park Jongseon  일명 '슈퍼 메뚜기' 라고도 부르며 주식시장에서 초단타 매매를 하는 개인투자자들을 일컫는 말은?</t>
  </si>
  <si>
    <t>스캘퍼</t>
  </si>
  <si>
    <t>로스컷</t>
  </si>
  <si>
    <t>골든 크로스</t>
  </si>
  <si>
    <t>정답: 스캘퍼(Scalper)</t>
  </si>
  <si>
    <t>Park Jongseon  다음 단어에서 연상되는 동물은? "돗자리" "풀레코" "한센병"</t>
  </si>
  <si>
    <t>아르마딜로</t>
  </si>
  <si>
    <t>긴꼬리천산갑</t>
  </si>
  <si>
    <t>쿠로카타바구미</t>
  </si>
  <si>
    <t>정답 : 아르마딜로</t>
  </si>
  <si>
    <t>Park Jongseon  '체육훈장 맹호장' '베트남' '경상남도 산청'</t>
  </si>
  <si>
    <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연상되는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</si>
  <si>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황선홍</t>
  </si>
  <si>
    <t>김남일</t>
  </si>
  <si>
    <t>박항서</t>
  </si>
  <si>
    <t>정답: 박항서</t>
  </si>
  <si>
    <t>Park Jongseon  2022년 월드컵 개최지 카타르의 수도는?</t>
  </si>
  <si>
    <t>도하</t>
  </si>
  <si>
    <t>네피도</t>
  </si>
  <si>
    <t>나이로비</t>
  </si>
  <si>
    <t>Park Jongseon 세계에서 두번째로 면적이 작은 나라는?</t>
  </si>
  <si>
    <t>바티칸 시티</t>
  </si>
  <si>
    <t>모나코 공국</t>
  </si>
  <si>
    <t>나우루 공화국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</si>
  <si>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</si>
  <si>
    <t>송주영  북한자동차이름이 아닌것은?</t>
  </si>
  <si>
    <r>
      <t>뻐꾸기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준마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르망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</si>
  <si>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르망</t>
    </r>
  </si>
  <si>
    <t>Park Jongseon  다음 연예인중 발사이즈가 가장 작은 사람은?</t>
  </si>
  <si>
    <t>허가윤(포미닛)</t>
  </si>
  <si>
    <t>태연(소녀시대)</t>
  </si>
  <si>
    <t>제시카(소녀시대)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</si>
  <si>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허가윤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210mm</t>
    </r>
  </si>
  <si>
    <t>Park Jongseon  2018러시아월드컵에서 도입된[ VAR]판정을 위해 경기장에 배치되는 카메라 수는?</t>
  </si>
  <si>
    <t>정답: 37대</t>
  </si>
  <si>
    <t>최봉제  태양계 행성 중 위성이 없는 것은?</t>
  </si>
  <si>
    <r>
      <t>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</si>
  <si>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</si>
  <si>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t>최봉제  기계체조 남자 종목에 없는 것은?</t>
  </si>
  <si>
    <r>
      <t>평균대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</si>
  <si>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평균대</t>
    </r>
  </si>
  <si>
    <r>
      <t>이영준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지구과학</t>
    </r>
  </si>
  <si>
    <t>다음 중 베게너가 주장한 설은?</t>
  </si>
  <si>
    <t>이설</t>
  </si>
  <si>
    <t>대륙이동설</t>
  </si>
  <si>
    <t>우주확장설</t>
  </si>
  <si>
    <t>A.대륙이동설</t>
  </si>
  <si>
    <t>양지성  월드컵에서 우승을 해보지 못한 나라는?</t>
  </si>
  <si>
    <t>우루과이 네덜란드 프랑스</t>
  </si>
  <si>
    <t>답. 네덜란드</t>
  </si>
  <si>
    <t>사재헌  다음 중 어렸을 때 함께 뛰놀던 동무를 뜻하는 북한어는?</t>
  </si>
  <si>
    <t>망아지동무 송아지동무 강아지동무</t>
  </si>
  <si>
    <t>A. 송아지동무</t>
  </si>
  <si>
    <t>Yena Hwang  19세기 중반 리얼리즘 시대의 예술가 “마네”의 작품이 아닌것은?</t>
  </si>
  <si>
    <r>
      <t>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사람들/ 풀밭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점심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피리부는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소년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</si>
  <si>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</t>
    </r>
  </si>
  <si>
    <t>정희선 우리나라섬중슬로우시티로지정된섬은?</t>
  </si>
  <si>
    <t>보길도 완도청산도</t>
  </si>
  <si>
    <t>정답. 청산도</t>
  </si>
  <si>
    <t>이슬기  사회생활에 적응하지 못하고 남의 감정에 공감하지 못하는 증상을 _ 증후군이라고 한다.</t>
  </si>
  <si>
    <t>아스피린/아스퍼거/아스파라거스</t>
  </si>
  <si>
    <t>답: 아스퍼거</t>
  </si>
  <si>
    <t xml:space="preserve"> 다음 중 띄어쓰기가 바르게 된 것은?</t>
  </si>
  <si>
    <t>너 나 할 것 없이 너 나 할것 없이 너나 할 것 없이</t>
  </si>
  <si>
    <t>A. 너 나 할 것 없이</t>
  </si>
  <si>
    <t>천원어치 천 원어치 천 원 어치</t>
  </si>
  <si>
    <t>A. 천 원어치</t>
  </si>
  <si>
    <t xml:space="preserve"> Pamphlet의 올바른 외래어 표기법은?</t>
  </si>
  <si>
    <t>팸플릿 팜플릿 팜플렛</t>
  </si>
  <si>
    <t>A. 팸플릿</t>
  </si>
  <si>
    <t>안혜영 피자집중에 제일 오래된 피자집은?</t>
  </si>
  <si>
    <t>도미노피자</t>
  </si>
  <si>
    <t>피자에땅</t>
  </si>
  <si>
    <t>피자헛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</si>
  <si>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피자헛</t>
    </r>
  </si>
  <si>
    <t>전준호 다음중 이순신 장군께서 전쟁중 투구와 상하의를 입고 싸우신 총 갑옷의 무게는?</t>
  </si>
  <si>
    <t>4kg</t>
  </si>
  <si>
    <t>6kg</t>
  </si>
  <si>
    <t>20kg</t>
  </si>
  <si>
    <t>A.정답:20kg</t>
  </si>
  <si>
    <t>전준호 다음중 동물중 가장 빠른 동물은?</t>
  </si>
  <si>
    <t>재규어</t>
  </si>
  <si>
    <t>표범</t>
  </si>
  <si>
    <t>치타</t>
  </si>
  <si>
    <t>A.정답:치타</t>
  </si>
  <si>
    <t>전준호 다음중 인간의 몸속 뼈의 갯수는 몆개인가?</t>
  </si>
  <si>
    <t>205개</t>
  </si>
  <si>
    <t>A.정답:206개</t>
  </si>
  <si>
    <t>Park Jongseon  다음중 물의 압력을 이용해 공중을 자유자재로 날아 다니는 수상 스포츠는?</t>
  </si>
  <si>
    <t>제토베이터</t>
  </si>
  <si>
    <t>파워서플라이</t>
  </si>
  <si>
    <t>플라이투더스카이</t>
  </si>
  <si>
    <t>정답: 제토베이터</t>
  </si>
  <si>
    <t>전준호 다음중 온라인 게임중 TOP1인게임은?</t>
  </si>
  <si>
    <t>서든어택</t>
  </si>
  <si>
    <t>피파온라인4</t>
  </si>
  <si>
    <t>배틀그라운드</t>
  </si>
  <si>
    <t>A.정답:배틀그라운드</t>
  </si>
  <si>
    <t>전준호 다음중 대한민국에서 마라톤 대회 최초로 완주한 선수는?</t>
  </si>
  <si>
    <t>이봉주</t>
  </si>
  <si>
    <t>최란</t>
  </si>
  <si>
    <t>이봉원</t>
  </si>
  <si>
    <t>A.정답:최란</t>
  </si>
  <si>
    <t>Park Jongseon  하여야 할 일이나 약속한 일을 하지않고 배짱을 부리며 버틴다는 북한말은?</t>
  </si>
  <si>
    <t>나걸리다</t>
  </si>
  <si>
    <t>나가번지다</t>
  </si>
  <si>
    <t>나가넘어지다</t>
  </si>
  <si>
    <t>정답: 나가넘어지다</t>
  </si>
  <si>
    <t>박효열  개최되는 주기가 가장 긴 대회는?</t>
  </si>
  <si>
    <r>
      <t>FIFA 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비치사커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</si>
  <si>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r>
      <t>A.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</si>
  <si>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t>박효열 다음 중 다른 월드컵 대회 때에 일어난 것은?</t>
  </si>
  <si>
    <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옐로카드와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레드카드를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</si>
  <si>
    <r>
      <t>A.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수여.</t>
    </r>
  </si>
  <si>
    <t>박효열  백야 현상과 반대로 고위도 지방에서 겨울에 사실상 낮이 없어지는 상태를 이르는 말은?</t>
  </si>
  <si>
    <r>
      <t>흑야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암야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극야</t>
    </r>
  </si>
  <si>
    <t>A. 극야</t>
  </si>
  <si>
    <t>박시현 '자기애'를 뜻하는 정신분석학적 용어는?</t>
  </si>
  <si>
    <r>
      <t>나르시즘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나르씨즘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나르시시즘</t>
    </r>
  </si>
  <si>
    <t>A. 나르시시즘</t>
  </si>
  <si>
    <t>박효열  FIFA 회장 선거는?</t>
  </si>
  <si>
    <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</si>
  <si>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A.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</si>
  <si>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됩니다.</t>
    </r>
  </si>
  <si>
    <t>박효열  윌드컵 우승 트로피였던 쥘리메컵은 현재 어떻게 되어 있을까요?</t>
  </si>
  <si>
    <r>
      <t>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박물관에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중/ 도난당하였다</t>
    </r>
  </si>
  <si>
    <r>
      <t>A. 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보관하던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도난당함.</t>
    </r>
  </si>
  <si>
    <r>
      <t>박효열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트로피였던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 회장이었을까?</t>
    </r>
  </si>
  <si>
    <r>
      <t>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/3대</t>
    </r>
  </si>
  <si>
    <t>A. 3대</t>
  </si>
  <si>
    <r>
      <t>조병윤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무사사증(무비자) 입국이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소말리아</t>
    </r>
    <r>
      <rPr>
        <sz val="10"/>
        <color rgb="FF000000"/>
        <rFont val="굴림"/>
        <family val="3"/>
        <charset val="129"/>
      </rPr>
      <t xml:space="preserve"> 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</si>
  <si>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레바논</t>
    </r>
    <r>
      <rPr>
        <sz val="10"/>
        <color rgb="FF000000"/>
        <rFont val="굴림"/>
        <family val="3"/>
        <charset val="129"/>
      </rPr>
      <t xml:space="preserve"> 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</si>
  <si>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마케도니아</t>
    </r>
    <r>
      <rPr>
        <sz val="10"/>
        <color rgb="FF000000"/>
        <rFont val="굴림"/>
        <family val="3"/>
        <charset val="129"/>
      </rPr>
      <t xml:space="preserve"> </t>
    </r>
  </si>
  <si>
    <r>
      <t>정답)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현재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수교국가임.</t>
    </r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</si>
  <si>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충무공의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시호를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</t>
    </r>
  </si>
  <si>
    <t>김시민 이순신 임경업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</si>
  <si>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3입니다</t>
    </r>
    <r>
      <rPr>
        <sz val="10"/>
        <color rgb="FF000000"/>
        <rFont val="굴림"/>
        <family val="3"/>
        <charset val="129"/>
      </rPr>
      <t xml:space="preserve"> </t>
    </r>
  </si>
  <si>
    <t xml:space="preserve"> 우리 몸에서 가장 주름이 많은 곳은?</t>
  </si>
  <si>
    <t>손 입술 항문</t>
  </si>
  <si>
    <t>A. 입술</t>
  </si>
  <si>
    <t>이보라 3EJD4P  곡식이 다 마를 때에 기다리던 비가 온다는 뜻으로, 기다리고 바라던 일이 마침내 이루어짐을 나타내는 속담?</t>
  </si>
  <si>
    <r>
      <t>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단비/우물에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</si>
  <si>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가물에단비</t>
    </r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</si>
  <si>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러시아월드컵에서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var 판독을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카메라는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총몇개일까요?</t>
    </r>
  </si>
  <si>
    <t>A.18</t>
  </si>
  <si>
    <t>B.26</t>
  </si>
  <si>
    <t>C.33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</si>
  <si>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C 33개입니다.</t>
    </r>
  </si>
  <si>
    <t>유현지 질량을 가진 물질은 무엇이든 끌어당기는 힘을 가지고 있습니다. 그 법칙의 이름은 무엇일까요?</t>
  </si>
  <si>
    <r>
      <t>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 중력의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법칙/질량보존의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</si>
  <si>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A. 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</si>
  <si>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홍진희  애덤스미스가 주장한 시장경제 '보이지 않는 손' 에 대한 저서는? </t>
  </si>
  <si>
    <r>
      <t>국가론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국부론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도덕감정서</t>
    </r>
    <r>
      <rPr>
        <sz val="10"/>
        <color rgb="FF000000"/>
        <rFont val="굴림"/>
        <family val="3"/>
        <charset val="129"/>
      </rPr>
      <t xml:space="preserve"> </t>
    </r>
  </si>
  <si>
    <t>A. 국가론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</si>
  <si>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최다우승국은?</t>
    </r>
  </si>
  <si>
    <t>정답브라질</t>
  </si>
  <si>
    <r>
      <t>예비군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뼈해장국에서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고기붙은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들어갈까요?</t>
    </r>
  </si>
  <si>
    <t>2개</t>
  </si>
  <si>
    <t>3개</t>
  </si>
  <si>
    <t>Heidi Lee  다음국 6.25 참전국이 아닌 나라는?</t>
  </si>
  <si>
    <t>오스트리아</t>
  </si>
  <si>
    <t>에티오피아</t>
  </si>
  <si>
    <t>정답: 오스트리아.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</si>
  <si>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햇볕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노출됐을때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땀이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배출되어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부족해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병은?</t>
    </r>
  </si>
  <si>
    <t>일사병</t>
  </si>
  <si>
    <t>냉방병</t>
  </si>
  <si>
    <t>열사병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</si>
  <si>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일사병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</si>
  <si>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공인구는?</t>
    </r>
  </si>
  <si>
    <t>텔스타</t>
  </si>
  <si>
    <t>탱고</t>
  </si>
  <si>
    <t>트리콜로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</si>
  <si>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텔스타</t>
    </r>
  </si>
  <si>
    <t xml:space="preserve">이종우  가장 큰 점수는? </t>
  </si>
  <si>
    <r>
      <t>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만루홈런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해트트릭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</si>
  <si>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</si>
  <si>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만유인력을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정확히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읽은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</si>
  <si>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말류일력</t>
  </si>
  <si>
    <t>마뉴일력</t>
  </si>
  <si>
    <t>만류인력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</si>
  <si>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마뉴일력</t>
    </r>
  </si>
  <si>
    <t>정희정  고려시대 지방호족세력을 견제하기위해 지방호족의 자제를 중앙에 인질로 둔 제도는?</t>
  </si>
  <si>
    <t>기인제도</t>
  </si>
  <si>
    <t>상수리제도</t>
  </si>
  <si>
    <t>경저리제도</t>
  </si>
  <si>
    <t>정답: 기인제도</t>
  </si>
  <si>
    <t>박찬인  종이컵 한컵의 용량은? 추천인코드 : 3MX595</t>
  </si>
  <si>
    <t>140mm / 160mm / 180mm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</si>
  <si>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180mm</t>
    </r>
  </si>
  <si>
    <t>Park Jongseon  다음중 산성식품에 속하는 것은?</t>
  </si>
  <si>
    <t>파</t>
  </si>
  <si>
    <t>딸기</t>
  </si>
  <si>
    <t>시금치</t>
  </si>
  <si>
    <t>정답: 파 (흔히 채소,과일은 알카리식품이지만 파,쇠귀나물,아스파라거 는 산성식품에 해당된다)</t>
  </si>
  <si>
    <t>Park Jongseon  다음중 소음공해의 단위를 나타내는 데 쓰이는 것은?</t>
  </si>
  <si>
    <t>dB</t>
  </si>
  <si>
    <t>PPM</t>
  </si>
  <si>
    <t xml:space="preserve">hPa </t>
  </si>
  <si>
    <t xml:space="preserve">정답: dB </t>
  </si>
  <si>
    <t>Park Jongseon  다음중 사물놀이의 악기만으로 바르게 된 것은?</t>
  </si>
  <si>
    <t>북, 장구, 꽹과리, 대금</t>
  </si>
  <si>
    <t>장구, 피리, 북, 꽹과리</t>
  </si>
  <si>
    <t>장구, 북, 꽹과리, 징</t>
  </si>
  <si>
    <t>Park Jongseon  '내 뒤뜰에는 불가' 라는 자기중심적 공공성 결핍증상을 무엇이라 할까요?</t>
  </si>
  <si>
    <t>님비</t>
  </si>
  <si>
    <t>냄비</t>
  </si>
  <si>
    <t>낭비</t>
  </si>
  <si>
    <t>정답: 1</t>
  </si>
  <si>
    <t>Park Jongseon  다음 중 핵무기 보유국이 아닌 나라는?</t>
  </si>
  <si>
    <t xml:space="preserve">파키스탄 </t>
  </si>
  <si>
    <t>정답: 독일</t>
  </si>
  <si>
    <t>Park Jongseon  최근 부산항과 평택항에서 발견돼 사회적으로 문제가 되고있는 이것은?</t>
  </si>
  <si>
    <t>붉은땅거미</t>
  </si>
  <si>
    <t>붉은불개미</t>
  </si>
  <si>
    <t>붉은오리알</t>
  </si>
  <si>
    <t>이학구  실제 미국에 존재했었던 정당 이름은?</t>
  </si>
  <si>
    <t>아이언맨</t>
  </si>
  <si>
    <t>캡틴아메리카</t>
  </si>
  <si>
    <t>블랙팬서</t>
  </si>
  <si>
    <t>손한선  다음 중 미국의 고립주의 외교정책과 관련이 없는 사람은?</t>
  </si>
  <si>
    <t>James Monroe</t>
  </si>
  <si>
    <t>Dean Rusk</t>
  </si>
  <si>
    <t>James Madison</t>
  </si>
  <si>
    <t>A. 2번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</si>
  <si>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실제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지번주소로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</si>
  <si>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월화동</t>
  </si>
  <si>
    <t>수목동</t>
  </si>
  <si>
    <t>금토동</t>
  </si>
  <si>
    <t>A) 금토동 (성남시 수정구에 금토동이 있었어요.)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</si>
  <si>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순우리말은? </t>
    </r>
  </si>
  <si>
    <t xml:space="preserve">호랑이 멜빵 귤 </t>
  </si>
  <si>
    <t>A) 멜빵 (외래어느낌이지만, 짐 따위를 어깨에 걸어 메는 끈 이라는 뜻의 우리말임, 호랑이 (虎狼-), 귤 (橘))</t>
  </si>
  <si>
    <t>최주영 인공위성이나 우주선이 공간에서 만나는 것을 뜻하는 우주항공용어는?</t>
  </si>
  <si>
    <t>랑데부</t>
  </si>
  <si>
    <t>도킹</t>
  </si>
  <si>
    <t>스페이스 커넥션</t>
  </si>
  <si>
    <t>A.1랑데부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</si>
  <si>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기준으로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캐릭터는? </t>
    </r>
  </si>
  <si>
    <t xml:space="preserve">곰돌이푸 도널드덕 미키마우스 A) 미키마우스 </t>
  </si>
  <si>
    <r>
      <t>(곰돌이푸의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아기곰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푸(52세) 도널드덕의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실리심포니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(84세) 미키마우스의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1928년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증기선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윌리(90세)</t>
    </r>
  </si>
  <si>
    <t>태양계에서 가장 밝은 행성은 무엇일까요?</t>
  </si>
  <si>
    <t>태양</t>
  </si>
  <si>
    <t>지구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</si>
  <si>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수성입니다(태양계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합니다).</t>
    </r>
  </si>
  <si>
    <t>조현태  제품을 오프라인 매장에서 자세히 살펴본 뒤, 모바일 쇼핑을 하는 사람 또는 그런 무리는?</t>
  </si>
  <si>
    <r>
      <t>프로슈머족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디지털노마드족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모루밍족</t>
    </r>
  </si>
  <si>
    <t>A. 모루밍족</t>
  </si>
  <si>
    <t>Park Jongseon  다음중 최근 개발된 '사이코패스' 성향의 인공지능 이름은?</t>
  </si>
  <si>
    <t>노먼</t>
  </si>
  <si>
    <t>정답: 노먼</t>
  </si>
  <si>
    <t xml:space="preserve">이나연 미식가의 미는 한자로 어떤 미일까 ? </t>
  </si>
  <si>
    <t>美(아름다울 미)</t>
  </si>
  <si>
    <t>米(쌀 미)</t>
  </si>
  <si>
    <t>味(맛 미)</t>
  </si>
  <si>
    <t>A.美(아름다울 미)</t>
  </si>
  <si>
    <t>방재식  러시아 월드컵 마스코트 자비바카의 의미는?</t>
  </si>
  <si>
    <t>도전자</t>
  </si>
  <si>
    <t>승리자</t>
  </si>
  <si>
    <t>득점자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</si>
  <si>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득점자</t>
    </r>
  </si>
  <si>
    <t xml:space="preserve"> 월드컵 마스코트 자비바카가 입고 있는 옷과 바지에서 볼 수 없는 색은?</t>
  </si>
  <si>
    <t>초록색</t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</si>
  <si>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초록색입니다.</t>
    </r>
  </si>
  <si>
    <t>박효열  다음 중 같은 과에 속하는 식물은?</t>
  </si>
  <si>
    <r>
      <t>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생강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나도생강</t>
    </r>
  </si>
  <si>
    <r>
      <t>A.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</si>
  <si>
    <t>박효열  월드컵에서 우승한 다음 대회 조별 예선에서 탈락한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</si>
  <si>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</si>
  <si>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아르헨티나</t>
  </si>
  <si>
    <t xml:space="preserve"> 월드컵에서 우승한 다음 대회 조별 예선에서 4위를 했던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</si>
  <si>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에스파냐(스페인)</t>
    </r>
  </si>
  <si>
    <t>A. 에스파냐(스페인)</t>
  </si>
  <si>
    <t>박효열  '감귤'에서 '감'이 붙은 의미는?</t>
  </si>
  <si>
    <r>
      <t>감과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귤이라서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감나뭇과에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</si>
  <si>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r>
      <t>A.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</si>
  <si>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t xml:space="preserve"> 감자나무에서 열리는 것은?</t>
  </si>
  <si>
    <r>
      <t>떫은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단감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</si>
  <si>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r>
      <t>A.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</si>
  <si>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t>박효열  자국에서 개최한 월드컵에서 우승한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</si>
  <si>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브라질</t>
    </r>
  </si>
  <si>
    <t>A. 브라질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</si>
  <si>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월드컵예선에서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10골이상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넣은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</si>
  <si>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사르다르 아즈만(이란)</t>
  </si>
  <si>
    <t>알렉시스 산체스(칠레)</t>
  </si>
  <si>
    <t>크리스티안 에릭센(덴마크)</t>
  </si>
  <si>
    <t>정답은1번</t>
  </si>
  <si>
    <r>
      <t>Nickee Kim 영화에서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것처럼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위장해서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주의를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무엇인가? </t>
    </r>
  </si>
  <si>
    <t xml:space="preserve">맥그리핀(Macgriffin) </t>
  </si>
  <si>
    <t>미장센(Mise-en-Scène)</t>
  </si>
  <si>
    <t xml:space="preserve">맥거핀(Macguffin) </t>
  </si>
  <si>
    <t>정답 : 맥거핀 - 스릴러의 거장 알프레드 히치콕에 의해 고안된 영화기법</t>
  </si>
  <si>
    <t>임채빈  외국인에 의해 우리나라 자본시장에서 발행 및 판매되는 원화표시 채권을 뜻하는 말은? 포린본드 / 김치본드 / 아리랑본드</t>
  </si>
  <si>
    <t>A. 아리랑본드</t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</si>
  <si>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</t>
    </r>
  </si>
  <si>
    <t xml:space="preserve">아르헨티나 프랑스 우루과이 </t>
  </si>
  <si>
    <r>
      <t>정답. 3 우루과이(1회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1930년)</t>
    </r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</si>
  <si>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유민상이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몰카로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승락을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개그우먼은?</t>
    </r>
  </si>
  <si>
    <t>김민경</t>
  </si>
  <si>
    <t>강유미</t>
  </si>
  <si>
    <t>김지민</t>
  </si>
  <si>
    <t>정답~ 2 강유미</t>
  </si>
  <si>
    <t>임채빈  다음 중 퀴즈쇼 1대100 역대 우승자가 아닌 사람은?</t>
  </si>
  <si>
    <r>
      <t>황현희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유민상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장동민</t>
    </r>
  </si>
  <si>
    <t>A. 장동민</t>
  </si>
  <si>
    <t>임채빈  다음 중 유민상이 출연한 개그코너가 아닌 것은?</t>
  </si>
  <si>
    <r>
      <t>리얼사운드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킬러다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신세계</t>
    </r>
  </si>
  <si>
    <t>A. 신세계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</si>
  <si>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</si>
  <si>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1978 아르헨티나 - 후니아토</t>
  </si>
  <si>
    <t>1982 스페인 - 나란히토</t>
  </si>
  <si>
    <t>2006 독일 - 스트라이커</t>
  </si>
  <si>
    <t>답. 2번</t>
  </si>
  <si>
    <t>이현호  근로기준법으로 보장하는 현행 출산휴가의 기간은?</t>
  </si>
  <si>
    <t>60일</t>
  </si>
  <si>
    <t>90일</t>
  </si>
  <si>
    <t>110일</t>
  </si>
  <si>
    <t>정답: 90일</t>
  </si>
  <si>
    <t>정희정  2018년 6월기준, 한국의 FIFA 랭킹은?</t>
  </si>
  <si>
    <t>57위 60위 64위</t>
  </si>
  <si>
    <t>정답: 57위</t>
  </si>
  <si>
    <t>Jason Shim  정치를 외면한 가장 큰 대가는 "가장 저질스런 인간들에게 지배당한다" 라고 말한철학자는?</t>
  </si>
  <si>
    <t>정답:2번</t>
  </si>
  <si>
    <t>Jason Shim  월드컵 우승 횟수가 가장 적은 나라는?</t>
  </si>
  <si>
    <t>Jason Shim  월드컵 우승한 나라는?</t>
  </si>
  <si>
    <t>파라과이</t>
  </si>
  <si>
    <t>정답:3번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</si>
  <si>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국화는?</t>
    </r>
  </si>
  <si>
    <t>벚꽃</t>
  </si>
  <si>
    <t>없다</t>
  </si>
  <si>
    <t>정답:2 없다</t>
  </si>
  <si>
    <t>이남수  4자성어 '청출어람'에 나오는 색깔이 아닌것은?</t>
  </si>
  <si>
    <t>청색</t>
  </si>
  <si>
    <t>어색</t>
  </si>
  <si>
    <t>남색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</si>
  <si>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어색</t>
    </r>
  </si>
  <si>
    <t>조병준  우리나라의 국화는?</t>
  </si>
  <si>
    <t>봉숭아</t>
  </si>
  <si>
    <t>무궁화</t>
  </si>
  <si>
    <t>부채꽃</t>
  </si>
  <si>
    <t>조병준 다음중 극본에 앞 부분에때,곳,인물,무대장치를설명해놓은부분은?</t>
  </si>
  <si>
    <t>지문</t>
  </si>
  <si>
    <t>해설</t>
  </si>
  <si>
    <t>대사</t>
  </si>
  <si>
    <t>정답:2번해설</t>
  </si>
  <si>
    <r>
      <t>정우민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시문학파의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시인은?</t>
    </r>
  </si>
  <si>
    <t>김영랑</t>
  </si>
  <si>
    <t>신석정</t>
  </si>
  <si>
    <r>
      <t>정답.3번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조지훈</t>
    </r>
  </si>
  <si>
    <t>박효열  김수로왕은 금관가야의 첫 번째 왕이다. 그렇다면 금관가야의 마지막 왕은?</t>
  </si>
  <si>
    <r>
      <t>도설지왕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이진아시왕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구형왕</t>
    </r>
  </si>
  <si>
    <t>A. 구형왕</t>
  </si>
  <si>
    <t>심영희 주름관안에 전선을 넣는 배선공사방법은?</t>
  </si>
  <si>
    <t>가요전선관</t>
  </si>
  <si>
    <t>동요전선관</t>
  </si>
  <si>
    <t>가곡전선관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</si>
  <si>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가요전선관</t>
    </r>
  </si>
  <si>
    <t>박필우  최근 정부는 종부세 개편은 예고하였는데 종부세란 무엇일까요?</t>
  </si>
  <si>
    <r>
      <t>종합부가가치세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종합부동산세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종합부자과세</t>
    </r>
  </si>
  <si>
    <t>A. 종합부동산세</t>
  </si>
  <si>
    <t>박효열  적자 기업 등 상장 조건에 미달한 기업도 성장성이 있다면 상장 주관사의 추천으로 코스닥 상장이 가능하게 한 제도는?</t>
  </si>
  <si>
    <r>
      <t>구글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애플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</si>
  <si>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A.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</si>
  <si>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2002년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한일월드컵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한국의준결승전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상대는?</t>
    </r>
  </si>
  <si>
    <t>정답:독일</t>
  </si>
  <si>
    <t>Yeongbin Kim  국내프로야구 통산최다안타 기록을 보유하고 있는 선수는?</t>
  </si>
  <si>
    <t>이승엽 박용택 양준혁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</si>
  <si>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박용택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(18.06.23기준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2321개)</t>
    </r>
  </si>
  <si>
    <t xml:space="preserve">손한선  다음에서 국제연맹에 전혀 가입한 일이 없었던 나라는? 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</si>
  <si>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</si>
  <si>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두산베어스</t>
  </si>
  <si>
    <t>KIA타이거즈</t>
  </si>
  <si>
    <t>삼성라이온즈</t>
  </si>
  <si>
    <t>정답:KIA타이거즈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</si>
  <si>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</si>
  <si>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소포트뱅크</t>
  </si>
  <si>
    <t>한신</t>
  </si>
  <si>
    <t xml:space="preserve">요미우리 </t>
  </si>
  <si>
    <t>정답: 1소포트뱅크</t>
  </si>
  <si>
    <t>진우 다음 중 가장 먼저 시작한 서비스는?</t>
  </si>
  <si>
    <t>페이스북 트위터 인스타그램</t>
  </si>
  <si>
    <t>A.페이스북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</si>
  <si>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</si>
  <si>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김제동 오취리 대가리</t>
  </si>
  <si>
    <r>
      <t>답:1 (전라남도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고흥군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포두면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오취리, 충청북도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단양군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적성면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대가리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존재, 김제시는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않음. 김제동초등학교를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생각하는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분들에게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꼬아서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문제. 김제동초등학교는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동쪽에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</si>
  <si>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염소의저주라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염소와함께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입장하려던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관객을거부한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1945년이후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108년간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우승못한팀은?</t>
    </r>
  </si>
  <si>
    <t>시카코컵스</t>
  </si>
  <si>
    <t>클리블랜드</t>
  </si>
  <si>
    <t>정답: 1시카코컵스</t>
  </si>
  <si>
    <t>진우 다음 중 데뷔를 먼저한 아이돌 그룹은?</t>
  </si>
  <si>
    <t>엑소 비투비 뉴이스트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</si>
  <si>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</si>
  <si>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문홍덕  다음 작곡가중 오스트리아 출신이 아닌</t>
  </si>
  <si>
    <t>사람은?</t>
  </si>
  <si>
    <t>모짜르트 베토벤 하이든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</si>
  <si>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베토벤</t>
    </r>
  </si>
  <si>
    <r>
      <t>박진호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4대강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국토종주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자전거길에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길은?</t>
    </r>
  </si>
  <si>
    <t>새재자전거길</t>
  </si>
  <si>
    <t>아라자전거길</t>
  </si>
  <si>
    <t>오천자전거길</t>
  </si>
  <si>
    <t>오강석  다음중 여름철 별미인 초계국수에서 '계'가 의미하는것은?</t>
  </si>
  <si>
    <t>닭 식초 겨자</t>
  </si>
  <si>
    <t>Jongwoo Park  야구장 외야 펜스 앞은?</t>
  </si>
  <si>
    <r>
      <t>러닝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워밍업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</si>
  <si>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r>
      <t>A. 정답:워닝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</si>
  <si>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t>한주식 다음 중 기상청이 발령하는 기상경보로 내용이 틀린 것은? 폭염주의보 : 일 최고기온이 33도 이상인 상태가 2일 이상 지속될 것으로 예상될 때 폭염주의보 : 일 평균기온이 33도 이상인 상태가 2일이상 지속될 것으로 예상될 때 폭염경보 : 일 최고기온이 35도 이상인 상태가 2일 이상 지속될 것으로 예상될 때 &lt;정답&gt; 2번</t>
  </si>
  <si>
    <r>
      <t>김상우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순우리말인것은?</t>
    </r>
  </si>
  <si>
    <r>
      <t>1 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튀김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식초</t>
    </r>
  </si>
  <si>
    <t>A 순대</t>
  </si>
  <si>
    <r>
      <t>Sangsoon Lee 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윗턱의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앞니의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개수는</t>
    </r>
  </si>
  <si>
    <t>32개</t>
  </si>
  <si>
    <t>8개</t>
  </si>
  <si>
    <t>0개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</si>
  <si>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0개</t>
    </r>
  </si>
  <si>
    <t>Becky Kwon  두 개 이상의 서로 다른 비행체가 우주 공간에서 결합하는 일(것)은?</t>
  </si>
  <si>
    <t>랑데뷰 도킹 파킹 4.해킹</t>
  </si>
  <si>
    <t>&lt;답은 도킹&gt;</t>
  </si>
  <si>
    <t>김동우  다음 중 피라미드가 가장 많은 나라는?</t>
  </si>
  <si>
    <t>이집트 중국 수단</t>
  </si>
  <si>
    <t>답 수단</t>
  </si>
  <si>
    <t>수단 예멘 중국</t>
  </si>
  <si>
    <t>답 예멘</t>
  </si>
  <si>
    <t>김동우  평안도의 어복쟁반은 기름진 이 고기와 메밀국수, 녹두부침, 버섯, 각종 채소를 넣고 끓인 요리다. 이 고기는?</t>
  </si>
  <si>
    <t>쇠고기 꿩고기 토끼고기</t>
  </si>
  <si>
    <t>답 쇠고기</t>
  </si>
  <si>
    <t xml:space="preserve"> 푸에르토리코를 바르게 띄어 읽은 것은?</t>
  </si>
  <si>
    <t>푸에 르토리코 푸에르 토리코 푸에르토 리코</t>
  </si>
  <si>
    <t>답 푸에르토 리코</t>
  </si>
  <si>
    <t>이학구  레고는 어느 나랑 회사인가?</t>
  </si>
  <si>
    <t>Becky Kwon  다음 중 전화기를 발명한 사람은?</t>
  </si>
  <si>
    <t>토머스 에디슨</t>
  </si>
  <si>
    <t>알렉산더 벨</t>
  </si>
  <si>
    <t>안토니오 무치</t>
  </si>
  <si>
    <t>---은 3번 안토니오 무치</t>
  </si>
  <si>
    <t>손한선  1990년대 일본의 방위정책에 해당하지 않는 것은?</t>
  </si>
  <si>
    <t>태러대책 특별조치법</t>
  </si>
  <si>
    <t>PKO법안</t>
  </si>
  <si>
    <t>신가이드라인</t>
  </si>
  <si>
    <r>
      <t>A.1번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(2001년)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</si>
  <si>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오승환의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</si>
  <si>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세이튼루이스</t>
  </si>
  <si>
    <t>정답:3 토론토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</si>
  <si>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포지션번호는?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</si>
  <si>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</si>
  <si>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</si>
  <si>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</si>
  <si>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</si>
  <si>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제2홈구장은?</t>
    </r>
  </si>
  <si>
    <t>부산사직야구장</t>
  </si>
  <si>
    <t>창원마산야구장</t>
  </si>
  <si>
    <t>울산문수야구장</t>
  </si>
  <si>
    <t>하수정 고조선을세운우리민족의시조는누구인가요?</t>
  </si>
  <si>
    <t>환웅</t>
  </si>
  <si>
    <t>웅녀</t>
  </si>
  <si>
    <t>단군왕검</t>
  </si>
  <si>
    <t>정답:단군왕검</t>
  </si>
  <si>
    <t>하수정 해골에 고인물을 마시고 깨달음을얻어 불교대중화에 기여한 신라의 승려는?</t>
  </si>
  <si>
    <t>의상</t>
  </si>
  <si>
    <t>원효</t>
  </si>
  <si>
    <t>법정</t>
  </si>
  <si>
    <t>정답:원효</t>
  </si>
  <si>
    <t>하수정 우리나라의 삼국시대를 통일한 나라는?</t>
  </si>
  <si>
    <t>백제</t>
  </si>
  <si>
    <t>신라</t>
  </si>
  <si>
    <t>고구려</t>
  </si>
  <si>
    <t>정답:신라</t>
  </si>
  <si>
    <t>하수정 조선시대의 학문연구기관으로 훈민정음 창제에 기여했던기관은?</t>
  </si>
  <si>
    <t>집현전</t>
  </si>
  <si>
    <t>의정부</t>
  </si>
  <si>
    <t>사간원</t>
  </si>
  <si>
    <t>정답:집현전</t>
  </si>
  <si>
    <t>하수정 조선후기지방수령이 지켜야할 지침을 저술한 정약용의 저서는?</t>
  </si>
  <si>
    <t>자산어부</t>
  </si>
  <si>
    <t>목민심서</t>
  </si>
  <si>
    <t>북한의</t>
  </si>
  <si>
    <t>정답:목민심서</t>
  </si>
  <si>
    <t xml:space="preserve">김경진 고양이의 감각 중 가장 발달된 것은 무엇일까요? </t>
  </si>
  <si>
    <t>시각</t>
  </si>
  <si>
    <t xml:space="preserve">청각 </t>
  </si>
  <si>
    <t xml:space="preserve">후각 </t>
  </si>
  <si>
    <t>정답 : 후각</t>
  </si>
  <si>
    <t xml:space="preserve">김경진 다음 단어와 연관된 것은 무엇일까요? </t>
  </si>
  <si>
    <t>도시락/알록달록/천국</t>
  </si>
  <si>
    <t xml:space="preserve">소풍 </t>
  </si>
  <si>
    <t xml:space="preserve">김밥 </t>
  </si>
  <si>
    <t xml:space="preserve">돗자리 </t>
  </si>
  <si>
    <t>정답 : 김밥</t>
  </si>
  <si>
    <t>김경진 다음중 올바른 띄어쓰기는 무엇일까요?</t>
  </si>
  <si>
    <t>집에서만이라도</t>
  </si>
  <si>
    <t xml:space="preserve">집에서 만이라도 </t>
  </si>
  <si>
    <t xml:space="preserve">집에서 만 이라도 </t>
  </si>
  <si>
    <t>정답 : 집에서만이라도</t>
  </si>
  <si>
    <t>김경진 흔히 남성의 팔뚝에 튀어나오는 핏줄은 다음 중 무엇일까요?</t>
  </si>
  <si>
    <t xml:space="preserve">실핏줄 </t>
  </si>
  <si>
    <t xml:space="preserve">정맥 </t>
  </si>
  <si>
    <t xml:space="preserve">모세혈관 </t>
  </si>
  <si>
    <t>정답 : 정맥</t>
  </si>
  <si>
    <t>하수정 토고의 수도는?</t>
  </si>
  <si>
    <t>니아메</t>
  </si>
  <si>
    <t>로메</t>
  </si>
  <si>
    <t>사웅투메</t>
  </si>
  <si>
    <t>정답:로메</t>
  </si>
  <si>
    <t>하수정 서울에있는산이아닌것은?</t>
  </si>
  <si>
    <t>도봉산</t>
  </si>
  <si>
    <t>관악산</t>
  </si>
  <si>
    <t>소래산</t>
  </si>
  <si>
    <t>정답:소래산</t>
  </si>
  <si>
    <t>하수정 다음중 우리나라 화폐에 나오지 않는사람은?</t>
  </si>
  <si>
    <t>정약용</t>
  </si>
  <si>
    <t>정답:정약용</t>
  </si>
  <si>
    <t>하수정 서울은 총 몇개의 구로 되어있나?</t>
  </si>
  <si>
    <t>정답:25</t>
  </si>
  <si>
    <t>하수정 어부들이 싫어하는 남자가수는?</t>
  </si>
  <si>
    <t>설운도</t>
  </si>
  <si>
    <t>태진아</t>
  </si>
  <si>
    <t>배철수</t>
  </si>
  <si>
    <t>정답:배철수</t>
  </si>
  <si>
    <t>하수정 아기공룡둘리에 나오는 또치는 어떤동물인가?</t>
  </si>
  <si>
    <t>닭</t>
  </si>
  <si>
    <t>정답:타조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</si>
  <si>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Q스타워즈시리즈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개봉한</t>
    </r>
  </si>
  <si>
    <t>작품은?</t>
  </si>
  <si>
    <t>3편시스의 복수</t>
  </si>
  <si>
    <t>4편 새로운 희망</t>
  </si>
  <si>
    <t>5편 제국의 역습</t>
  </si>
  <si>
    <r>
      <t>정답:새로운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희망</t>
    </r>
  </si>
  <si>
    <t>Park Jongseon  주행중 운전자가 위험을 인식하고 브레이크가 실제로 작동하기까지 그 시간동안 진행한 거리를 무엇이라 할까요?</t>
  </si>
  <si>
    <t>공주거리</t>
  </si>
  <si>
    <t>왕자거리</t>
  </si>
  <si>
    <t>제동거리</t>
  </si>
  <si>
    <t>정답: 공주거리</t>
  </si>
  <si>
    <t>Park Jongseon  경상도 사투리로 토막낸 상어고기를 일컫는 말은?</t>
  </si>
  <si>
    <t>경육</t>
  </si>
  <si>
    <t>돔베기</t>
  </si>
  <si>
    <t>나무가부리</t>
  </si>
  <si>
    <t>정답: 돔베기(흔히 경상도에서 제사상에 많이 올림)</t>
  </si>
  <si>
    <t>강민모  아이스하키경기의 총 경기시간은 몇 분?</t>
  </si>
  <si>
    <t>45분</t>
  </si>
  <si>
    <t>정답 : 60분</t>
  </si>
  <si>
    <t xml:space="preserve">조병윤  한국전쟁당시 전투부대를 파견한 유일한 남미대륙의 국가는? 보기 콜롬비아 아르헨티나 칠레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</si>
  <si>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콜롬비아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- 5,100명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(전사자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163명, 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448명, 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28명) </t>
    </r>
  </si>
  <si>
    <t>박태연 이웃이나 사회에 피해가 가더라도 자기에게 바로 손해가 오지 않는 일에는 무관심한 현상을 일컫는 용어는?</t>
  </si>
  <si>
    <t>노비즘</t>
  </si>
  <si>
    <t>루키즘</t>
  </si>
  <si>
    <t>노모포비아</t>
  </si>
  <si>
    <t>정답: 노비즘</t>
  </si>
  <si>
    <t>Jason Shim  독립적 지위를 가지는 합의제 행정기관으로 입법, 사법, 행정 어디에도 속하지 않는곳은?</t>
  </si>
  <si>
    <t>국가인권위원회</t>
  </si>
  <si>
    <t>감사원</t>
  </si>
  <si>
    <t>헌법재판소</t>
  </si>
  <si>
    <t>정답: 국가인권위원회</t>
  </si>
  <si>
    <t>Jason Shim  방울뱀은 어느 부위에서 소리가 날까요?</t>
  </si>
  <si>
    <t>혀</t>
  </si>
  <si>
    <t>몸통</t>
  </si>
  <si>
    <t>정답: 꼬리</t>
  </si>
  <si>
    <t>이승일 조선시대 왕 중 아버지와 아들 관계가 아닌 것은?</t>
  </si>
  <si>
    <t>태종-세종</t>
  </si>
  <si>
    <t>영조-정조</t>
  </si>
  <si>
    <t>성종-연산군</t>
  </si>
  <si>
    <r>
      <t>A.2-영조-정조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(할아버지-손자)</t>
    </r>
  </si>
  <si>
    <t>이승일 조선시대 왕 중 광해군을 소재로 한 영화는 무엇일까요?</t>
  </si>
  <si>
    <t>역린</t>
  </si>
  <si>
    <t>왕의 남자</t>
  </si>
  <si>
    <t>대립군</t>
  </si>
  <si>
    <t>A.3-대립군(역린-정조,왕의남자-연산군)</t>
  </si>
  <si>
    <t>이승일 조선시대를 배경으로 한 영화중 가장 시대적 배경이 가장 빠른 것은?</t>
  </si>
  <si>
    <t>명량</t>
  </si>
  <si>
    <t>광해</t>
  </si>
  <si>
    <t>남한산성</t>
  </si>
  <si>
    <r>
      <t>A.1-명량(선조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광해-광해군8년,남한산성-인조14년)</t>
    </r>
  </si>
  <si>
    <t>이승일 조선시대를 배경으로 만든 드라마에서 광해군이 나오지 않는 드라마는 ?</t>
  </si>
  <si>
    <t>허준</t>
  </si>
  <si>
    <t>화정</t>
  </si>
  <si>
    <t>A.3-이산(이산-정조)</t>
  </si>
  <si>
    <t>이승일 조선과 여진족의 대립을 주제로 한 영화중 시대적 배경이 가장 빠른것은?</t>
  </si>
  <si>
    <t>천군</t>
  </si>
  <si>
    <t>최종병기 활</t>
  </si>
  <si>
    <t>신기전</t>
  </si>
  <si>
    <r>
      <t>A.3-신기전(세종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천군-선조5년,최종병기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활-인조14년)</t>
    </r>
  </si>
  <si>
    <t>Park Jongseon  월남의 패망을 전후하여 해로를 통해 탈출한 베트남의 난민들을 무엇이라 불렀을까요?</t>
  </si>
  <si>
    <t>사이공</t>
  </si>
  <si>
    <t>랜드피플</t>
  </si>
  <si>
    <t>보트피플</t>
  </si>
  <si>
    <t>정답: 보트피플</t>
  </si>
  <si>
    <r>
      <t>Bolam Kim Q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3월을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표기법은</t>
    </r>
  </si>
  <si>
    <t>시샘달</t>
  </si>
  <si>
    <t>물오름달</t>
  </si>
  <si>
    <t>잎새달</t>
  </si>
  <si>
    <t>정답 : 물오름달</t>
  </si>
  <si>
    <r>
      <t>Tam En Q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속담들어갈ㅁ목에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달기</t>
    </r>
  </si>
  <si>
    <t>송아지</t>
  </si>
  <si>
    <t>강아지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</si>
  <si>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</t>
    </r>
  </si>
  <si>
    <t>Park Jongseon  '정신이 0000 해졌다' 에서 0안에 들어갈 말은?</t>
  </si>
  <si>
    <t>흐리멍텅</t>
  </si>
  <si>
    <t>흐리멍덩</t>
  </si>
  <si>
    <t>흐리멍청</t>
  </si>
  <si>
    <t>정답: 흐리멍덩</t>
  </si>
  <si>
    <t>Park Jongseon  여러 사람이 음식을 차례로 돌려 가며 내어 함께 먹는다는 우리말은?</t>
  </si>
  <si>
    <t>도편수</t>
  </si>
  <si>
    <t>도리질</t>
  </si>
  <si>
    <t>도르리</t>
  </si>
  <si>
    <t>정답: 도르리</t>
  </si>
  <si>
    <t>Park Jongseon  [속담] 0000도 마주서야 연다</t>
  </si>
  <si>
    <t>느티나무</t>
  </si>
  <si>
    <t>오동나무</t>
  </si>
  <si>
    <t>은행나무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</si>
  <si>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은행나무</t>
    </r>
  </si>
  <si>
    <t>Park Jongseon  우리나라 휴전선의 총 길이는?</t>
  </si>
  <si>
    <t>248km</t>
  </si>
  <si>
    <t>348km</t>
  </si>
  <si>
    <t>448km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</si>
  <si>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248km</t>
    </r>
  </si>
  <si>
    <t>한재민  [운전] 굴러가는 타이어가 급제동을 하였을 때 땅에 생긴 마모흔적은?</t>
  </si>
  <si>
    <t>키스마크</t>
  </si>
  <si>
    <t>스크래치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</si>
  <si>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스키드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마크</t>
    </r>
  </si>
  <si>
    <t>한재민  [경찰장비] 무기가 아닌 것은?</t>
  </si>
  <si>
    <t>크레모아</t>
  </si>
  <si>
    <t>석궁</t>
  </si>
  <si>
    <t>유탄발사기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</si>
  <si>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 석궁</t>
    </r>
  </si>
  <si>
    <t>김가람  북극에 서식하는 일각고래의 뿔은 무엇이 변해서 된것일까?</t>
  </si>
  <si>
    <r>
      <t>코뼈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머리뼈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어금니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</si>
  <si>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어금니</t>
    </r>
  </si>
  <si>
    <t>김용국 Q운행연월일이 가장 빠른 열차는? 1무궁화호통일호새마을호 A 2통일호</t>
  </si>
  <si>
    <r>
      <t>김용국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책&lt;연경&gt;의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저자는? 1정약용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2이연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3이옥</t>
    </r>
  </si>
  <si>
    <t>A 이옥</t>
  </si>
  <si>
    <t>정희정  다음 중 새끼의 이름이 잘못 짝지어진 것은?</t>
  </si>
  <si>
    <t>꿩-꺼병이 고등어-고도리 명태-코다리</t>
  </si>
  <si>
    <t>정답: 명태-코다리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</si>
  <si>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스페인에서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식사전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곁들여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</si>
  <si>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가르파치오</t>
  </si>
  <si>
    <t>뇨끼</t>
  </si>
  <si>
    <t>타파스</t>
  </si>
  <si>
    <t>A.정답 타파스 스페인에서 식사전 간단히 먹는 소량의 음식을 이르는 말입니다.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</si>
  <si>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폴란드의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천문학자로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부정하고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주장했던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</si>
  <si>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마젤란</t>
  </si>
  <si>
    <t>콜럼버스</t>
  </si>
  <si>
    <t>코페르니쿠스</t>
  </si>
  <si>
    <t xml:space="preserve">A. 정답 코페르니쿠스 </t>
  </si>
  <si>
    <t>조수민  "푸른하늘 은하수 하얀쪽배에~"로 시작하는 동요의 제목은?</t>
  </si>
  <si>
    <t>푸른하늘 은하수</t>
  </si>
  <si>
    <t>토끼 한마리</t>
  </si>
  <si>
    <t>반달</t>
  </si>
  <si>
    <t>정답: 반달</t>
  </si>
  <si>
    <t>손한선  다음 중 OECD 회원국이 아닌 국가는?</t>
  </si>
  <si>
    <t>이학구  다음중 자전방향이 다른 행성은?</t>
  </si>
  <si>
    <t>Hm Made 영화제작에 있어서 한 신(scene) 안에서 캐릭터와 다른 캐릭터 사이의 공간적 관계에 관한 기본 법칙은?</t>
  </si>
  <si>
    <r>
      <t>1) 30도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</si>
  <si>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2) 90도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  <r>
      <rPr>
        <sz val="10"/>
        <color rgb="FF000000"/>
        <rFont val="굴림"/>
        <family val="3"/>
        <charset val="129"/>
      </rPr>
      <t xml:space="preserve"> </t>
    </r>
  </si>
  <si>
    <r>
      <t>3) 180도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</si>
  <si>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>Hm Made 탕평책과 균역법을 실시한 조선 21대 왕의 이름은?</t>
  </si>
  <si>
    <t>1) 영조</t>
  </si>
  <si>
    <t>2) 이금</t>
  </si>
  <si>
    <t>3) 이산</t>
  </si>
  <si>
    <t>Hm Made 한국 최초로 애국가가 불린 장소는?</t>
  </si>
  <si>
    <t>1) 경복궁</t>
  </si>
  <si>
    <t>2) 덕수궁</t>
  </si>
  <si>
    <t>3) 창덕궁</t>
  </si>
  <si>
    <r>
      <t>Hm Made 4.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빨리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사건은?</t>
    </r>
  </si>
  <si>
    <r>
      <t>1) 서희의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외교담판</t>
    </r>
  </si>
  <si>
    <r>
      <t>2) 강조의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정변</t>
    </r>
  </si>
  <si>
    <r>
      <t>3) 강감찬의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귀주대첩</t>
    </r>
  </si>
  <si>
    <t>답. 1번</t>
  </si>
  <si>
    <t>김순희 세곳중 가장높은산은?</t>
  </si>
  <si>
    <r>
      <t>1설악산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2지리산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3덕유산</t>
    </r>
  </si>
  <si>
    <t>정답.2지리산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</si>
  <si>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5.18 민주화운동이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배경이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아닌영화는?</t>
    </r>
  </si>
  <si>
    <t>암살</t>
  </si>
  <si>
    <t>정답: 3 암살</t>
  </si>
  <si>
    <t>조병준 피카부(Peekaboo)의 뜻은?</t>
  </si>
  <si>
    <t>운동</t>
  </si>
  <si>
    <t>까꿍</t>
  </si>
  <si>
    <t>수건</t>
  </si>
  <si>
    <t>답2번까꿍</t>
  </si>
  <si>
    <t>권태훈  다음중 표현법에 맞게 쓴 단어는?</t>
  </si>
  <si>
    <t>말빨</t>
  </si>
  <si>
    <t>며칠</t>
  </si>
  <si>
    <t>맨얼굴</t>
  </si>
  <si>
    <t>답: 2번</t>
  </si>
  <si>
    <t>Seungho Yoo  주식용어중 '상한가' 혹은 '하한가'란 주식가격의 몇% 변동을 말할까?</t>
  </si>
  <si>
    <t>답 30%1998년부터 계속 15%의 가격제한폭으로 운영되어 왔으나 2015년 6월 15일부터 가격제한폭이 30%로 확대되어 시행되었다</t>
  </si>
  <si>
    <t>Jason Shim  세계 3대 영화제가 아닌것은?</t>
  </si>
  <si>
    <t>베를린 영화제</t>
  </si>
  <si>
    <t>헐리우드 영화제</t>
  </si>
  <si>
    <t>베니스 영화제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</si>
  <si>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헐리우드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</si>
  <si>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>권태훈  빅데이터의 특성이 아닌 것은?</t>
  </si>
  <si>
    <t>volume</t>
  </si>
  <si>
    <t>velocity</t>
  </si>
  <si>
    <t>vision</t>
  </si>
  <si>
    <t xml:space="preserve">이종우  태어나서 가장 먼저 발급받을 수 있는 신분증은? </t>
  </si>
  <si>
    <r>
      <t>주민등록증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여권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자동차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운전면허증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</si>
  <si>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여권</t>
    </r>
  </si>
  <si>
    <t>이종우  연예대상 수상자가 바르게 연결된 것은?</t>
  </si>
  <si>
    <r>
      <t>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MBC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SBS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</si>
  <si>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</si>
  <si>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끝날때까지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끝난게아니다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명대사를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</si>
  <si>
    <t>이치로</t>
  </si>
  <si>
    <t>요기베라</t>
  </si>
  <si>
    <t>테드 윌리엄스</t>
  </si>
  <si>
    <t>정답:요기베라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</si>
  <si>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메이저리그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전설적인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요기베라의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</si>
  <si>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뉴욕양키스</t>
  </si>
  <si>
    <t>센프란시스코자이언츠</t>
  </si>
  <si>
    <t>정답:1뉴욕양키스</t>
  </si>
  <si>
    <t>Se Hee Jeong  한국 영화 사상 가장 많이 영화화된 인물은?</t>
  </si>
  <si>
    <t>장보고</t>
  </si>
  <si>
    <t>춘향</t>
  </si>
  <si>
    <t>명성황후</t>
  </si>
  <si>
    <t>답 : 춘향</t>
  </si>
  <si>
    <t>Se Hee Jeong  시네마스코프의 가로세로 비율은?</t>
  </si>
  <si>
    <t>답 : 35:1</t>
  </si>
  <si>
    <t>Se Hee Jeong  한국 영화 사상 최초로 칸영화제 여우주연상을 탄 배우는?</t>
  </si>
  <si>
    <t>김민희</t>
  </si>
  <si>
    <t>전도연</t>
  </si>
  <si>
    <t>김태리</t>
  </si>
  <si>
    <t>Se Hee Jeong  다음 중 천만관객 이상을 모은 작품이 아닌 것은?</t>
  </si>
  <si>
    <t>군함도</t>
  </si>
  <si>
    <t>신과함께-죄와 벌</t>
  </si>
  <si>
    <t>Se Hee Jeong  스웨덴어로 ‘적당한’, ‘충분한’을 뜻하는 말로, 소박하고 균형 잡힌 생활과 공동체와의 조화를 중시하는 단어는?</t>
  </si>
  <si>
    <t>휘게</t>
  </si>
  <si>
    <t>라곰</t>
  </si>
  <si>
    <t>휘바</t>
  </si>
  <si>
    <t>이해창  다음 중 스페인에 있는 축구 구단이 아닌 것은?</t>
  </si>
  <si>
    <t>1) RCD 마요르카</t>
  </si>
  <si>
    <r>
      <t>2) 아틀레티코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마드리드</t>
    </r>
  </si>
  <si>
    <t>3) AS 모나코F.C</t>
  </si>
  <si>
    <r>
      <t>Youngsool Lee 1950년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태평양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방위선을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정책으로...후에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6.25의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되었던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선언은?</t>
    </r>
  </si>
  <si>
    <r>
      <t>1)포츠담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</si>
  <si>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2)애치슨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</si>
  <si>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3)드레스덴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</si>
  <si>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A)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</si>
  <si>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t>Park Jongseon  엔진오일 케이스에는 20W-50 또는 0W/30 등의 표시가 적혀있는데 여기서 W의 의미는?</t>
  </si>
  <si>
    <t>winner</t>
  </si>
  <si>
    <t>windy</t>
  </si>
  <si>
    <t>Winter</t>
  </si>
  <si>
    <t>정답: winter (겨울을 뜻함)</t>
  </si>
  <si>
    <t>Park Jongseon  주식과 투자시장에서 시간이 지날수록 자산이 눈덩이처럼 불어나는 복리효과를 비유한 말은?</t>
  </si>
  <si>
    <t>짐볼효과</t>
  </si>
  <si>
    <t>탱탱볼효과</t>
  </si>
  <si>
    <t>스노우볼효과</t>
  </si>
  <si>
    <t>정답 : 스노우볼효과 (Snowball)</t>
  </si>
  <si>
    <t>Park Jongseon  다음중 '오감'의 감각기관과 바르게 연결된것은?</t>
  </si>
  <si>
    <t>청각 ㅡ 코</t>
  </si>
  <si>
    <t>촉각 ㅡ 눈</t>
  </si>
  <si>
    <t>미각 ㅡ 혀</t>
  </si>
  <si>
    <t>정답 : 미각</t>
  </si>
  <si>
    <t>Park Jongseon  다음중 "매우 반가워 함" 을 뜻하는 단어는?</t>
  </si>
  <si>
    <t>정색</t>
  </si>
  <si>
    <t>반색</t>
  </si>
  <si>
    <t>사색</t>
  </si>
  <si>
    <t>정답: 반색</t>
  </si>
  <si>
    <t>Park Jongseon  다음 제시어와 가장 관련깊은 것은? [미국] [관세] [긴급수입제한]</t>
  </si>
  <si>
    <t>FTA</t>
  </si>
  <si>
    <t>이든조약</t>
  </si>
  <si>
    <t>무역확장법232조</t>
  </si>
  <si>
    <t>정답: 3번. 무역확장법232조</t>
  </si>
  <si>
    <t>Jenny Park "현수막, 벽보"를 뜻하는 것으로 맞는 것은? 플랭카드 플레카드 플래카드 정답 3</t>
  </si>
  <si>
    <r>
      <t>김용진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카페인의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표기는?</t>
    </r>
  </si>
  <si>
    <t>cafeine</t>
  </si>
  <si>
    <t>caffeine</t>
  </si>
  <si>
    <t>caffein</t>
  </si>
  <si>
    <t>정답:2</t>
  </si>
  <si>
    <t>Park Jongseon  다음중 피처폰(feature phone)인 것은?</t>
  </si>
  <si>
    <t>아쿠오스폰</t>
  </si>
  <si>
    <t>노키아1100</t>
  </si>
  <si>
    <t>아이폰X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</si>
  <si>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2번.노키아1100 (2003년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노키아에서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2G폰)</t>
    </r>
  </si>
  <si>
    <t>Park Jongseon  '다섯손가락'의 노래가사중 □안에 들어갈 말은?</t>
  </si>
  <si>
    <r>
      <t>(비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수욜일엔</t>
    </r>
    <r>
      <rPr>
        <sz val="10"/>
        <color rgb="FF000000"/>
        <rFont val="굴림"/>
        <family val="3"/>
        <charset val="129"/>
      </rPr>
      <t xml:space="preserve"> □□□□</t>
    </r>
    <r>
      <rPr>
        <sz val="10"/>
        <color rgb="FF000000"/>
        <rFont val="Times New Roman"/>
        <family val="1"/>
      </rPr>
      <t>를)</t>
    </r>
  </si>
  <si>
    <t>노란장미</t>
  </si>
  <si>
    <t>빨간장미</t>
  </si>
  <si>
    <t>파란장미</t>
  </si>
  <si>
    <t>정답: 빨간장미</t>
  </si>
  <si>
    <t>Jenny Park "방어벽"이라는 표현으로 맞는 것은? 바리케이트 바리케이드 바리캐이트 정답 2</t>
  </si>
  <si>
    <t>Park Jongseon  로드킬(roadkill)사고 발생시 신고 전화번호는?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</si>
  <si>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128 </t>
    </r>
  </si>
  <si>
    <t>Wooseok Jang  다음 중 호와 이름이 잘못 짝지어 진 것은?</t>
  </si>
  <si>
    <t>약산 김원봉</t>
  </si>
  <si>
    <t>단재 신채호</t>
  </si>
  <si>
    <t>도산 안중근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</si>
  <si>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도산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안중근</t>
    </r>
  </si>
  <si>
    <t>박예인 다음 단어들 중 어원이 되는 언어가 다른 것은?</t>
  </si>
  <si>
    <t>난(naan)/케첩(ketchup)/짜이(chai)</t>
  </si>
  <si>
    <t>A.정답: 난(naan)</t>
  </si>
  <si>
    <t>박성준  다음 중 몸무게가 제일 많이 나가는 사람은?</t>
  </si>
  <si>
    <t>오준기</t>
  </si>
  <si>
    <t>박정선 (JungSun Park)</t>
  </si>
  <si>
    <t>윤대희 (Dae-Hee Yoon)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</si>
  <si>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오준기</t>
    </r>
  </si>
  <si>
    <t xml:space="preserve">조병윤  우리말의 북한어 표기로 틀린 것은? </t>
  </si>
  <si>
    <t xml:space="preserve">오징어 - 낙지 개고기 - 단고기 식혜 - 쌀감주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</si>
  <si>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식혜-밥감주</t>
    </r>
  </si>
  <si>
    <t>김현수  큰나라를 뜻하는 순수 우리말 ‘구다라’는 다음 중 어느나라를 뜻하는 말인가?</t>
  </si>
  <si>
    <r>
      <t>고구려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백제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신라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</si>
  <si>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백제</t>
    </r>
  </si>
  <si>
    <r>
      <t>김민정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프리마돈나의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  <r>
      <rPr>
        <sz val="10"/>
        <color rgb="FF000000"/>
        <rFont val="굴림"/>
        <family val="3"/>
        <charset val="129"/>
      </rPr>
      <t xml:space="preserve"> </t>
    </r>
  </si>
  <si>
    <t>pri madonna</t>
  </si>
  <si>
    <t xml:space="preserve">primadonna </t>
  </si>
  <si>
    <t>freemadonna</t>
  </si>
  <si>
    <t>손주영  야구 베이스 간 거리는?</t>
  </si>
  <si>
    <t>27.43m</t>
  </si>
  <si>
    <t>18.44m</t>
  </si>
  <si>
    <t>172m</t>
  </si>
  <si>
    <t>A.정답:27.43m</t>
  </si>
  <si>
    <t>조현태 [키워드 식물 이름]  다음 중 서로 같은 식물이 아닌 것은? (=학명이 다른 하나는?) 개도둑놈의갈고리 / 큰도둑놈의갈고리 / 털도둑놈의갈고리</t>
  </si>
  <si>
    <t>A. 큰도둑놈의갈고리</t>
  </si>
  <si>
    <t>천성덕  장주기혜성의 기원으로 알려져 있으며 태양계를 껍질처럼 둘러싸고 있다고 생각되는 가상적인 천체집단은</t>
  </si>
  <si>
    <t>카이퍼 벨트</t>
  </si>
  <si>
    <t>왜소행성 지대</t>
  </si>
  <si>
    <t>오르트 구름</t>
  </si>
  <si>
    <t>A.정답 오르트 구름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</si>
  <si>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사자성어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“목”의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</si>
  <si>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목불인견</t>
  </si>
  <si>
    <t>연목구어</t>
  </si>
  <si>
    <t>이목구비</t>
  </si>
  <si>
    <t>이종상  다음 중 '보무라지'는?</t>
  </si>
  <si>
    <r>
      <t>귀중한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맡아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도와주는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</t>
    </r>
  </si>
  <si>
    <r>
      <t>A.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</si>
  <si>
    <t>이종상  브라질과의 A매치 축구 경기에서 단 한 번도 진 적이 없는 나라는?</t>
  </si>
  <si>
    <r>
      <t>노르웨이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</si>
  <si>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노르웨이</t>
  </si>
  <si>
    <t>이종상  2018 러시아 월드컵 지역예선 최다 득점차 경기 기록은 '이 나라'가 부탄을 15 : 0으로 이긴 경기인데, 이 나라는?</t>
  </si>
  <si>
    <r>
      <t>카타르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이라크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시리아</t>
    </r>
  </si>
  <si>
    <t>A. 카타르</t>
  </si>
  <si>
    <t>이종상  2월 29일, 윤일을 도입한 사람은?</t>
  </si>
  <si>
    <r>
      <t>그레고리우스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13세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아우구스투스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</si>
  <si>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r>
      <t>A.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</si>
  <si>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t>이종상  미키 마우스의 원래 이름은?</t>
  </si>
  <si>
    <r>
      <t>머피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매튜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</si>
  <si>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r>
      <t>A.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</si>
  <si>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t>이종상  중국 허난성 푸췐사에 있는 세계 최대의 조각상 '노산대불'은 무엇을 조각한 것인가?</t>
  </si>
  <si>
    <r>
      <t>아미타불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석가모니불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비로자나불</t>
    </r>
  </si>
  <si>
    <t>A. 비로자나불</t>
  </si>
  <si>
    <t>이종상  메이저리그에서 사용하는 야구공의 빨간 실밥은 총 몇 개일까?</t>
  </si>
  <si>
    <r>
      <t>108개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109개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110개</t>
    </r>
  </si>
  <si>
    <t>A. 108개</t>
  </si>
  <si>
    <t>이종상  1975년 5월 16일, 여성 최초로 에레베스트 산 등반에 성공한 사람은?</t>
  </si>
  <si>
    <r>
      <t>판톡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말라바스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푸르나</t>
    </r>
  </si>
  <si>
    <r>
      <t>A.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</si>
  <si>
    <t>이종상  감자와 밀가루가 섞인 이탈리아식 수제비는?</t>
  </si>
  <si>
    <r>
      <t>꼬제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뇨끼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펜네</t>
    </r>
  </si>
  <si>
    <t>A. 뇨끼</t>
  </si>
  <si>
    <t>이종상  미국 최초의 우주비행사 앨런 셰퍼드가 달 표면에서 한 것은?</t>
  </si>
  <si>
    <r>
      <t>골프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복싱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캐치볼</t>
    </r>
  </si>
  <si>
    <t>A. 골프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</si>
  <si>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연결이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</si>
  <si>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lettuce-상추</t>
  </si>
  <si>
    <t>eggplant-가지</t>
  </si>
  <si>
    <t>perilla leaf-배추 잎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</si>
  <si>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</si>
  <si>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t>이종상  처음으로 '태평양'이라고 이름 붙인 사람은?</t>
  </si>
  <si>
    <r>
      <t>콜럼버스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마젤란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바스코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가마</t>
    </r>
  </si>
  <si>
    <t>A. 마젤란</t>
  </si>
  <si>
    <t>정희정  다음 중 분식이 아닌것은?</t>
  </si>
  <si>
    <t>김밥 튀김 쫄면</t>
  </si>
  <si>
    <t>정답: 김밥</t>
  </si>
  <si>
    <t xml:space="preserve">조병윤  다음 중 한국 기업이 인수한 귀화 브랜드가 아닌 것은? 루이까토즈 발렌시아가 스토케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</si>
  <si>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발렌시아가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브랜드) *루이까토즈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- 2006년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태진인터내셔날이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*스토케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- 2014년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게임업체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넥슨의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벨기에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‘NXMH’가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</si>
  <si>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Q미국수도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</t>
    </r>
  </si>
  <si>
    <t>조직워싱턴 턴보 워싱턴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</si>
  <si>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17대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대통령누구일까요</t>
    </r>
  </si>
  <si>
    <t xml:space="preserve">김대중 노무현 이명박 </t>
  </si>
  <si>
    <t>정종철 다음중 스타크래프트 종족이 아닌것은~?</t>
  </si>
  <si>
    <t>저그 프로토스 휴먼</t>
  </si>
  <si>
    <t>정답: 휴먼</t>
  </si>
  <si>
    <t>Jason Shim  우리나라 국립공원이 아닌곳은?</t>
  </si>
  <si>
    <t>무등산</t>
  </si>
  <si>
    <t>태백산</t>
  </si>
  <si>
    <t>남산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</si>
  <si>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남산</t>
    </r>
  </si>
  <si>
    <t>Jason Shim  세계 최초 국립공원인 곳은?</t>
  </si>
  <si>
    <t>요세미티 국립공원</t>
  </si>
  <si>
    <t>그랜드캐년 국립공원</t>
  </si>
  <si>
    <t>옐로스톤 국립공원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</si>
  <si>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옐로스톤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국립공원</t>
    </r>
  </si>
  <si>
    <t>권태훈  심해에 살지 않는 생물은?</t>
  </si>
  <si>
    <t>덤보문어</t>
  </si>
  <si>
    <t>꼼치</t>
  </si>
  <si>
    <t>우럭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</si>
  <si>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나보기가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역겨워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가실때는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고이보내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드리오리다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진달래꽃의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김소월의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본명은?</t>
    </r>
  </si>
  <si>
    <t>김영식</t>
  </si>
  <si>
    <t>김정수</t>
  </si>
  <si>
    <t>김정식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</si>
  <si>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독립운동가이자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정치가였고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활동했으며, 8 · 15 광복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자주적인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세우기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선생님의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본명은? </t>
    </r>
  </si>
  <si>
    <t>김창수</t>
  </si>
  <si>
    <t>김창구</t>
  </si>
  <si>
    <t>김창식</t>
  </si>
  <si>
    <r>
      <t>종욱종욱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(구소련)출신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사람은???</t>
    </r>
  </si>
  <si>
    <t>발레리 보로닌</t>
  </si>
  <si>
    <t>안드레이 아르샤빈</t>
  </si>
  <si>
    <t>안드리 보로닌</t>
  </si>
  <si>
    <t>정답 안드리 보로닌 (우크라이나 축구선수)</t>
  </si>
  <si>
    <r>
      <t>조심성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떨어뜨리는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지칭하는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영어표현은? </t>
    </r>
  </si>
  <si>
    <t>레이디핑거(ladyfingers)</t>
  </si>
  <si>
    <t xml:space="preserve">오일리핑거(oilyfingers) </t>
  </si>
  <si>
    <t>버터핑거(butterfingers)</t>
  </si>
  <si>
    <t>Answer : 버터핑거(butterfingers)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</si>
  <si>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</si>
  <si>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>신경림</t>
  </si>
  <si>
    <t>김남조</t>
  </si>
  <si>
    <t>이상화</t>
  </si>
  <si>
    <r>
      <t>조훈도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오카리나는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새)를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뜻한다.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새는? </t>
    </r>
  </si>
  <si>
    <t xml:space="preserve">펠리컨 종달새 거위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</si>
  <si>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거위</t>
    </r>
    <r>
      <rPr>
        <sz val="10"/>
        <color rgb="FF000000"/>
        <rFont val="굴림"/>
        <family val="3"/>
        <charset val="129"/>
      </rPr>
      <t xml:space="preserve"> </t>
    </r>
  </si>
  <si>
    <t>박제한  다음중 태양계의 행성에서 빠진 행성은 무엇인가요?</t>
  </si>
  <si>
    <r>
      <t>천왕성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명왕성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</si>
  <si>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명왕성</t>
    </r>
  </si>
  <si>
    <t>예희정  다음 중 스위트 룸 스펠링으로 옳은 것은?</t>
  </si>
  <si>
    <t>Sweet room</t>
  </si>
  <si>
    <t>Suite room</t>
  </si>
  <si>
    <t>Suet room</t>
  </si>
  <si>
    <t>양주혁 다음중 인(仁), 의(義), 예(禮), 지(智)에 해당 되는 문은? 예)흥인지문</t>
  </si>
  <si>
    <t>숙정문</t>
  </si>
  <si>
    <t>숭예문</t>
  </si>
  <si>
    <t>한문</t>
  </si>
  <si>
    <t>답:숭예문</t>
  </si>
  <si>
    <t>Minju Kang  오십견의 어학적 설명으로 틀린 것은?</t>
  </si>
  <si>
    <t>영어로는 frozen shoulder 이다.</t>
  </si>
  <si>
    <t xml:space="preserve">어깨에 관한 다섯가지 그릇된 견해에서 비롯되었다. </t>
  </si>
  <si>
    <t>주로 오십세에 발병하여 이렇게 불린다.</t>
  </si>
  <si>
    <t>성일  네이버의 정식 서비스 시작은 1999년 6월 2일 입니다. 그러면 네이버 지식in 서비스 시작은 2002년 10월 몇일 일까요 ?</t>
  </si>
  <si>
    <t>2일</t>
  </si>
  <si>
    <t>7일</t>
  </si>
  <si>
    <t>9일</t>
  </si>
  <si>
    <t>정답 : 2002년 10월 7일</t>
  </si>
  <si>
    <t xml:space="preserve">조병윤  동계스포츠 종목인 '밴디'는 아이스하키와 어느 스포츠를 차용한 것일까? 축구 야구 배구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</si>
  <si>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11명, 둥근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사용, 오프사이드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규정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등등)</t>
    </r>
  </si>
  <si>
    <t xml:space="preserve">조병윤  다음 중 각 나라를 대표하는 운동(국기)으로 연결이 틀린 것은 ? 인도 - 하키 영국 - 축구 네델란드 - 스피드 스케이팅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</si>
  <si>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크리켓)</t>
    </r>
  </si>
  <si>
    <t>Jason Shim  최근 미국 실리콘벨리에서 큰 성공을 거둔 스타트업을 통칭하는 말은?</t>
  </si>
  <si>
    <t>나스닥 기업</t>
  </si>
  <si>
    <t>유니콘 기업</t>
  </si>
  <si>
    <t>실리콘 기업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</si>
  <si>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유니콘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</si>
  <si>
    <t>Se Hee Jeong  다음 중 우디 앨런의 작품이 아닌 것은?</t>
  </si>
  <si>
    <t>블루 재스민</t>
  </si>
  <si>
    <t>미드나잇 인 파리</t>
  </si>
  <si>
    <t>로마의 휴일</t>
  </si>
  <si>
    <t>답 : 로마의 휴일</t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</si>
  <si>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최고령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</si>
  <si>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마틴 팔레르모(아르헨티나)</t>
  </si>
  <si>
    <t>하삼-엘-하다리(이집트)</t>
  </si>
  <si>
    <t>옵둘리오 바렐라(우루과이)</t>
  </si>
  <si>
    <t>정답 - 하삼-엘-하다리 (만 45세 161일)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</si>
  <si>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베를린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건설과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붕괴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</si>
  <si>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1959, 1993</t>
  </si>
  <si>
    <t>1960, 1992</t>
  </si>
  <si>
    <t>1961, 1989</t>
  </si>
  <si>
    <t>이주학  키티는 무슨 동물인가?</t>
  </si>
  <si>
    <t>소녀</t>
  </si>
  <si>
    <t>정답: 소녀</t>
  </si>
  <si>
    <r>
      <t>제작사인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산리오사(社)에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아니라, "순수한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쾌활하고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행복한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소녀"다. 고양이로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착각하게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결정적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옆의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가닥인데, 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"귀밑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털"이다. 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기어다닌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없으며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앉았다. 고양이에서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모티브를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가져왔지만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인간, 소녀이다.</t>
    </r>
  </si>
  <si>
    <t>박성욱 다음중 블룸버그가 발표한 2017년 세계맥주판매량순위 TOP10에 없는 맥주 브랜드는?</t>
  </si>
  <si>
    <t>아사히</t>
  </si>
  <si>
    <t>칭따오</t>
  </si>
  <si>
    <t>브라흐마</t>
  </si>
  <si>
    <t>정답. 아사히</t>
  </si>
  <si>
    <t>박성욱 다음중 이탈리아 와인에서 가장 높은 등급을 나타내는 말은?</t>
  </si>
  <si>
    <t>D.O.C.G</t>
  </si>
  <si>
    <t>IGT</t>
  </si>
  <si>
    <t>VDT</t>
  </si>
  <si>
    <t>A.정답 D.O.C.G</t>
  </si>
  <si>
    <t>Bey Kim  다이아몬드의 캐럿의 단위는?</t>
  </si>
  <si>
    <r>
      <t>투명도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크기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</si>
  <si>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무게</t>
    </r>
  </si>
  <si>
    <t xml:space="preserve"> 참외에빨간불빛을 비추면 어떤 색깔이 될까?</t>
  </si>
  <si>
    <r>
      <t>초록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주황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빨강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</si>
  <si>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빨강</t>
    </r>
  </si>
  <si>
    <t xml:space="preserve"> 다음 중 고속버스 환승 휴게소가 아닌 곳은?</t>
  </si>
  <si>
    <r>
      <t>서산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횡성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</si>
  <si>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서산</t>
    </r>
  </si>
  <si>
    <t>전상현  골프채나 테니스라켓 등에 공이 맞았을 때 가장 멀리, 빠르게 날아가는 부분을 무엇이라고 하나?</t>
  </si>
  <si>
    <t>히팅스팟 스위트스팟 스윙스팟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</si>
  <si>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스위트스팟</t>
    </r>
  </si>
  <si>
    <t>전상현  신라시대 성골 출신의 마지막 여왕은?</t>
  </si>
  <si>
    <t>성덕여왕 선덕여왕 진덕여왕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</si>
  <si>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진덕여왕</t>
    </r>
  </si>
  <si>
    <t>전상현  신라시대 골품제 중 아닌 것은?</t>
  </si>
  <si>
    <t>5두품 4두품 3두품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</si>
  <si>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3두품</t>
    </r>
  </si>
  <si>
    <t>전상현  고려시대 국립교육기관으로 국가에서 필요한 인재를 양성하기 위한 최고의 교육기관은?</t>
  </si>
  <si>
    <t>국자감 국학 성균관</t>
  </si>
  <si>
    <t>A. 국자감</t>
  </si>
  <si>
    <t>전상현  고려시대 의학교육기관은?</t>
  </si>
  <si>
    <t>혜민국 대비원 태의감</t>
  </si>
  <si>
    <t>A. 태의감</t>
  </si>
  <si>
    <t xml:space="preserve">조병윤  2016년 통합된 정부민원안내 콜센터 전화번호는 ? </t>
  </si>
  <si>
    <t xml:space="preserve">(국번없이)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</si>
  <si>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(112,119를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제외한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민원안내) </t>
    </r>
  </si>
  <si>
    <t>Jason Shim  중국과 영유권 분쟁중인 섬은?</t>
  </si>
  <si>
    <t>마라도</t>
  </si>
  <si>
    <t>이어도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</si>
  <si>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이어도</t>
    </r>
  </si>
  <si>
    <t>Jason Shim  영국과 스페인이 분쟁중인 곳은?</t>
  </si>
  <si>
    <t>케이프타운</t>
  </si>
  <si>
    <t>바스크</t>
  </si>
  <si>
    <t>지브롤터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</si>
  <si>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지브롤터</t>
    </r>
  </si>
  <si>
    <t>제주노을  다음 중 시력이 가장 좋은 동물은?</t>
  </si>
  <si>
    <t>매 타조 박쥐</t>
  </si>
  <si>
    <r>
      <t>정답: 2 타조의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시력은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10배수준입니다</t>
    </r>
  </si>
  <si>
    <t>강태윤  조선시대 후기 말을 고치는 수의사로 출발해 왕을 치료하는 어의 자리까지 올랐던 사람은?</t>
  </si>
  <si>
    <t>백광현</t>
  </si>
  <si>
    <t>양예수</t>
  </si>
  <si>
    <t xml:space="preserve">이시진 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</si>
  <si>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</si>
  <si>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 xml:space="preserve">강태윤  달의 뒷면을 육안으로 관찰한 최초의 인류가 탔던 우주선은? </t>
  </si>
  <si>
    <t>아폴로 7호</t>
  </si>
  <si>
    <t>아폴로 8호</t>
  </si>
  <si>
    <t xml:space="preserve">아폴로 10호 </t>
  </si>
  <si>
    <t>권태훈 다음중 가장 큰 소리는?</t>
  </si>
  <si>
    <t>불꽃놀이</t>
  </si>
  <si>
    <t>군용제트기</t>
  </si>
  <si>
    <t xml:space="preserve">전기드릴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</si>
  <si>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불꽃놀이</t>
    </r>
  </si>
  <si>
    <t>권태훈  문어의 심장은 몇 개인가?</t>
  </si>
  <si>
    <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(꿈의해석)이라는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정신분석학의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지그문트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프로이트가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남성이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부친을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증오하고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무의식적인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성적애착을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심리학적용어는?</t>
    </r>
  </si>
  <si>
    <t>아브라함콤플렉스</t>
  </si>
  <si>
    <t>일렉트라콤플렉스</t>
  </si>
  <si>
    <t>오이디푸스콤플렉스</t>
  </si>
  <si>
    <t>답은:오이디푸스콤플렉스</t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</si>
  <si>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에스토니아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스포츠는? 1키킹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2쿠킹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3킨킹</t>
    </r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</si>
  <si>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키킹</t>
    </r>
  </si>
  <si>
    <t>이종상  다음 중 실존하는 공항은?</t>
  </si>
  <si>
    <r>
      <t>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베컴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</si>
  <si>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r>
      <t>A. 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</si>
  <si>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t>이종상  다음 중 한자가 포함된 낱말은?</t>
  </si>
  <si>
    <r>
      <t>사돈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사위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도련님</t>
    </r>
  </si>
  <si>
    <t>A. 사돈</t>
  </si>
  <si>
    <r>
      <t>김석태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책을읽어주는직업이있었다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그직업은</t>
    </r>
  </si>
  <si>
    <r>
      <t>1 구화수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시화수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</si>
  <si>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</si>
  <si>
    <t>연진  소의 위는 총 4개이다. 흔히들 알고있는 곱창은 몇번째 위일까</t>
  </si>
  <si>
    <t>제 1위 양위</t>
  </si>
  <si>
    <t>제 2위 벌집위</t>
  </si>
  <si>
    <t>제 4위 막창 , 홍창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</si>
  <si>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(양곱창이라불림)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</si>
  <si>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동계올림픽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</si>
  <si>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정답:1중국</t>
  </si>
  <si>
    <t>이상민  기술력은 있으나 창업을 위한 자금이 부족한 초기 단계의 벤처기업에 투자해 첨단산업 육성에 밑거름 역할을 하는 투자자금을 제공하는 개인은?</t>
  </si>
  <si>
    <r>
      <t>앵커투자자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엔젤투자자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앤트투자자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</si>
  <si>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엔젤투자자</t>
    </r>
  </si>
  <si>
    <r>
      <t>이학구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Q, 서울시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서대문구에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나라로부터의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기념하여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세웠을까?</t>
    </r>
  </si>
  <si>
    <r>
      <t>김채연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은행이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보유하고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</si>
  <si>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요구불 예금</t>
  </si>
  <si>
    <t>시재금</t>
  </si>
  <si>
    <t>예금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</si>
  <si>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시재금</t>
    </r>
  </si>
  <si>
    <r>
      <t>서가연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조선개국의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1등공신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정도전이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이성계에게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이전투구라고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평안지역은?</t>
    </r>
  </si>
  <si>
    <t>충청도</t>
  </si>
  <si>
    <t>평안도</t>
  </si>
  <si>
    <t>함경도</t>
  </si>
  <si>
    <t>답은:함경도</t>
  </si>
  <si>
    <r>
      <t>Chanmi Kim Q 아랍에미리트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'두바이'의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</si>
  <si>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페라리 월드(Ferrari World)</t>
  </si>
  <si>
    <t>버즈칼리파 (Burj Khalifa)</t>
  </si>
  <si>
    <t>쥬메이라 비치 (Jumeirah Beach)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</si>
  <si>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페라리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아부다비의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</t>
    </r>
  </si>
  <si>
    <r>
      <t>이현숙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선수는?? </t>
    </r>
  </si>
  <si>
    <t>리오넬 메시</t>
  </si>
  <si>
    <t>크리스티아누 호날두</t>
  </si>
  <si>
    <t>정답: 리오넬 메시</t>
  </si>
  <si>
    <r>
      <t>2018월드컵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선수는??</t>
    </r>
  </si>
  <si>
    <t>정답은손흥민 프리미어리그. 다른 선수는 라리가</t>
  </si>
  <si>
    <t>박유선  다산 정약용이 부인의 치마에 두 아들에게 교훈이 될 만한 글을 적은 서첩의 이름은?</t>
  </si>
  <si>
    <t>매죽헌필첩</t>
  </si>
  <si>
    <t>하피첩</t>
  </si>
  <si>
    <t>서계유묵</t>
  </si>
  <si>
    <r>
      <t>..............................A.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하피첩</t>
    </r>
  </si>
  <si>
    <t>Sim HJ  뛰어난 인재들이 모인 집단에서 오히려 성과가 낮게 나타나는 현상은? 미네르바 신드롬 제우스 신드롬 아폴로 신드롬(정답 : 아폴로 신드롬)</t>
  </si>
  <si>
    <t>Sim HJ  소비자 개개인에 대한 정보를 바탕으로 직접교류하며 벌이는 판촉활동은? QM OM DM</t>
  </si>
  <si>
    <t>이호연  다음 중 '회'의 의미가 다른 하나는?</t>
  </si>
  <si>
    <t>회전</t>
  </si>
  <si>
    <t>회자</t>
  </si>
  <si>
    <t>회수</t>
  </si>
  <si>
    <r>
      <t>Jenny Park 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와서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타이어와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</si>
  <si>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>수포현상</t>
  </si>
  <si>
    <t>수면현상</t>
  </si>
  <si>
    <t>수막현상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</si>
  <si>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수막현상</t>
    </r>
  </si>
  <si>
    <r>
      <t>박설록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신라시대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골품제에서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</si>
  <si>
    <t>1두품</t>
  </si>
  <si>
    <t>3두품</t>
  </si>
  <si>
    <t>6두품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</si>
  <si>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6두품입니다</t>
    </r>
  </si>
  <si>
    <t>박제한  골프 경기중 파5 홀에서 6타 만에 공을 집어넣은 선수의 스코어는 무엇일까요?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</si>
  <si>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버디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</si>
  <si>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보기</t>
    </r>
  </si>
  <si>
    <r>
      <t>박지영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아기의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길러주기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엎어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놓는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영아돌연사증후군을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예방할수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자세는?</t>
    </r>
  </si>
  <si>
    <t>러닝타임</t>
  </si>
  <si>
    <t>코어타임</t>
  </si>
  <si>
    <t>터미타임</t>
  </si>
  <si>
    <t>답은: 터미타임</t>
  </si>
  <si>
    <t>손석우  다음 육상 종목 중 가장 넓은 필드를 필요로 하는 종목은?</t>
  </si>
  <si>
    <r>
      <t>창던지기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포환던지기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높이뛰기</t>
    </r>
  </si>
  <si>
    <t>A. 창던지기</t>
  </si>
  <si>
    <t>손석우  다음 보기의 "지기" 중 그 뜻이 다른 하나는?</t>
  </si>
  <si>
    <r>
      <t>솥지기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문지기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청지기</t>
    </r>
  </si>
  <si>
    <t>A. 솥지기</t>
  </si>
  <si>
    <t>Park Jongseon  '질번질번하다' 의 뜻은?</t>
  </si>
  <si>
    <t>땅이 질다</t>
  </si>
  <si>
    <t>보기 민망하다</t>
  </si>
  <si>
    <t>살림이 풍부하다</t>
  </si>
  <si>
    <t>한성렬  ‘스트레스를 받지 않았으면 발생하지 않았을 비용’을 뜻하는 신조어는?</t>
  </si>
  <si>
    <t>홧김 비용</t>
  </si>
  <si>
    <t>시발 비용</t>
  </si>
  <si>
    <t>멍청 비용</t>
  </si>
  <si>
    <t xml:space="preserve">이기영  수영 경기 중 하나인 '수구'는 영어로 'water ( )'라고 한다. 괄호안에 들어갈 알맞은 단어는? </t>
  </si>
  <si>
    <t xml:space="preserve">1)soccer 2)polo 3)hockey </t>
  </si>
  <si>
    <t>(정답: 2) polo)</t>
  </si>
  <si>
    <t xml:space="preserve">이기영  봄비는 일비, 여름비는 ( ), 가을비는 떡비, 겨울비는 술비라고 한다. 괄호안에 들어갈 알맞은 말은? </t>
  </si>
  <si>
    <r>
      <t>1)약비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2) 망비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3)잠비</t>
    </r>
  </si>
  <si>
    <t>(정답: 3) 잠비)</t>
  </si>
  <si>
    <t>한성렬  다음 중 각국의 대입시험 이름이 잘못 연결된 것은?</t>
  </si>
  <si>
    <t>영국 : 에이레벨</t>
  </si>
  <si>
    <t>프랑스 : 바칼로레아</t>
  </si>
  <si>
    <t>독일 : 아바투르</t>
  </si>
  <si>
    <t>손한선  구 유고슬라비아 해체 과정에서 탄생한 나라가 아닌 것은?</t>
  </si>
  <si>
    <t>슬로베니아</t>
  </si>
  <si>
    <t>슬로바키아</t>
  </si>
  <si>
    <t>크로아티아</t>
  </si>
  <si>
    <r>
      <t>A.2번(체코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체코와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분리)</t>
    </r>
  </si>
  <si>
    <t>강연주  다음중 '서랍' 과 같은 뜻을 지닌 말이 아닌것은?</t>
  </si>
  <si>
    <t>빼지 빼랍 빼다지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</si>
  <si>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빼지)</t>
    </r>
  </si>
  <si>
    <t xml:space="preserve"> 보기 중 장난으로 지어낸 동물(생물)의 이름은?</t>
  </si>
  <si>
    <t>갈색키위</t>
  </si>
  <si>
    <t>가위캥거루</t>
  </si>
  <si>
    <t>유리창떠들썩파랑나비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</si>
  <si>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</si>
  <si>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동물일까?</t>
    </r>
  </si>
  <si>
    <t>거인</t>
  </si>
  <si>
    <t>갈메기</t>
  </si>
  <si>
    <t>정답 :갈메기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</si>
  <si>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마스코트는?</t>
    </r>
  </si>
  <si>
    <t>정답 갈메기</t>
  </si>
  <si>
    <t xml:space="preserve">Sim HJ 아이디어는 일단 용감히 발표하고 남은 문제는 나중에 계속 검토하라는 것은? </t>
  </si>
  <si>
    <t>오컴의 면도날 뉴턴의 양동이 브레너의 빗자루</t>
  </si>
  <si>
    <t>(정답 : 브레너의 빗자루)</t>
  </si>
  <si>
    <t xml:space="preserve">Sim HJ 여러 단계별로 세분화해 하나씩 해결해 나가는 협상전술의 방법은? </t>
  </si>
  <si>
    <t>파니니 전술 하이볼 전술 살라미 전술</t>
  </si>
  <si>
    <t>(살라미 전술)</t>
  </si>
  <si>
    <t xml:space="preserve">김성찬 태풍 쁘라삐룬 다음 태풍이름은? </t>
  </si>
  <si>
    <t>도라지</t>
  </si>
  <si>
    <t>버빙카</t>
  </si>
  <si>
    <t>마리아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</si>
  <si>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마리아</t>
    </r>
  </si>
  <si>
    <t xml:space="preserve">김성찬 태풍 쁘라삐룬 의 뜻은? </t>
  </si>
  <si>
    <t>바람의 신</t>
  </si>
  <si>
    <t>물의 신</t>
  </si>
  <si>
    <t>비의 신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</si>
  <si>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</t>
    </r>
  </si>
  <si>
    <t xml:space="preserve">김성찬 자동차가 빗길에 미끌리는 현상은? </t>
  </si>
  <si>
    <t>유막현상</t>
  </si>
  <si>
    <t>망막현상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</si>
  <si>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수막현상</t>
    </r>
  </si>
  <si>
    <t>이학구  2002년 한일월드컵 공식 마스코트 이름은?</t>
  </si>
  <si>
    <t>팁&amp;탑</t>
  </si>
  <si>
    <t>스페릭스</t>
  </si>
  <si>
    <t>나란히토</t>
  </si>
  <si>
    <t>조민우  우리가 주로 먹는 바나나의 품종은?</t>
  </si>
  <si>
    <r>
      <t>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플랜틴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</si>
  <si>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r>
      <t>A.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</si>
  <si>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t>김수웅  미식축구는 10야드를 몇번의 공격기회 안에 전진해야 하는가?</t>
  </si>
  <si>
    <t>2번 3번. 4번</t>
  </si>
  <si>
    <t>정답 4번</t>
  </si>
  <si>
    <r>
      <t>이남수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"마지막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OO " 소설의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</si>
  <si>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마지막 수업 - 알퐁스 도데</t>
  </si>
  <si>
    <t>마지막 잎새 - 오 헨리</t>
  </si>
  <si>
    <t>마지막 황제 - 베르나르도 베르톨루치</t>
  </si>
  <si>
    <r>
      <t xml:space="preserve">정답: </t>
    </r>
    <r>
      <rPr>
        <sz val="10"/>
        <color rgb="FFFF0000"/>
        <rFont val="Times New Roman"/>
        <family val="1"/>
      </rPr>
      <t>3번</t>
    </r>
    <r>
      <rPr>
        <sz val="10"/>
        <color rgb="FF000000"/>
        <rFont val="Times New Roman"/>
        <family val="1"/>
      </rPr>
      <t>(작가는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에드워드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영화감독이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베르나르도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베르톨루치)</t>
    </r>
  </si>
  <si>
    <t>박제한  허리케인의 우리말은?</t>
  </si>
  <si>
    <t>용오름</t>
  </si>
  <si>
    <t>싹쓸바람</t>
  </si>
  <si>
    <t>큰센바람</t>
  </si>
  <si>
    <t>A. 정답 : 싹쓸바람</t>
  </si>
  <si>
    <t>박시현 다음 중 표준어가 아닌것은?</t>
  </si>
  <si>
    <r>
      <t>개기다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꼬시다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뽀리다</t>
    </r>
  </si>
  <si>
    <t>정답: 뽀리다</t>
  </si>
  <si>
    <r>
      <t>젬라이브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기출</t>
    </r>
  </si>
  <si>
    <t xml:space="preserve"> 경상남도에 없는 곳은?</t>
  </si>
  <si>
    <r>
      <t>우도</t>
    </r>
    <r>
      <rPr>
        <sz val="10"/>
        <color rgb="FF000000"/>
        <rFont val="굴림"/>
        <family val="3"/>
        <charset val="129"/>
      </rPr>
      <t xml:space="preserve"> </t>
    </r>
  </si>
  <si>
    <r>
      <t>육지도</t>
    </r>
    <r>
      <rPr>
        <sz val="10"/>
        <color rgb="FF000000"/>
        <rFont val="굴림"/>
        <family val="3"/>
        <charset val="129"/>
      </rPr>
      <t xml:space="preserve"> </t>
    </r>
  </si>
  <si>
    <t>청산도</t>
  </si>
  <si>
    <t xml:space="preserve"> 기업과 기업 사이에 이루어지는 전자상거래를 일컫는 경제용어인 B2B의 올바른 풀이는?</t>
  </si>
  <si>
    <t>By to By</t>
  </si>
  <si>
    <t>Buy to Buy</t>
  </si>
  <si>
    <t>Business to Business</t>
  </si>
  <si>
    <t xml:space="preserve"> 한국 남자 테니스 역사상 처음으로 US오픈 남자 테니스 선수권 대회 16강에 오른 사람은?</t>
  </si>
  <si>
    <t>홍성찬</t>
  </si>
  <si>
    <t>이형택</t>
  </si>
  <si>
    <t>정현</t>
  </si>
  <si>
    <t xml:space="preserve"> 금융 업무 영업 마감 시간이 다른 하나는?</t>
  </si>
  <si>
    <t>신한은행</t>
  </si>
  <si>
    <t>SC제일은행</t>
  </si>
  <si>
    <t xml:space="preserve"> 올바른 표기의 단어들로 이루어진 문장은?</t>
  </si>
  <si>
    <r>
      <t>문과도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헷갈리는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매한가지야.</t>
    </r>
  </si>
  <si>
    <r>
      <t>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이과라서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헛갈린다.</t>
    </r>
  </si>
  <si>
    <r>
      <t>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맞다.</t>
    </r>
  </si>
  <si>
    <t xml:space="preserve"> 장마로 큰물이 난 뒤, 한동안 쉬었다가 다시 퍼붓는 비를 뜻하는 순우리말은?</t>
  </si>
  <si>
    <t>작달비</t>
  </si>
  <si>
    <t>개부심</t>
  </si>
  <si>
    <t>악수</t>
  </si>
  <si>
    <r>
      <rPr>
        <sz val="10"/>
        <color rgb="FFFF0000"/>
        <rFont val="바탕"/>
        <family val="1"/>
        <charset val="129"/>
      </rPr>
      <t>동서고가교</t>
    </r>
    <r>
      <rPr>
        <sz val="10"/>
        <color rgb="FFFF0000"/>
        <rFont val="Times New Roman"/>
        <family val="1"/>
      </rPr>
      <t xml:space="preserve"> </t>
    </r>
    <phoneticPr fontId="1" type="noConversion"/>
  </si>
  <si>
    <r>
      <rPr>
        <sz val="10"/>
        <color rgb="FFFF0000"/>
        <rFont val="바탕"/>
        <family val="1"/>
        <charset val="129"/>
      </rPr>
      <t>진도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</si>
  <si>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맥주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</si>
  <si>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전국노래자랑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</si>
  <si>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종묘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</si>
  <si>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해삼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</si>
  <si>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트럼펫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</si>
  <si>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태극기의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가로세로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비율은</t>
    </r>
    <r>
      <rPr>
        <sz val="10"/>
        <color rgb="FF000000"/>
        <rFont val="Times New Roman"/>
        <family val="1"/>
      </rPr>
      <t>?</t>
    </r>
    <phoneticPr fontId="1" type="noConversion"/>
  </si>
  <si>
    <t>4:3</t>
  </si>
  <si>
    <t>16:9</t>
  </si>
  <si>
    <t xml:space="preserve">3:2 </t>
  </si>
  <si>
    <r>
      <rPr>
        <sz val="10"/>
        <color rgb="FFFF0000"/>
        <rFont val="바탕"/>
        <family val="1"/>
        <charset val="129"/>
      </rPr>
      <t>한용운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</si>
  <si>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마스카라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</si>
  <si>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중국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</si>
  <si>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마이클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존슨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</si>
  <si>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신체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</si>
  <si>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입</t>
    </r>
    <r>
      <rPr>
        <sz val="10"/>
        <color rgb="FFFF0000"/>
        <rFont val="굴림"/>
        <family val="3"/>
        <charset val="129"/>
      </rPr>
      <t/>
    </r>
    <phoneticPr fontId="1" type="noConversion"/>
  </si>
  <si>
    <t>Master</t>
    <phoneticPr fontId="1" type="noConversion"/>
  </si>
  <si>
    <r>
      <rPr>
        <sz val="10"/>
        <color rgb="FFFF0000"/>
        <rFont val="바탕"/>
        <family val="1"/>
        <charset val="129"/>
      </rPr>
      <t>아이스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버킷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챌린지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</si>
  <si>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땅콩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</si>
  <si>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별을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바라보다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</si>
  <si>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오마주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</si>
  <si>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생선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</si>
  <si>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</si>
  <si>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키노앨범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</si>
  <si>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코끼리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</si>
  <si>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김환기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</si>
  <si>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김홍집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도원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</si>
  <si>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</si>
  <si>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무궁화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</si>
  <si>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프로폴리스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</si>
  <si>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구레나룻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</si>
  <si>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남짓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</si>
  <si>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닦을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</si>
  <si>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참매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</si>
  <si>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백설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공주와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일곱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난쟁이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</si>
  <si>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열섬현상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</si>
  <si>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</si>
  <si>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나를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찾아줘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</si>
  <si>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파울로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코엘료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</si>
  <si>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바지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</si>
  <si>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모노드라마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</si>
  <si>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국회의사당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</si>
  <si>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눈동자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</si>
  <si>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롬곡옾눞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</si>
  <si>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초혼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</si>
  <si>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고모부와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조카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</si>
  <si>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MLB </t>
    </r>
    <r>
      <rPr>
        <sz val="10"/>
        <color rgb="FFFF0000"/>
        <rFont val="바탕"/>
        <family val="1"/>
        <charset val="129"/>
      </rPr>
      <t>디트로이트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</si>
  <si>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평화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</si>
  <si>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덤벨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경제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</si>
  <si>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영국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</si>
  <si>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</si>
  <si>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냄비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</si>
  <si>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12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</si>
  <si>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오스카</t>
    </r>
    <r>
      <rPr>
        <sz val="10"/>
        <color rgb="FFFF0000"/>
        <rFont val="굴림"/>
        <family val="3"/>
        <charset val="129"/>
      </rPr>
      <t/>
    </r>
    <phoneticPr fontId="1" type="noConversion"/>
  </si>
  <si>
    <t>restaurant</t>
    <phoneticPr fontId="1" type="noConversion"/>
  </si>
  <si>
    <r>
      <rPr>
        <sz val="10"/>
        <color rgb="FFFF0000"/>
        <rFont val="바탕"/>
        <family val="1"/>
        <charset val="129"/>
      </rPr>
      <t>허파꽈리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</si>
  <si>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푼푼하다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</si>
  <si>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이심전심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</si>
  <si>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스티브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잡스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</si>
  <si>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좋아하는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</si>
  <si>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측우기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</si>
  <si>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욘족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</si>
  <si>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아웅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</si>
  <si>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</si>
  <si>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홈페이지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가상집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</si>
  <si>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1919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</si>
  <si>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</si>
  <si>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티라미수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</si>
  <si>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동의보감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허균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</si>
  <si>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수족구병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</si>
  <si>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블랙벅</t>
    </r>
    <r>
      <rPr>
        <sz val="10"/>
        <color rgb="FF000000"/>
        <rFont val="Times New Roman"/>
        <family val="1"/>
      </rPr>
      <t>(Black buck)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</si>
  <si>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우리나라가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강탈당한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국치일은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언제일까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</si>
  <si>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반다이에서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출시되는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건담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프라모델의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스케일별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등급을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</si>
  <si>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MG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Main Grade</t>
    </r>
  </si>
  <si>
    <r>
      <t xml:space="preserve"> </t>
    </r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애니메이션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데스노트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규칙이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</si>
  <si>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훼손하면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만진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모두가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죽는다</t>
    </r>
  </si>
  <si>
    <r>
      <rPr>
        <sz val="10"/>
        <color rgb="FF000000"/>
        <rFont val="바탕"/>
        <family val="1"/>
        <charset val="129"/>
      </rPr>
      <t>만루홈런</t>
    </r>
    <r>
      <rPr>
        <sz val="10"/>
        <color rgb="FFFF0000"/>
        <rFont val="Times New Roman"/>
        <family val="1"/>
      </rPr>
      <t/>
    </r>
    <phoneticPr fontId="1" type="noConversion"/>
  </si>
  <si>
    <t>해트트릭</t>
    <phoneticPr fontId="1" type="noConversion"/>
  </si>
  <si>
    <t>터치다운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</si>
  <si>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</si>
  <si>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방탄소년단의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데뷔곡은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</si>
  <si>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90</t>
    </r>
    <r>
      <rPr>
        <sz val="10"/>
        <color rgb="FF000000"/>
        <rFont val="바탕"/>
        <family val="1"/>
        <charset val="129"/>
      </rPr>
      <t>년대생인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워너원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</si>
  <si>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축구경기장과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바르게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연결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 (</t>
    </r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</si>
  <si>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무거운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물체를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방문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손잡이를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돌릴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통증이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느껴졌다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사용한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관절가동범위는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</si>
  <si>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옳은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</si>
  <si>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꽃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</si>
  <si>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시험과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주최가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짝지어진것은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</si>
  <si>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야구팀은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</si>
  <si>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셰익스피어의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비극이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</si>
  <si>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분류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과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</si>
  <si>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이승만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대통령의</t>
    </r>
    <r>
      <rPr>
        <sz val="10"/>
        <color rgb="FF000000"/>
        <rFont val="Times New Roman"/>
        <family val="1"/>
      </rPr>
      <t xml:space="preserve"> `</t>
    </r>
    <r>
      <rPr>
        <sz val="10"/>
        <color rgb="FF000000"/>
        <rFont val="바탕"/>
        <family val="1"/>
        <charset val="129"/>
      </rPr>
      <t>호</t>
    </r>
    <r>
      <rPr>
        <sz val="10"/>
        <color rgb="FF000000"/>
        <rFont val="Times New Roman"/>
        <family val="1"/>
      </rPr>
      <t>`</t>
    </r>
    <r>
      <rPr>
        <sz val="10"/>
        <color rgb="FF000000"/>
        <rFont val="바탕"/>
        <family val="1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</si>
  <si>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2</t>
    </r>
    <r>
      <rPr>
        <sz val="10"/>
        <color rgb="FF000000"/>
        <rFont val="바탕"/>
        <family val="1"/>
        <charset val="129"/>
      </rPr>
      <t>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</si>
  <si>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1~9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</si>
  <si>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지력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심력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체력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자기관리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인간관계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두루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갖춘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</si>
  <si>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대한민국에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동</t>
    </r>
    <r>
      <rPr>
        <sz val="10"/>
        <color rgb="FF000000"/>
        <rFont val="Times New Roman"/>
        <family val="1"/>
      </rPr>
      <t xml:space="preserve">'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</si>
  <si>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엑소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드라마는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</si>
  <si>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프로듀스</t>
    </r>
    <r>
      <rPr>
        <sz val="10"/>
        <color rgb="FF000000"/>
        <rFont val="Times New Roman"/>
        <family val="1"/>
      </rPr>
      <t xml:space="preserve">101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최종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</si>
  <si>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아이돌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그룹은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</si>
  <si>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띄어쓰기가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</si>
  <si>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사자성어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&lt;</t>
    </r>
    <r>
      <rPr>
        <sz val="10"/>
        <color rgb="FF000000"/>
        <rFont val="바탕"/>
        <family val="1"/>
        <charset val="129"/>
      </rPr>
      <t>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한자는</t>
    </r>
    <phoneticPr fontId="1" type="noConversion"/>
  </si>
  <si>
    <r>
      <rPr>
        <sz val="10"/>
        <color rgb="FF000000"/>
        <rFont val="바탕"/>
        <family val="1"/>
        <charset val="129"/>
      </rPr>
      <t>크루아상은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빵인가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</si>
  <si>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날씨에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기단은</t>
    </r>
    <r>
      <rPr>
        <sz val="10"/>
        <color rgb="FF000000"/>
        <rFont val="Times New Roman"/>
        <family val="1"/>
      </rPr>
      <t>?</t>
    </r>
    <phoneticPr fontId="1" type="noConversion"/>
  </si>
  <si>
    <t>달</t>
    <phoneticPr fontId="1" type="noConversion"/>
  </si>
  <si>
    <t>별</t>
    <phoneticPr fontId="1" type="noConversion"/>
  </si>
  <si>
    <t>해</t>
    <phoneticPr fontId="1" type="noConversion"/>
  </si>
  <si>
    <r>
      <rPr>
        <sz val="10"/>
        <color rgb="FF000000"/>
        <rFont val="바탕"/>
        <family val="1"/>
        <charset val="129"/>
      </rPr>
      <t>중앙아메리카에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곳은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</si>
  <si>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엘살바도르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</si>
  <si>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t>벨리즈</t>
  </si>
  <si>
    <r>
      <rPr>
        <sz val="10"/>
        <color rgb="FF000000"/>
        <rFont val="바탕"/>
        <family val="1"/>
        <charset val="129"/>
      </rPr>
      <t>김흥국의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</t>
    </r>
    <phoneticPr fontId="1" type="noConversion"/>
  </si>
  <si>
    <r>
      <t>2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</si>
  <si>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</si>
  <si>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</si>
  <si>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국경일이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</si>
  <si>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FF0000"/>
        <rFont val="바탕"/>
        <family val="1"/>
        <charset val="129"/>
      </rPr>
      <t>현충일</t>
    </r>
    <r>
      <rPr>
        <sz val="10"/>
        <color rgb="FFFF0000"/>
        <rFont val="바탕"/>
        <family val="1"/>
        <charset val="129"/>
      </rPr>
      <t/>
    </r>
    <phoneticPr fontId="1" type="noConversion"/>
  </si>
  <si>
    <t>제헌절</t>
    <phoneticPr fontId="1" type="noConversion"/>
  </si>
  <si>
    <t>한글날</t>
    <phoneticPr fontId="1" type="noConversion"/>
  </si>
  <si>
    <r>
      <t>FIFA</t>
    </r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최다득점을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기록한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선수에게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상은</t>
    </r>
    <r>
      <rPr>
        <sz val="10"/>
        <color rgb="FF000000"/>
        <rFont val="Times New Roman"/>
        <family val="1"/>
      </rPr>
      <t xml:space="preserve">?? </t>
    </r>
    <phoneticPr fontId="1" type="noConversion"/>
  </si>
  <si>
    <r>
      <rPr>
        <sz val="10"/>
        <color rgb="FF000000"/>
        <rFont val="바탕"/>
        <family val="1"/>
        <charset val="129"/>
      </rPr>
      <t>골든골</t>
    </r>
    <r>
      <rPr>
        <sz val="10"/>
        <color rgb="FF000000"/>
        <rFont val="Times New Roman"/>
        <family val="1"/>
      </rPr>
      <t>(Golden goal)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</si>
  <si>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골든부트</t>
    </r>
    <r>
      <rPr>
        <sz val="10"/>
        <color rgb="FFFF0000"/>
        <rFont val="Times New Roman"/>
        <family val="1"/>
      </rPr>
      <t>(Golden boot)</t>
    </r>
  </si>
  <si>
    <r>
      <t>골든볼</t>
    </r>
    <r>
      <rPr>
        <sz val="10"/>
        <color rgb="FF000000"/>
        <rFont val="Times New Roman"/>
        <family val="1"/>
      </rPr>
      <t xml:space="preserve">(Golden ball) </t>
    </r>
  </si>
  <si>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우승한적없는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??</t>
    </r>
    <phoneticPr fontId="1" type="noConversion"/>
  </si>
  <si>
    <r>
      <rPr>
        <sz val="10"/>
        <color rgb="FF000000"/>
        <rFont val="바탕"/>
        <family val="1"/>
        <charset val="129"/>
      </rPr>
      <t>잉글랜드</t>
    </r>
    <r>
      <rPr>
        <sz val="10"/>
        <color rgb="FF000000"/>
        <rFont val="바탕"/>
        <family val="1"/>
        <charset val="129"/>
      </rPr>
      <t/>
    </r>
    <phoneticPr fontId="1" type="noConversion"/>
  </si>
  <si>
    <t>우루과이</t>
    <phoneticPr fontId="1" type="noConversion"/>
  </si>
  <si>
    <t>네덜란드</t>
    <phoneticPr fontId="1" type="noConversion"/>
  </si>
  <si>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여성용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전통의상의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??</t>
    </r>
    <phoneticPr fontId="1" type="noConversion"/>
  </si>
  <si>
    <t>디른들</t>
    <phoneticPr fontId="1" type="noConversion"/>
  </si>
  <si>
    <t>사라판</t>
    <phoneticPr fontId="1" type="noConversion"/>
  </si>
  <si>
    <t>사리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</si>
  <si>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</si>
  <si>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언론을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담당한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삼사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三司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</si>
  <si>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사헌부</t>
    </r>
    <r>
      <rPr>
        <sz val="10"/>
        <color rgb="FF000000"/>
        <rFont val="바탕"/>
        <family val="1"/>
        <charset val="129"/>
      </rPr>
      <t/>
    </r>
    <phoneticPr fontId="1" type="noConversion"/>
  </si>
  <si>
    <t>홍문관</t>
    <phoneticPr fontId="1" type="noConversion"/>
  </si>
  <si>
    <t>춘추관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</si>
  <si>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초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</si>
  <si>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삼고초려</t>
    </r>
    <r>
      <rPr>
        <sz val="10"/>
        <color rgb="FF000000"/>
        <rFont val="바탕"/>
        <family val="1"/>
        <charset val="129"/>
      </rPr>
      <t/>
    </r>
    <phoneticPr fontId="1" type="noConversion"/>
  </si>
  <si>
    <t>사면초가</t>
    <phoneticPr fontId="1" type="noConversion"/>
  </si>
  <si>
    <t>초가삼간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</si>
  <si>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숫자가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들어가지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사자성어는</t>
    </r>
    <r>
      <rPr>
        <sz val="10"/>
        <color rgb="FF000000"/>
        <rFont val="Times New Roman"/>
        <family val="1"/>
      </rPr>
      <t>?</t>
    </r>
    <phoneticPr fontId="1" type="noConversion"/>
  </si>
  <si>
    <t>기사회생</t>
    <phoneticPr fontId="1" type="noConversion"/>
  </si>
  <si>
    <t>천차만별</t>
    <phoneticPr fontId="1" type="noConversion"/>
  </si>
  <si>
    <t>오리무중</t>
    <phoneticPr fontId="1" type="noConversion"/>
  </si>
  <si>
    <r>
      <t xml:space="preserve">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예선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조와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연결된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</si>
  <si>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동요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세마리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?(</t>
    </r>
    <r>
      <rPr>
        <sz val="10"/>
        <color rgb="FF000000"/>
        <rFont val="바탕"/>
        <family val="1"/>
        <charset val="129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반복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안할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>)</t>
    </r>
    <phoneticPr fontId="1" type="noConversion"/>
  </si>
  <si>
    <r>
      <t>6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</si>
  <si>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7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</si>
  <si>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8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</si>
  <si>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도마뱀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이라는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온순한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공룡에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</si>
  <si>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실제로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제주도에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존재하는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지명은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</si>
  <si>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군산오름</t>
    </r>
    <r>
      <rPr>
        <sz val="10"/>
        <color rgb="FF000000"/>
        <rFont val="바탕"/>
        <family val="1"/>
        <charset val="129"/>
      </rPr>
      <t/>
    </r>
    <phoneticPr fontId="1" type="noConversion"/>
  </si>
  <si>
    <t>부산오름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</si>
  <si>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</si>
  <si>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오스트레일리아</t>
    </r>
    <r>
      <rPr>
        <sz val="10"/>
        <color rgb="FF000000"/>
        <rFont val="바탕"/>
        <family val="1"/>
        <charset val="129"/>
      </rPr>
      <t/>
    </r>
    <phoneticPr fontId="1" type="noConversion"/>
  </si>
  <si>
    <t>그리스</t>
    <phoneticPr fontId="1" type="noConversion"/>
  </si>
  <si>
    <t>통가</t>
    <phoneticPr fontId="1" type="noConversion"/>
  </si>
  <si>
    <r>
      <t xml:space="preserve">[ </t>
    </r>
    <r>
      <rPr>
        <sz val="10"/>
        <color rgb="FF000000"/>
        <rFont val="바탕"/>
        <family val="1"/>
        <charset val="129"/>
      </rPr>
      <t>루체</t>
    </r>
    <r>
      <rPr>
        <sz val="10"/>
        <color rgb="FF000000"/>
        <rFont val="Times New Roman"/>
        <family val="1"/>
      </rPr>
      <t xml:space="preserve"> ]</t>
    </r>
    <r>
      <rPr>
        <sz val="10"/>
        <color rgb="FF000000"/>
        <rFont val="바탕"/>
        <family val="1"/>
        <charset val="129"/>
      </rPr>
      <t>이태리어로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무슨뜻일까요</t>
    </r>
    <r>
      <rPr>
        <sz val="10"/>
        <color rgb="FF000000"/>
        <rFont val="Times New Roman"/>
        <family val="1"/>
      </rPr>
      <t>?</t>
    </r>
    <phoneticPr fontId="1" type="noConversion"/>
  </si>
  <si>
    <t>해</t>
    <phoneticPr fontId="1" type="noConversion"/>
  </si>
  <si>
    <t>빛</t>
    <phoneticPr fontId="1" type="noConversion"/>
  </si>
  <si>
    <t>달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</si>
  <si>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올림픽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육상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종목이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</si>
  <si>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1500M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</si>
  <si>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t xml:space="preserve">2000M </t>
    </r>
    <r>
      <rPr>
        <sz val="10"/>
        <color rgb="FFFF0000"/>
        <rFont val="바탕"/>
        <family val="1"/>
        <charset val="129"/>
      </rPr>
      <t>달리기</t>
    </r>
    <phoneticPr fontId="1" type="noConversion"/>
  </si>
  <si>
    <r>
      <t xml:space="preserve">5000M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</si>
  <si>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rPr>
        <sz val="10"/>
        <color rgb="FF000000"/>
        <rFont val="바탕"/>
        <family val="1"/>
        <charset val="129"/>
      </rPr>
      <t>미국항공우주국</t>
    </r>
    <r>
      <rPr>
        <sz val="10"/>
        <color rgb="FF000000"/>
        <rFont val="Times New Roman"/>
        <family val="1"/>
      </rPr>
      <t>(NASA)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약자일까</t>
    </r>
    <r>
      <rPr>
        <sz val="10"/>
        <color rgb="FF000000"/>
        <rFont val="Times New Roman"/>
        <family val="1"/>
      </rPr>
      <t>?</t>
    </r>
    <phoneticPr fontId="1" type="noConversion"/>
  </si>
  <si>
    <t>Aeronautics</t>
    <phoneticPr fontId="1" type="noConversion"/>
  </si>
  <si>
    <t>Astronaut</t>
    <phoneticPr fontId="1" type="noConversion"/>
  </si>
  <si>
    <t>Airplane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</si>
  <si>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개최한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</si>
  <si>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칠레</t>
    <phoneticPr fontId="1" type="noConversion"/>
  </si>
  <si>
    <t>포르투갈</t>
    <phoneticPr fontId="1" type="noConversion"/>
  </si>
  <si>
    <t>스위스</t>
    <phoneticPr fontId="1" type="noConversion"/>
  </si>
  <si>
    <r>
      <rPr>
        <sz val="10"/>
        <color rgb="FF000000"/>
        <rFont val="바탕"/>
        <family val="1"/>
        <charset val="129"/>
      </rPr>
      <t>오로지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이성과만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짝짓기를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일편단심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</si>
  <si>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원앙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</si>
  <si>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핀토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고슴도치</t>
    </r>
    <phoneticPr fontId="1" type="noConversion"/>
  </si>
  <si>
    <t>솔방울도마뱀</t>
    <phoneticPr fontId="1" type="noConversion"/>
  </si>
  <si>
    <r>
      <rPr>
        <sz val="10"/>
        <color rgb="FF000000"/>
        <rFont val="바탕"/>
        <family val="1"/>
        <charset val="129"/>
      </rPr>
      <t>자유의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여신상을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미국에게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선물한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</t>
    </r>
    <phoneticPr fontId="1" type="noConversion"/>
  </si>
  <si>
    <t>영국</t>
    <phoneticPr fontId="1" type="noConversion"/>
  </si>
  <si>
    <t>프랑스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</si>
  <si>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</si>
  <si>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귤</t>
    <phoneticPr fontId="1" type="noConversion"/>
  </si>
  <si>
    <t>지로</t>
    <phoneticPr fontId="1" type="noConversion"/>
  </si>
  <si>
    <t>주검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</si>
  <si>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표준어가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</si>
  <si>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t>검은색</t>
    <phoneticPr fontId="1" type="noConversion"/>
  </si>
  <si>
    <t>검정색</t>
    <phoneticPr fontId="1" type="noConversion"/>
  </si>
  <si>
    <r>
      <rPr>
        <sz val="10"/>
        <color rgb="FF000000"/>
        <rFont val="바탕"/>
        <family val="1"/>
        <charset val="129"/>
      </rPr>
      <t>칠레를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3W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여기에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</si>
  <si>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Water</t>
    <phoneticPr fontId="1" type="noConversion"/>
  </si>
  <si>
    <t>Wind</t>
    <phoneticPr fontId="1" type="noConversion"/>
  </si>
  <si>
    <t xml:space="preserve">Weather </t>
  </si>
  <si>
    <t>백신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</si>
  <si>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</si>
  <si>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</si>
  <si>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</si>
  <si>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바지선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</si>
  <si>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</si>
  <si>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</si>
  <si>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</si>
  <si>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하지만</t>
    <phoneticPr fontId="1" type="noConversion"/>
  </si>
  <si>
    <t>심지어</t>
    <phoneticPr fontId="1" type="noConversion"/>
  </si>
  <si>
    <t>호랑이</t>
    <phoneticPr fontId="1" type="noConversion"/>
  </si>
  <si>
    <t>곤약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</si>
  <si>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벼룩에게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</si>
  <si>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입</t>
    <phoneticPr fontId="1" type="noConversion"/>
  </si>
  <si>
    <t>간</t>
    <phoneticPr fontId="1" type="noConversion"/>
  </si>
  <si>
    <t>더듬이</t>
    <phoneticPr fontId="1" type="noConversion"/>
  </si>
  <si>
    <r>
      <rPr>
        <sz val="10"/>
        <color rgb="FF000000"/>
        <rFont val="바탕"/>
        <family val="1"/>
        <charset val="129"/>
      </rPr>
      <t>오이지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단무지에서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</si>
  <si>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막대</t>
    </r>
    <phoneticPr fontId="1" type="noConversion"/>
  </si>
  <si>
    <r>
      <rPr>
        <sz val="10"/>
        <color rgb="FF000000"/>
        <rFont val="바탕"/>
        <family val="1"/>
        <charset val="129"/>
      </rPr>
      <t>누름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돌</t>
    </r>
    <phoneticPr fontId="1" type="noConversion"/>
  </si>
  <si>
    <t>김치</t>
    <phoneticPr fontId="1" type="noConversion"/>
  </si>
  <si>
    <r>
      <rPr>
        <sz val="10"/>
        <color rgb="FF000000"/>
        <rFont val="바탕"/>
        <family val="1"/>
        <charset val="129"/>
      </rPr>
      <t>보드랍고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화창한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바람을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</si>
  <si>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</si>
  <si>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</si>
  <si>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</si>
  <si>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r>
      <t>24</t>
    </r>
    <r>
      <rPr>
        <sz val="10"/>
        <color rgb="FF000000"/>
        <rFont val="바탕"/>
        <family val="1"/>
        <charset val="129"/>
      </rPr>
      <t>절기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아홉번째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절기로</t>
    </r>
    <r>
      <rPr>
        <sz val="10"/>
        <color rgb="FF000000"/>
        <rFont val="Times New Roman"/>
        <family val="1"/>
      </rPr>
      <t>, "</t>
    </r>
    <r>
      <rPr>
        <sz val="10"/>
        <color rgb="FF000000"/>
        <rFont val="바탕"/>
        <family val="1"/>
        <charset val="129"/>
      </rPr>
      <t>보리는</t>
    </r>
    <r>
      <rPr>
        <sz val="10"/>
        <color rgb="FF000000"/>
        <rFont val="Times New Roman"/>
        <family val="1"/>
      </rPr>
      <t xml:space="preserve"> ( ) </t>
    </r>
    <r>
      <rPr>
        <sz val="10"/>
        <color rgb="FF000000"/>
        <rFont val="바탕"/>
        <family val="1"/>
        <charset val="129"/>
      </rPr>
      <t>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베라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속담의</t>
    </r>
    <r>
      <rPr>
        <sz val="10"/>
        <color rgb="FF000000"/>
        <rFont val="Times New Roman"/>
        <family val="1"/>
      </rPr>
      <t xml:space="preserve"> ( )</t>
    </r>
    <r>
      <rPr>
        <sz val="10"/>
        <color rgb="FF000000"/>
        <rFont val="바탕"/>
        <family val="1"/>
        <charset val="129"/>
      </rPr>
      <t>안에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</si>
  <si>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t>소만</t>
    <phoneticPr fontId="1" type="noConversion"/>
  </si>
  <si>
    <t>망종</t>
    <phoneticPr fontId="1" type="noConversion"/>
  </si>
  <si>
    <t>하지</t>
    <phoneticPr fontId="1" type="noConversion"/>
  </si>
  <si>
    <r>
      <rPr>
        <sz val="10"/>
        <color rgb="FF000000"/>
        <rFont val="바탕"/>
        <family val="1"/>
        <charset val="129"/>
      </rPr>
      <t>김연자씨의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히트곡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아모르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파티</t>
    </r>
    <r>
      <rPr>
        <sz val="10"/>
        <color rgb="FF000000"/>
        <rFont val="Times New Roman"/>
        <family val="1"/>
      </rPr>
      <t>(Amor fati)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</si>
  <si>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잠자는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숲속의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공주는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결혼했을까</t>
    </r>
    <r>
      <rPr>
        <sz val="10"/>
        <color rgb="FF000000"/>
        <rFont val="Times New Roman"/>
        <family val="1"/>
      </rPr>
      <t>?</t>
    </r>
    <phoneticPr fontId="1" type="noConversion"/>
  </si>
  <si>
    <r>
      <t>20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</si>
  <si>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t>120</t>
    </r>
    <r>
      <rPr>
        <sz val="10"/>
        <color rgb="FFFF0000"/>
        <rFont val="바탕"/>
        <family val="1"/>
        <charset val="129"/>
      </rPr>
      <t>살</t>
    </r>
    <phoneticPr fontId="1" type="noConversion"/>
  </si>
  <si>
    <r>
      <t>115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</si>
  <si>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시켜먹는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브랜드는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</si>
  <si>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BBQ</t>
    <phoneticPr fontId="1" type="noConversion"/>
  </si>
  <si>
    <t>BHC</t>
    <phoneticPr fontId="1" type="noConversion"/>
  </si>
  <si>
    <t>교촌</t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</si>
  <si>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좋아하는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교촌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메뉴는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</si>
  <si>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교촌레드콤보</t>
    <phoneticPr fontId="1" type="noConversion"/>
  </si>
  <si>
    <t>교촌허니콤보</t>
    <phoneticPr fontId="1" type="noConversion"/>
  </si>
  <si>
    <t>교촌오리지날</t>
    <phoneticPr fontId="1" type="noConversion"/>
  </si>
  <si>
    <r>
      <t>Que sera sera (</t>
    </r>
    <r>
      <rPr>
        <sz val="10"/>
        <color rgb="FF000000"/>
        <rFont val="바탕"/>
        <family val="1"/>
        <charset val="129"/>
      </rPr>
      <t>케세라세라</t>
    </r>
    <r>
      <rPr>
        <sz val="10"/>
        <color rgb="FF000000"/>
        <rFont val="Times New Roman"/>
        <family val="1"/>
      </rPr>
      <t>)'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</si>
  <si>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파리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오르세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소장한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백곰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조각가의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</si>
  <si>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t>퐁퐁</t>
    <phoneticPr fontId="1" type="noConversion"/>
  </si>
  <si>
    <t>팡팡</t>
    <phoneticPr fontId="1" type="noConversion"/>
  </si>
  <si>
    <t>핑핑</t>
    <phoneticPr fontId="1" type="noConversion"/>
  </si>
  <si>
    <r>
      <rPr>
        <sz val="10"/>
        <color rgb="FF000000"/>
        <rFont val="바탕"/>
        <family val="1"/>
        <charset val="129"/>
      </rPr>
      <t>캐나가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단풍잎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양쪽에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붉은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기둥이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</si>
  <si>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토착민과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이주민</t>
    </r>
    <phoneticPr fontId="1" type="noConversion"/>
  </si>
  <si>
    <r>
      <rPr>
        <sz val="10"/>
        <color rgb="FF000000"/>
        <rFont val="바탕"/>
        <family val="1"/>
        <charset val="129"/>
      </rPr>
      <t>영국과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프랑스</t>
    </r>
    <phoneticPr fontId="1" type="noConversion"/>
  </si>
  <si>
    <r>
      <rPr>
        <sz val="10"/>
        <color rgb="FFFF0000"/>
        <rFont val="바탕"/>
        <family val="1"/>
        <charset val="129"/>
      </rPr>
      <t>태평양과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대서양</t>
    </r>
    <phoneticPr fontId="1" type="noConversion"/>
  </si>
  <si>
    <t>왕바람</t>
    <phoneticPr fontId="1" type="noConversion"/>
  </si>
  <si>
    <t>센바람</t>
    <phoneticPr fontId="1" type="noConversion"/>
  </si>
  <si>
    <t>큰바람</t>
    <phoneticPr fontId="1" type="noConversion"/>
  </si>
  <si>
    <t xml:space="preserve">extra </t>
    <phoneticPr fontId="1" type="noConversion"/>
  </si>
  <si>
    <t xml:space="preserve">x-ray </t>
    <phoneticPr fontId="1" type="noConversion"/>
  </si>
  <si>
    <t>expensive</t>
    <phoneticPr fontId="1" type="noConversion"/>
  </si>
  <si>
    <t xml:space="preserve"> 사람이 단 한 번도 듣거나 배운 적이 없는 언어를 구사하는 현상은?</t>
    <phoneticPr fontId="1" type="noConversion"/>
  </si>
  <si>
    <t xml:space="preserve">앨런 무어 가면 </t>
    <phoneticPr fontId="1" type="noConversion"/>
  </si>
  <si>
    <t xml:space="preserve"> 다음 중 국민훈장 등급을 나타내는 단어가 아닌 것은?</t>
    <phoneticPr fontId="1" type="noConversion"/>
  </si>
  <si>
    <t xml:space="preserve">무궁화장 </t>
    <phoneticPr fontId="1" type="noConversion"/>
  </si>
  <si>
    <t>수소</t>
    <phoneticPr fontId="1" type="noConversion"/>
  </si>
  <si>
    <t>    허준</t>
    <phoneticPr fontId="1" type="noConversion"/>
  </si>
  <si>
    <t>    허참</t>
    <phoneticPr fontId="1" type="noConversion"/>
  </si>
  <si>
    <t>    단결권</t>
    <phoneticPr fontId="1" type="noConversion"/>
  </si>
  <si>
    <t xml:space="preserve"> 자신을 가꾸는 데 돈을 아끼지 않는 세련된 멋쟁이 할머니를 뜻하는 말은?</t>
    <phoneticPr fontId="1" type="noConversion"/>
  </si>
  <si>
    <t>    어반 그래니</t>
    <phoneticPr fontId="1" type="noConversion"/>
  </si>
  <si>
    <t>    꽃할매</t>
    <phoneticPr fontId="1" type="noConversion"/>
  </si>
  <si>
    <t>    소라</t>
    <phoneticPr fontId="1" type="noConversion"/>
  </si>
  <si>
    <t>북태평양 기단</t>
  </si>
  <si>
    <t>호모 루덴스</t>
  </si>
  <si>
    <t>달</t>
  </si>
  <si>
    <t>해</t>
  </si>
  <si>
    <t>현충일</t>
  </si>
  <si>
    <t xml:space="preserve">다음 중 섬인 나라는? </t>
  </si>
  <si>
    <t xml:space="preserve"> 다음 빌딩 중 가장 층수가 적은 빌딩은 무엇일까?</t>
    <phoneticPr fontId="1" type="noConversion"/>
  </si>
  <si>
    <t>제주</t>
    <phoneticPr fontId="1" type="noConversion"/>
  </si>
  <si>
    <t xml:space="preserve"> 물을 구성하는 원소가 아닌 것은?</t>
    <phoneticPr fontId="1" type="noConversion"/>
  </si>
  <si>
    <t>    앤드류 가필드</t>
    <phoneticPr fontId="1" type="noConversion"/>
  </si>
  <si>
    <t>    폴 러드</t>
    <phoneticPr fontId="1" type="noConversion"/>
  </si>
  <si>
    <t>    감옥</t>
    <phoneticPr fontId="1" type="noConversion"/>
  </si>
  <si>
    <t>    천문대</t>
    <phoneticPr fontId="1" type="noConversion"/>
  </si>
  <si>
    <t>중추</t>
    <phoneticPr fontId="1" type="noConversion"/>
  </si>
  <si>
    <t>다윈상</t>
    <phoneticPr fontId="1" type="noConversion"/>
  </si>
  <si>
    <t>거제도</t>
    <phoneticPr fontId="1" type="noConversion"/>
  </si>
  <si>
    <t>대추나무 사랑걸렸네</t>
    <phoneticPr fontId="1" type="noConversion"/>
  </si>
  <si>
    <t xml:space="preserve"> 조선시대 역대 왕과왕비의 신주를 모신 왕가의 사당은?</t>
    <phoneticPr fontId="1" type="noConversion"/>
  </si>
  <si>
    <t>탑골공원</t>
    <phoneticPr fontId="1" type="noConversion"/>
  </si>
  <si>
    <t>창경궁</t>
    <phoneticPr fontId="1" type="noConversion"/>
  </si>
  <si>
    <t>해삼</t>
    <phoneticPr fontId="1" type="noConversion"/>
  </si>
  <si>
    <t>클라리넷</t>
    <phoneticPr fontId="1" type="noConversion"/>
  </si>
  <si>
    <t>오보에</t>
    <phoneticPr fontId="1" type="noConversion"/>
  </si>
  <si>
    <t>트럼펫</t>
    <phoneticPr fontId="1" type="noConversion"/>
  </si>
  <si>
    <t>박목월</t>
    <phoneticPr fontId="1" type="noConversion"/>
  </si>
  <si>
    <t>블러셔</t>
    <phoneticPr fontId="1" type="noConversion"/>
  </si>
  <si>
    <t>중국</t>
    <phoneticPr fontId="1" type="noConversion"/>
  </si>
  <si>
    <t>스티브 잡스</t>
    <phoneticPr fontId="1" type="noConversion"/>
  </si>
  <si>
    <t>부</t>
    <phoneticPr fontId="1" type="noConversion"/>
  </si>
  <si>
    <t>Mouth</t>
    <phoneticPr fontId="1" type="noConversion"/>
  </si>
  <si>
    <t>Master</t>
    <phoneticPr fontId="1" type="noConversion"/>
  </si>
  <si>
    <t xml:space="preserve"> 루게릭병 환자를 돕기 위해 시작된 릴레이 기부 캠페인의 이름은?</t>
    <phoneticPr fontId="1" type="noConversion"/>
  </si>
  <si>
    <t>아이스 브레이킹</t>
    <phoneticPr fontId="1" type="noConversion"/>
  </si>
  <si>
    <t>소</t>
    <phoneticPr fontId="1" type="noConversion"/>
  </si>
  <si>
    <t>땅콩</t>
    <phoneticPr fontId="1" type="noConversion"/>
  </si>
  <si>
    <t>별을 바라보다</t>
    <phoneticPr fontId="1" type="noConversion"/>
  </si>
  <si>
    <t>별을 쏘다</t>
    <phoneticPr fontId="1" type="noConversion"/>
  </si>
  <si>
    <t>미장센</t>
    <phoneticPr fontId="1" type="noConversion"/>
  </si>
  <si>
    <t>초록</t>
    <phoneticPr fontId="1" type="noConversion"/>
  </si>
  <si>
    <t>자주</t>
    <phoneticPr fontId="1" type="noConversion"/>
  </si>
  <si>
    <t xml:space="preserve"> 선거법 위반 행위 신고 번호는?</t>
    <phoneticPr fontId="1" type="noConversion"/>
  </si>
  <si>
    <t>하이앨범</t>
    <phoneticPr fontId="1" type="noConversion"/>
  </si>
  <si>
    <t xml:space="preserve"> 태국의 ‘블랙아이보리 커피’는 어떤 동물에게 커피여매를 먹여 만들까?</t>
    <phoneticPr fontId="1" type="noConversion"/>
  </si>
  <si>
    <t>코끼리</t>
    <phoneticPr fontId="1" type="noConversion"/>
  </si>
  <si>
    <t>고양이</t>
    <phoneticPr fontId="1" type="noConversion"/>
  </si>
  <si>
    <t xml:space="preserve"> 조선시대 영의정을 지낸 인물의 이름과 아호가 맞는 것은?</t>
    <phoneticPr fontId="1" type="noConversion"/>
  </si>
  <si>
    <t>오크</t>
    <phoneticPr fontId="1" type="noConversion"/>
  </si>
  <si>
    <t xml:space="preserve"> 《國花, 기차, ♪□꽃이 피었습니다》 다음에서 연상되는 것은?</t>
    <phoneticPr fontId="1" type="noConversion"/>
  </si>
  <si>
    <t>프로포폴</t>
    <phoneticPr fontId="1" type="noConversion"/>
  </si>
  <si>
    <t>폴리페놀</t>
    <phoneticPr fontId="1" type="noConversion"/>
  </si>
  <si>
    <t xml:space="preserve"> ‘귀밑에서 턱까지 잇따라 난 수염’을 일컫는 옳은 표현은?</t>
    <phoneticPr fontId="1" type="noConversion"/>
  </si>
  <si>
    <t>구레나룻</t>
    <phoneticPr fontId="1" type="noConversion"/>
  </si>
  <si>
    <t>석 달 남짓</t>
    <phoneticPr fontId="1" type="noConversion"/>
  </si>
  <si>
    <t>빼어날 수</t>
    <phoneticPr fontId="1" type="noConversion"/>
  </si>
  <si>
    <t>셈 수</t>
    <phoneticPr fontId="1" type="noConversion"/>
  </si>
  <si>
    <t>참수리 1호</t>
    <phoneticPr fontId="1" type="noConversion"/>
  </si>
  <si>
    <t>열섬현상</t>
    <phoneticPr fontId="1" type="noConversion"/>
  </si>
  <si>
    <t xml:space="preserve"> 북유럽 신화에 등장하는 천둥의 신 ‘토르’에서 유래한 요일은?</t>
    <phoneticPr fontId="1" type="noConversion"/>
  </si>
  <si>
    <t>프레스티지</t>
    <phoneticPr fontId="1" type="noConversion"/>
  </si>
  <si>
    <t>가방</t>
    <phoneticPr fontId="1" type="noConversion"/>
  </si>
  <si>
    <t>바지</t>
    <phoneticPr fontId="1" type="noConversion"/>
  </si>
  <si>
    <t xml:space="preserve"> 배우 혼자서 하는 일인극은?</t>
    <phoneticPr fontId="1" type="noConversion"/>
  </si>
  <si>
    <t>모태드라마</t>
    <phoneticPr fontId="1" type="noConversion"/>
  </si>
  <si>
    <t>한국방송공사</t>
    <phoneticPr fontId="1" type="noConversion"/>
  </si>
  <si>
    <t>눈동자</t>
    <phoneticPr fontId="1" type="noConversion"/>
  </si>
  <si>
    <t>입술</t>
    <phoneticPr fontId="1" type="noConversion"/>
  </si>
  <si>
    <t xml:space="preserve"> 피타고라스가 정립한 ‘황금비’는?</t>
    <phoneticPr fontId="1" type="noConversion"/>
  </si>
  <si>
    <t xml:space="preserve"> “산산이 부서진 이름이여!”로 시작하는 김소월의 대표시는?</t>
    <phoneticPr fontId="1" type="noConversion"/>
  </si>
  <si>
    <t>이모부와 조카</t>
    <phoneticPr fontId="1" type="noConversion"/>
  </si>
  <si>
    <t>KBO 삼성</t>
    <phoneticPr fontId="1" type="noConversion"/>
  </si>
  <si>
    <t>NPB 세이부</t>
    <phoneticPr fontId="1" type="noConversion"/>
  </si>
  <si>
    <t>밴딩 경제</t>
    <phoneticPr fontId="1" type="noConversion"/>
  </si>
  <si>
    <t>미국</t>
    <phoneticPr fontId="1" type="noConversion"/>
  </si>
  <si>
    <t>뽀옹</t>
    <phoneticPr fontId="1" type="noConversion"/>
  </si>
  <si>
    <t>젓가락</t>
    <phoneticPr fontId="1" type="noConversion"/>
  </si>
  <si>
    <t>국자</t>
    <phoneticPr fontId="1" type="noConversion"/>
  </si>
  <si>
    <t>그래미</t>
    <phoneticPr fontId="1" type="noConversion"/>
  </si>
  <si>
    <t>오스카</t>
    <phoneticPr fontId="1" type="noConversion"/>
  </si>
  <si>
    <t xml:space="preserve"> ‘레스토랑’의 영문 절차로 올바른 것은?</t>
    <phoneticPr fontId="1" type="noConversion"/>
  </si>
  <si>
    <t>restorent</t>
    <phoneticPr fontId="1" type="noConversion"/>
  </si>
  <si>
    <t>restaurant</t>
    <phoneticPr fontId="1" type="noConversion"/>
  </si>
  <si>
    <t xml:space="preserve"> ‘모자람이 없이 넉넉하다’는 뜻의 순우리말은?</t>
    <phoneticPr fontId="1" type="noConversion"/>
  </si>
  <si>
    <t>판판하다</t>
    <phoneticPr fontId="1" type="noConversion"/>
  </si>
  <si>
    <t>조삼모사</t>
    <phoneticPr fontId="1" type="noConversion"/>
  </si>
  <si>
    <t>느낌대로</t>
    <phoneticPr fontId="1" type="noConversion"/>
  </si>
  <si>
    <t xml:space="preserve"> 젊은 나이에 엄청난 부를 쌓았지만 평범하게 살아가는 사람들을 뜻하는 말은?</t>
    <phoneticPr fontId="1" type="noConversion"/>
  </si>
  <si>
    <t>딩펫족</t>
    <phoneticPr fontId="1" type="noConversion"/>
  </si>
  <si>
    <t>욘족</t>
    <phoneticPr fontId="1" type="noConversion"/>
  </si>
  <si>
    <t xml:space="preserve"> ‘눈가리고 ()한다’에서 ()안에 들어갈 말은?</t>
    <phoneticPr fontId="1" type="noConversion"/>
  </si>
  <si>
    <t>아잉</t>
    <phoneticPr fontId="1" type="noConversion"/>
  </si>
  <si>
    <t>수요일</t>
    <phoneticPr fontId="1" type="noConversion"/>
  </si>
  <si>
    <t>네티즌 – 누리꾼</t>
    <phoneticPr fontId="1" type="noConversion"/>
  </si>
  <si>
    <t>1918년</t>
    <phoneticPr fontId="1" type="noConversion"/>
  </si>
  <si>
    <t>수성</t>
    <phoneticPr fontId="1" type="noConversion"/>
  </si>
  <si>
    <t>금성</t>
    <phoneticPr fontId="1" type="noConversion"/>
  </si>
  <si>
    <t>티라미수</t>
    <phoneticPr fontId="1" type="noConversion"/>
  </si>
  <si>
    <t>다쿠아즈</t>
    <phoneticPr fontId="1" type="noConversion"/>
  </si>
  <si>
    <t>자산어보 – 정약전</t>
    <phoneticPr fontId="1" type="noConversion"/>
  </si>
  <si>
    <t xml:space="preserve"> 콕사키 바이러스에 의해 발병하며 주로 여름철 손, 발, 입에 수포성 발진이 생기는 이 질환은?</t>
    <phoneticPr fontId="1" type="noConversion"/>
  </si>
  <si>
    <t>8번</t>
    <phoneticPr fontId="1" type="noConversion"/>
  </si>
  <si>
    <t xml:space="preserve">칼 포퍼 </t>
    <phoneticPr fontId="1" type="noConversion"/>
  </si>
  <si>
    <t xml:space="preserve">칠종칠금 </t>
    <phoneticPr fontId="1" type="noConversion"/>
  </si>
  <si>
    <t xml:space="preserve"> 조선시대 서예가 한석봉의 본명은?</t>
    <phoneticPr fontId="1" type="noConversion"/>
  </si>
  <si>
    <t xml:space="preserve"> 6.12 북미 정상회담에서 전체 경호는 누가 맡았을까?</t>
    <phoneticPr fontId="1" type="noConversion"/>
  </si>
  <si>
    <t>눈</t>
    <phoneticPr fontId="1" type="noConversion"/>
  </si>
  <si>
    <t xml:space="preserve">비늘 </t>
    <phoneticPr fontId="1" type="noConversion"/>
  </si>
  <si>
    <t>한국관광공사</t>
    <phoneticPr fontId="1" type="noConversion"/>
  </si>
  <si>
    <t>감옥</t>
    <phoneticPr fontId="1" type="noConversion"/>
  </si>
  <si>
    <t xml:space="preserve">왕궁 </t>
    <phoneticPr fontId="1" type="noConversion"/>
  </si>
  <si>
    <t xml:space="preserve">하키스틱 그래프 </t>
    <phoneticPr fontId="1" type="noConversion"/>
  </si>
  <si>
    <t xml:space="preserve"> 6월 미국에서 개최되는 세계 최대 게임쇼는?</t>
    <phoneticPr fontId="1" type="noConversion"/>
  </si>
  <si>
    <t>A3</t>
    <phoneticPr fontId="1" type="noConversion"/>
  </si>
  <si>
    <t xml:space="preserve"> ‘위축(蝟縮)되다’에서 연상되는 동물은?</t>
    <phoneticPr fontId="1" type="noConversion"/>
  </si>
  <si>
    <t>청록색</t>
    <phoneticPr fontId="1" type="noConversion"/>
  </si>
  <si>
    <t xml:space="preserve"> 6.13 지방선거에서 투표를 할 때 꼭 필요한 준비물은?</t>
    <phoneticPr fontId="1" type="noConversion"/>
  </si>
  <si>
    <t>땅문서</t>
    <phoneticPr fontId="1" type="noConversion"/>
  </si>
  <si>
    <t>우황청심환</t>
    <phoneticPr fontId="1" type="noConversion"/>
  </si>
  <si>
    <t xml:space="preserve"> ‘미꾸라짓국을 먹고 0한다’에서 0안에 들어갈 말은?</t>
    <phoneticPr fontId="1" type="noConversion"/>
  </si>
  <si>
    <t xml:space="preserve">용트림 </t>
    <phoneticPr fontId="1" type="noConversion"/>
  </si>
  <si>
    <t>용인농원</t>
    <phoneticPr fontId="1" type="noConversion"/>
  </si>
  <si>
    <t>김정은 국무위원장</t>
    <phoneticPr fontId="1" type="noConversion"/>
  </si>
  <si>
    <t xml:space="preserve"> 동영주, 섭라, 탐모라, 탐라가 옛 지명이였던 지역은?</t>
    <phoneticPr fontId="1" type="noConversion"/>
  </si>
  <si>
    <t xml:space="preserve">제주 </t>
    <phoneticPr fontId="1" type="noConversion"/>
  </si>
  <si>
    <t xml:space="preserve"> 6.13 지방선거 최연소 후보와 최고령 후보의 나이차이는?</t>
    <phoneticPr fontId="1" type="noConversion"/>
  </si>
  <si>
    <t>2회</t>
    <phoneticPr fontId="1" type="noConversion"/>
  </si>
  <si>
    <t xml:space="preserve"> 한 선수가 한 게임에서 3득점 이상 올린 것을 의미하는 ‘해트트릭’은 어느 스포츠에서 유래 됐을까?</t>
    <phoneticPr fontId="1" type="noConversion"/>
  </si>
  <si>
    <t>골프</t>
    <phoneticPr fontId="1" type="noConversion"/>
  </si>
  <si>
    <t>저스티스 리그</t>
    <phoneticPr fontId="1" type="noConversion"/>
  </si>
  <si>
    <t>CVID</t>
    <phoneticPr fontId="1" type="noConversion"/>
  </si>
  <si>
    <t>고백</t>
    <phoneticPr fontId="1" type="noConversion"/>
  </si>
  <si>
    <t>방백</t>
    <phoneticPr fontId="1" type="noConversion"/>
  </si>
  <si>
    <t>불백</t>
    <phoneticPr fontId="1" type="noConversion"/>
  </si>
  <si>
    <t xml:space="preserve"> 다음 중 국기 안에 별모양이 없는 나라는 어디일까?</t>
    <phoneticPr fontId="1" type="noConversion"/>
  </si>
  <si>
    <t>식초</t>
    <phoneticPr fontId="1" type="noConversion"/>
  </si>
  <si>
    <t>선조</t>
    <phoneticPr fontId="1" type="noConversion"/>
  </si>
  <si>
    <t>숙종</t>
    <phoneticPr fontId="1" type="noConversion"/>
  </si>
  <si>
    <t xml:space="preserve"> 다음 중 모국어로 가장 많이 쓰이는 언어는?</t>
    <phoneticPr fontId="1" type="noConversion"/>
  </si>
  <si>
    <t>힌디어</t>
    <phoneticPr fontId="1" type="noConversion"/>
  </si>
  <si>
    <t>스페인어</t>
    <phoneticPr fontId="1" type="noConversion"/>
  </si>
  <si>
    <t>독수리</t>
    <phoneticPr fontId="1" type="noConversion"/>
  </si>
  <si>
    <t>Entrée(앙트레)</t>
    <phoneticPr fontId="1" type="noConversion"/>
  </si>
  <si>
    <t>단기 4351년</t>
    <phoneticPr fontId="1" type="noConversion"/>
  </si>
  <si>
    <t>단기 4363년</t>
    <phoneticPr fontId="1" type="noConversion"/>
  </si>
  <si>
    <t xml:space="preserve"> ‘하늘 천’으로 시작하는 천자문의 마지막 한자는?</t>
    <phoneticPr fontId="1" type="noConversion"/>
  </si>
  <si>
    <t xml:space="preserve">也 (야) </t>
    <phoneticPr fontId="1" type="noConversion"/>
  </si>
  <si>
    <t>삐콤씨 증후군</t>
    <phoneticPr fontId="1" type="noConversion"/>
  </si>
  <si>
    <t>나이</t>
    <phoneticPr fontId="1" type="noConversion"/>
  </si>
  <si>
    <t>Breakpast</t>
    <phoneticPr fontId="1" type="noConversion"/>
  </si>
  <si>
    <t>Breakfast</t>
    <phoneticPr fontId="1" type="noConversion"/>
  </si>
  <si>
    <t>퇴직연금</t>
    <phoneticPr fontId="1" type="noConversion"/>
  </si>
  <si>
    <t>브라키오사우루스</t>
    <phoneticPr fontId="1" type="noConversion"/>
  </si>
  <si>
    <t>칠레</t>
    <phoneticPr fontId="1" type="noConversion"/>
  </si>
  <si>
    <t>러시아</t>
    <phoneticPr fontId="1" type="noConversion"/>
  </si>
  <si>
    <t>모도리</t>
    <phoneticPr fontId="1" type="noConversion"/>
  </si>
  <si>
    <t>입</t>
    <phoneticPr fontId="1" type="noConversion"/>
  </si>
  <si>
    <t>한강</t>
    <phoneticPr fontId="1" type="noConversion"/>
  </si>
  <si>
    <t>김진수</t>
    <phoneticPr fontId="1" type="noConversion"/>
  </si>
  <si>
    <t>조현우</t>
    <phoneticPr fontId="1" type="noConversion"/>
  </si>
  <si>
    <t>오반석</t>
    <phoneticPr fontId="1" type="noConversion"/>
  </si>
  <si>
    <t>2010년</t>
    <phoneticPr fontId="1" type="noConversion"/>
  </si>
  <si>
    <t>커트</t>
    <phoneticPr fontId="1" type="noConversion"/>
  </si>
  <si>
    <t>세인트폴 대성당</t>
    <phoneticPr fontId="1" type="noConversion"/>
  </si>
  <si>
    <t>홈런</t>
    <phoneticPr fontId="1" type="noConversion"/>
  </si>
  <si>
    <t>돌산도</t>
    <phoneticPr fontId="1" type="noConversion"/>
  </si>
  <si>
    <t>유민상</t>
    <phoneticPr fontId="1" type="noConversion"/>
  </si>
  <si>
    <t>둘리</t>
    <phoneticPr fontId="1" type="noConversion"/>
  </si>
  <si>
    <t>젤리</t>
    <phoneticPr fontId="1" type="noConversion"/>
  </si>
  <si>
    <t>벽을 넘어서</t>
    <phoneticPr fontId="1" type="noConversion"/>
  </si>
  <si>
    <t>코리아나</t>
    <phoneticPr fontId="1" type="noConversion"/>
  </si>
  <si>
    <t>야구장에 날아든 비둘기를 공으로 맞힘</t>
    <phoneticPr fontId="1" type="noConversion"/>
  </si>
  <si>
    <t>한게임에 만루 홈런을 3번이나 기록</t>
    <phoneticPr fontId="1" type="noConversion"/>
  </si>
  <si>
    <t>아돌프 히틀러</t>
    <phoneticPr fontId="1" type="noConversion"/>
  </si>
  <si>
    <t>마틴 루터 킹</t>
    <phoneticPr fontId="1" type="noConversion"/>
  </si>
  <si>
    <t>카디건 – 카디건 백작</t>
    <phoneticPr fontId="1" type="noConversion"/>
  </si>
  <si>
    <t>버버리 코트 – 토마스 버버리</t>
    <phoneticPr fontId="1" type="noConversion"/>
  </si>
  <si>
    <t>독일</t>
    <phoneticPr fontId="1" type="noConversion"/>
  </si>
  <si>
    <t>아르헨티나</t>
    <phoneticPr fontId="1" type="noConversion"/>
  </si>
  <si>
    <t>아인슈타인</t>
    <phoneticPr fontId="1" type="noConversion"/>
  </si>
  <si>
    <t>루이 파스퇴르</t>
    <phoneticPr fontId="1" type="noConversion"/>
  </si>
  <si>
    <t>택시운전사</t>
    <phoneticPr fontId="1" type="noConversion"/>
  </si>
  <si>
    <t>올드보이</t>
    <phoneticPr fontId="1" type="noConversion"/>
  </si>
  <si>
    <t>정유년</t>
    <phoneticPr fontId="1" type="noConversion"/>
  </si>
  <si>
    <t>기해년</t>
    <phoneticPr fontId="1" type="noConversion"/>
  </si>
  <si>
    <t>나루토</t>
    <phoneticPr fontId="1" type="noConversion"/>
  </si>
  <si>
    <t>HDD</t>
    <phoneticPr fontId="1" type="noConversion"/>
  </si>
  <si>
    <t>리볼빙</t>
    <phoneticPr fontId="1" type="noConversion"/>
  </si>
  <si>
    <t>멕시코</t>
    <phoneticPr fontId="1" type="noConversion"/>
  </si>
  <si>
    <t>텍사스</t>
    <phoneticPr fontId="1" type="noConversion"/>
  </si>
  <si>
    <t>시방</t>
    <phoneticPr fontId="1" type="noConversion"/>
  </si>
  <si>
    <t>거시기</t>
    <phoneticPr fontId="1" type="noConversion"/>
  </si>
  <si>
    <t>한강수위 5.5m</t>
    <phoneticPr fontId="1" type="noConversion"/>
  </si>
  <si>
    <t>한강수위 7.2m</t>
    <phoneticPr fontId="1" type="noConversion"/>
  </si>
  <si>
    <t>브룩스의 법칙</t>
    <phoneticPr fontId="1" type="noConversion"/>
  </si>
  <si>
    <t>아이엠 그루트</t>
    <phoneticPr fontId="1" type="noConversion"/>
  </si>
  <si>
    <t>한그루</t>
    <phoneticPr fontId="1" type="noConversion"/>
  </si>
  <si>
    <t>스팸메일 (spam mail)</t>
    <phoneticPr fontId="1" type="noConversion"/>
  </si>
  <si>
    <t>한라산</t>
    <phoneticPr fontId="1" type="noConversion"/>
  </si>
  <si>
    <t>지리산</t>
    <phoneticPr fontId="1" type="noConversion"/>
  </si>
  <si>
    <t>포프모빌</t>
    <phoneticPr fontId="1" type="noConversion"/>
  </si>
  <si>
    <t>카톨릭모빌</t>
    <phoneticPr fontId="1" type="noConversion"/>
  </si>
  <si>
    <t>LCC</t>
    <phoneticPr fontId="1" type="noConversion"/>
  </si>
  <si>
    <t>미국 흑소</t>
    <phoneticPr fontId="1" type="noConversion"/>
  </si>
  <si>
    <t>캐나다</t>
    <phoneticPr fontId="1" type="noConversion"/>
  </si>
  <si>
    <t>사막</t>
    <phoneticPr fontId="1" type="noConversion"/>
  </si>
  <si>
    <t>오징어짬뽕</t>
    <phoneticPr fontId="1" type="noConversion"/>
  </si>
  <si>
    <t>참깨라면</t>
    <phoneticPr fontId="1" type="noConversion"/>
  </si>
  <si>
    <t>무파마</t>
    <phoneticPr fontId="1" type="noConversion"/>
  </si>
  <si>
    <t>에걔</t>
    <phoneticPr fontId="1" type="noConversion"/>
  </si>
  <si>
    <t>에계</t>
    <phoneticPr fontId="1" type="noConversion"/>
  </si>
  <si>
    <t>퍼스트 크루</t>
    <phoneticPr fontId="1" type="noConversion"/>
  </si>
  <si>
    <t>퍼스트 어벤져</t>
    <phoneticPr fontId="1" type="noConversion"/>
  </si>
  <si>
    <t>센바람</t>
    <phoneticPr fontId="1" type="noConversion"/>
  </si>
  <si>
    <t>남녀칠세 부동산</t>
    <phoneticPr fontId="1" type="noConversion"/>
  </si>
  <si>
    <t xml:space="preserve"> 걸어다니면 스마트폰을 하는 사람을 뜻하는 신조어는?</t>
    <phoneticPr fontId="1" type="noConversion"/>
  </si>
  <si>
    <t>나야나</t>
    <phoneticPr fontId="1" type="noConversion"/>
  </si>
  <si>
    <t>사랑비</t>
    <phoneticPr fontId="1" type="noConversion"/>
  </si>
  <si>
    <t>크라이슬러</t>
    <phoneticPr fontId="1" type="noConversion"/>
  </si>
  <si>
    <t>김제동 초등학교</t>
    <phoneticPr fontId="1" type="noConversion"/>
  </si>
  <si>
    <t>전투</t>
    <phoneticPr fontId="1" type="noConversion"/>
  </si>
  <si>
    <t>함께 공부를 하다</t>
    <phoneticPr fontId="1" type="noConversion"/>
  </si>
  <si>
    <t>함께 술을 마시다</t>
    <phoneticPr fontId="1" type="noConversion"/>
  </si>
  <si>
    <t>겨울왕국</t>
    <phoneticPr fontId="1" type="noConversion"/>
  </si>
  <si>
    <t>설국열차</t>
    <phoneticPr fontId="1" type="noConversion"/>
  </si>
  <si>
    <t>인터스텔라</t>
    <phoneticPr fontId="1" type="noConversion"/>
  </si>
  <si>
    <t>소라</t>
    <phoneticPr fontId="1" type="noConversion"/>
  </si>
  <si>
    <t>굴</t>
    <phoneticPr fontId="1" type="noConversion"/>
  </si>
  <si>
    <t>결혼할 때</t>
    <phoneticPr fontId="1" type="noConversion"/>
  </si>
  <si>
    <t>돌멩이</t>
    <phoneticPr fontId="1" type="noConversion"/>
  </si>
  <si>
    <t>스튜디오</t>
    <phoneticPr fontId="1" type="noConversion"/>
  </si>
  <si>
    <t>센과 치히로의 행방불명</t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</si>
  <si>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</si>
  <si>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</si>
  <si>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</si>
  <si>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t>세이의 법칙</t>
    <phoneticPr fontId="1" type="noConversion"/>
  </si>
  <si>
    <t>20년</t>
    <phoneticPr fontId="1" type="noConversion"/>
  </si>
  <si>
    <t>개근면상</t>
    <phoneticPr fontId="1" type="noConversion"/>
  </si>
  <si>
    <t>꿈틀</t>
    <phoneticPr fontId="1" type="noConversion"/>
  </si>
  <si>
    <t>때려치기</t>
    <phoneticPr fontId="1" type="noConversion"/>
  </si>
  <si>
    <t>맘마미아</t>
    <phoneticPr fontId="1" type="noConversion"/>
  </si>
  <si>
    <t>크레이지 드라이버</t>
    <phoneticPr fontId="1" type="noConversion"/>
  </si>
  <si>
    <t>적색수배</t>
    <phoneticPr fontId="1" type="noConversion"/>
  </si>
  <si>
    <t>신호등 클럽</t>
    <phoneticPr fontId="1" type="noConversion"/>
  </si>
  <si>
    <t>심봉사 클럽</t>
    <phoneticPr fontId="1" type="noConversion"/>
  </si>
  <si>
    <t>그랑블루</t>
    <phoneticPr fontId="1" type="noConversion"/>
  </si>
  <si>
    <t>오션스8</t>
    <phoneticPr fontId="1" type="noConversion"/>
  </si>
  <si>
    <t>아유레디</t>
    <phoneticPr fontId="1" type="noConversion"/>
  </si>
  <si>
    <t>베릴륨</t>
    <phoneticPr fontId="1" type="noConversion"/>
  </si>
  <si>
    <t>Football</t>
    <phoneticPr fontId="1" type="noConversion"/>
  </si>
  <si>
    <t>스웨덴</t>
    <phoneticPr fontId="1" type="noConversion"/>
  </si>
  <si>
    <t>흰색-파란색-빨간색(가로줄)</t>
    <phoneticPr fontId="1" type="noConversion"/>
  </si>
  <si>
    <t>영국</t>
    <phoneticPr fontId="1" type="noConversion"/>
  </si>
  <si>
    <t>18명</t>
    <phoneticPr fontId="1" type="noConversion"/>
  </si>
  <si>
    <t>23명</t>
    <phoneticPr fontId="1" type="noConversion"/>
  </si>
  <si>
    <t>팀가이스트</t>
    <phoneticPr fontId="1" type="noConversion"/>
  </si>
  <si>
    <t>골든골(Golden goal)</t>
    <phoneticPr fontId="1" type="noConversion"/>
  </si>
  <si>
    <t>골든부트(Golden boot)</t>
    <phoneticPr fontId="1" type="noConversion"/>
  </si>
  <si>
    <t>4위</t>
    <phoneticPr fontId="1" type="noConversion"/>
  </si>
  <si>
    <t>토고</t>
    <phoneticPr fontId="1" type="noConversion"/>
  </si>
  <si>
    <t>폴란드</t>
    <phoneticPr fontId="1" type="noConversion"/>
  </si>
  <si>
    <t>게르트 뮐러</t>
    <phoneticPr fontId="1" type="noConversion"/>
  </si>
  <si>
    <t>Ctrl+S – 실행 취소하기</t>
    <phoneticPr fontId="1" type="noConversion"/>
  </si>
  <si>
    <t>히딩크</t>
    <phoneticPr fontId="1" type="noConversion"/>
  </si>
  <si>
    <t>1911~1945년</t>
    <phoneticPr fontId="1" type="noConversion"/>
  </si>
  <si>
    <t>1918~1945년</t>
    <phoneticPr fontId="1" type="noConversion"/>
  </si>
  <si>
    <t>워런치</t>
    <phoneticPr fontId="1" type="noConversion"/>
  </si>
  <si>
    <t>알데스코</t>
    <phoneticPr fontId="1" type="noConversion"/>
  </si>
  <si>
    <t>토착민과 이주민</t>
    <phoneticPr fontId="1" type="noConversion"/>
  </si>
  <si>
    <t>영국과 프랑스</t>
    <phoneticPr fontId="1" type="noConversion"/>
  </si>
  <si>
    <t>경험</t>
    <phoneticPr fontId="1" type="noConversion"/>
  </si>
  <si>
    <t>대한민국</t>
    <phoneticPr fontId="1" type="noConversion"/>
  </si>
  <si>
    <t>체코</t>
    <phoneticPr fontId="1" type="noConversion"/>
  </si>
  <si>
    <t>장쇠를 하다</t>
    <phoneticPr fontId="1" type="noConversion"/>
  </si>
  <si>
    <t>레이니즘</t>
    <phoneticPr fontId="1" type="noConversion"/>
  </si>
  <si>
    <t>이집트</t>
    <phoneticPr fontId="1" type="noConversion"/>
  </si>
  <si>
    <t>박쥐</t>
    <phoneticPr fontId="1" type="noConversion"/>
  </si>
  <si>
    <t>펭귄</t>
    <phoneticPr fontId="1" type="noConversion"/>
  </si>
  <si>
    <t>명량대첩</t>
    <phoneticPr fontId="1" type="noConversion"/>
  </si>
  <si>
    <t>샤케라또</t>
    <phoneticPr fontId="1" type="noConversion"/>
  </si>
  <si>
    <t>뱅쇼</t>
    <phoneticPr fontId="1" type="noConversion"/>
  </si>
  <si>
    <t>봉주르</t>
    <phoneticPr fontId="1" type="noConversion"/>
  </si>
  <si>
    <t>바이럴 마케팅</t>
    <phoneticPr fontId="1" type="noConversion"/>
  </si>
  <si>
    <t>포크너리즘</t>
    <phoneticPr fontId="1" type="noConversion"/>
  </si>
  <si>
    <t>아이디</t>
    <phoneticPr fontId="1" type="noConversion"/>
  </si>
  <si>
    <t>4개</t>
    <phoneticPr fontId="1" type="noConversion"/>
  </si>
  <si>
    <t>5개</t>
    <phoneticPr fontId="1" type="noConversion"/>
  </si>
  <si>
    <t>6개</t>
    <phoneticPr fontId="1" type="noConversion"/>
  </si>
  <si>
    <t>러시안 불루</t>
    <phoneticPr fontId="1" type="noConversion"/>
  </si>
  <si>
    <t>그레이트 데인</t>
    <phoneticPr fontId="1" type="noConversion"/>
  </si>
  <si>
    <t>밥</t>
    <phoneticPr fontId="1" type="noConversion"/>
  </si>
  <si>
    <t>떡</t>
    <phoneticPr fontId="1" type="noConversion"/>
  </si>
  <si>
    <t>조지 워싱턴</t>
    <phoneticPr fontId="1" type="noConversion"/>
  </si>
  <si>
    <t>벤자민 프랭클린</t>
    <phoneticPr fontId="1" type="noConversion"/>
  </si>
  <si>
    <t>오스트레일리아</t>
    <phoneticPr fontId="1" type="noConversion"/>
  </si>
  <si>
    <t>덥썩</t>
    <phoneticPr fontId="1" type="noConversion"/>
  </si>
  <si>
    <t>루비듐 – 빨간색</t>
    <phoneticPr fontId="1" type="noConversion"/>
  </si>
  <si>
    <t>헤드샷</t>
    <phoneticPr fontId="1" type="noConversion"/>
  </si>
  <si>
    <t>화이트</t>
    <phoneticPr fontId="1" type="noConversion"/>
  </si>
  <si>
    <t>옐로우</t>
    <phoneticPr fontId="1" type="noConversion"/>
  </si>
  <si>
    <t>다이아</t>
    <phoneticPr fontId="1" type="noConversion"/>
  </si>
  <si>
    <t>렘브란트</t>
    <phoneticPr fontId="1" type="noConversion"/>
  </si>
  <si>
    <t>하루살이</t>
    <phoneticPr fontId="1" type="noConversion"/>
  </si>
  <si>
    <t>빠꿈살이</t>
    <phoneticPr fontId="1" type="noConversion"/>
  </si>
  <si>
    <t>로키</t>
    <phoneticPr fontId="1" type="noConversion"/>
  </si>
  <si>
    <t>안데스</t>
    <phoneticPr fontId="1" type="noConversion"/>
  </si>
  <si>
    <t>익스플로러 1호</t>
    <phoneticPr fontId="1" type="noConversion"/>
  </si>
  <si>
    <t>니플헤임</t>
    <phoneticPr fontId="1" type="noConversion"/>
  </si>
  <si>
    <t>사자</t>
    <phoneticPr fontId="1" type="noConversion"/>
  </si>
  <si>
    <t>스파이 세금</t>
    <phoneticPr fontId="1" type="noConversion"/>
  </si>
  <si>
    <t>시베리아 기단</t>
    <phoneticPr fontId="1" type="noConversion"/>
  </si>
  <si>
    <t>양쯔강 기단</t>
    <phoneticPr fontId="1" type="noConversion"/>
  </si>
  <si>
    <t>스폿 뉴스</t>
    <phoneticPr fontId="1" type="noConversion"/>
  </si>
  <si>
    <t>뇌 딸꾹질</t>
    <phoneticPr fontId="1" type="noConversion"/>
  </si>
  <si>
    <t>나 홀로 집에 2</t>
    <phoneticPr fontId="1" type="noConversion"/>
  </si>
  <si>
    <t>투 윅스 노티스</t>
    <phoneticPr fontId="1" type="noConversion"/>
  </si>
  <si>
    <t>아카데미상</t>
    <phoneticPr fontId="1" type="noConversion"/>
  </si>
  <si>
    <t>맘보</t>
    <phoneticPr fontId="1" type="noConversion"/>
  </si>
  <si>
    <t>폭죽</t>
    <phoneticPr fontId="1" type="noConversion"/>
  </si>
  <si>
    <t>호랑이</t>
    <phoneticPr fontId="1" type="noConversion"/>
  </si>
  <si>
    <t>셜록 홈즈</t>
    <phoneticPr fontId="1" type="noConversion"/>
  </si>
  <si>
    <t>닥터 스트레인지</t>
  </si>
  <si>
    <t>메라비언의 법칙</t>
    <phoneticPr fontId="1" type="noConversion"/>
  </si>
  <si>
    <t>베블런 효과</t>
    <phoneticPr fontId="1" type="noConversion"/>
  </si>
  <si>
    <t>도자기 파편</t>
    <phoneticPr fontId="1" type="noConversion"/>
  </si>
  <si>
    <t>애초</t>
    <phoneticPr fontId="1" type="noConversion"/>
  </si>
  <si>
    <t>빈집쇼크</t>
    <phoneticPr fontId="1" type="noConversion"/>
  </si>
  <si>
    <t>다산 정약용</t>
    <phoneticPr fontId="1" type="noConversion"/>
  </si>
  <si>
    <t>나 혼자 산다</t>
    <phoneticPr fontId="1" type="noConversion"/>
  </si>
  <si>
    <t>포켓볼</t>
    <phoneticPr fontId="1" type="noConversion"/>
  </si>
  <si>
    <t>천천히 뛰기</t>
    <phoneticPr fontId="1" type="noConversion"/>
  </si>
  <si>
    <t>오픈 워터</t>
    <phoneticPr fontId="1" type="noConversion"/>
  </si>
  <si>
    <t>할아버지의 명예를 걸고</t>
    <phoneticPr fontId="1" type="noConversion"/>
  </si>
  <si>
    <t>2018 평창동계올림픽대회</t>
    <phoneticPr fontId="1" type="noConversion"/>
  </si>
  <si>
    <t>양화대교</t>
    <phoneticPr fontId="1" type="noConversion"/>
  </si>
  <si>
    <t>SMAP</t>
    <phoneticPr fontId="1" type="noConversion"/>
  </si>
  <si>
    <t>ASMR</t>
    <phoneticPr fontId="1" type="noConversion"/>
  </si>
  <si>
    <t>사우디아라비아</t>
    <phoneticPr fontId="1" type="noConversion"/>
  </si>
  <si>
    <t>진도 아리랑</t>
    <phoneticPr fontId="1" type="noConversion"/>
  </si>
  <si>
    <t>토성</t>
    <phoneticPr fontId="1" type="noConversion"/>
  </si>
  <si>
    <t>강화도</t>
    <phoneticPr fontId="1" type="noConversion"/>
  </si>
  <si>
    <t>아리스토텔레스</t>
    <phoneticPr fontId="1" type="noConversion"/>
  </si>
  <si>
    <t>zoom out</t>
    <phoneticPr fontId="1" type="noConversion"/>
  </si>
  <si>
    <t>시카고 파일</t>
    <phoneticPr fontId="1" type="noConversion"/>
  </si>
  <si>
    <t>16배</t>
    <phoneticPr fontId="1" type="noConversion"/>
  </si>
  <si>
    <t>빗썸</t>
    <phoneticPr fontId="1" type="noConversion"/>
  </si>
  <si>
    <t>도깨비</t>
    <phoneticPr fontId="1" type="noConversion"/>
  </si>
  <si>
    <t>토니 스타크</t>
    <phoneticPr fontId="1" type="noConversion"/>
  </si>
  <si>
    <t>호모 파베르</t>
    <phoneticPr fontId="1" type="noConversion"/>
  </si>
  <si>
    <t>떡밥</t>
    <phoneticPr fontId="1" type="noConversion"/>
  </si>
  <si>
    <t>도리스 레싱</t>
    <phoneticPr fontId="1" type="noConversion"/>
  </si>
  <si>
    <t>경무관</t>
    <phoneticPr fontId="1" type="noConversion"/>
  </si>
  <si>
    <t>공룡</t>
    <phoneticPr fontId="1" type="noConversion"/>
  </si>
  <si>
    <t>이란</t>
    <phoneticPr fontId="1" type="noConversion"/>
  </si>
  <si>
    <t>카타르</t>
    <phoneticPr fontId="1" type="noConversion"/>
  </si>
  <si>
    <t>브라질</t>
    <phoneticPr fontId="1" type="noConversion"/>
  </si>
  <si>
    <t>포르투갈</t>
    <phoneticPr fontId="1" type="noConversion"/>
  </si>
  <si>
    <t>54초</t>
    <phoneticPr fontId="1" type="noConversion"/>
  </si>
  <si>
    <t>1분 32초</t>
    <phoneticPr fontId="1" type="noConversion"/>
  </si>
  <si>
    <t>월남치마</t>
    <phoneticPr fontId="1" type="noConversion"/>
  </si>
  <si>
    <t>다홍치마</t>
    <phoneticPr fontId="1" type="noConversion"/>
  </si>
  <si>
    <t>소크라테스</t>
    <phoneticPr fontId="1" type="noConversion"/>
  </si>
  <si>
    <t>한국</t>
    <phoneticPr fontId="1" type="noConversion"/>
  </si>
  <si>
    <t>신윤복</t>
    <phoneticPr fontId="1" type="noConversion"/>
  </si>
  <si>
    <t>익히지 않은 생선</t>
    <phoneticPr fontId="1" type="noConversion"/>
  </si>
  <si>
    <t>삶은 고구마</t>
    <phoneticPr fontId="1" type="noConversion"/>
  </si>
  <si>
    <t>로튼 멜론</t>
    <phoneticPr fontId="1" type="noConversion"/>
  </si>
  <si>
    <t>일반 상대성 이론</t>
    <phoneticPr fontId="1" type="noConversion"/>
  </si>
  <si>
    <t>특수 상대성 이론</t>
    <phoneticPr fontId="1" type="noConversion"/>
  </si>
  <si>
    <t>싱글 아이리시</t>
    <phoneticPr fontId="1" type="noConversion"/>
  </si>
  <si>
    <t>더블 아이리시</t>
    <phoneticPr fontId="1" type="noConversion"/>
  </si>
  <si>
    <t>쥐</t>
    <phoneticPr fontId="1" type="noConversion"/>
  </si>
  <si>
    <t>도둑</t>
    <phoneticPr fontId="1" type="noConversion"/>
  </si>
  <si>
    <t>순대</t>
    <phoneticPr fontId="1" type="noConversion"/>
  </si>
  <si>
    <t>Josun Security Area</t>
    <phoneticPr fontId="1" type="noConversion"/>
  </si>
  <si>
    <t>Justics Security Area</t>
    <phoneticPr fontId="1" type="noConversion"/>
  </si>
  <si>
    <t>코셔</t>
    <phoneticPr fontId="1" type="noConversion"/>
  </si>
  <si>
    <t>할랄</t>
    <phoneticPr fontId="1" type="noConversion"/>
  </si>
  <si>
    <t>중식</t>
    <phoneticPr fontId="1" type="noConversion"/>
  </si>
  <si>
    <t>파랑</t>
    <phoneticPr fontId="1" type="noConversion"/>
  </si>
  <si>
    <t>보라</t>
    <phoneticPr fontId="1" type="noConversion"/>
  </si>
  <si>
    <t>간</t>
    <phoneticPr fontId="1" type="noConversion"/>
  </si>
  <si>
    <t>리베로</t>
    <phoneticPr fontId="1" type="noConversion"/>
  </si>
  <si>
    <t>워버 럭셔리</t>
    <phoneticPr fontId="1" type="noConversion"/>
  </si>
  <si>
    <t>아르타니스</t>
    <phoneticPr fontId="1" type="noConversion"/>
  </si>
  <si>
    <t>갑오개혁</t>
    <phoneticPr fontId="1" type="noConversion"/>
  </si>
  <si>
    <t>더치 페이</t>
    <phoneticPr fontId="1" type="noConversion"/>
  </si>
  <si>
    <t>팬덤</t>
    <phoneticPr fontId="1" type="noConversion"/>
  </si>
  <si>
    <t>브루노 마스</t>
    <phoneticPr fontId="1" type="noConversion"/>
  </si>
  <si>
    <t>USS 칼 빈슨</t>
    <phoneticPr fontId="1" type="noConversion"/>
  </si>
  <si>
    <t>포토스팟</t>
    <phoneticPr fontId="1" type="noConversion"/>
  </si>
  <si>
    <t>태학</t>
    <phoneticPr fontId="1" type="noConversion"/>
  </si>
  <si>
    <t>규장각</t>
    <phoneticPr fontId="1" type="noConversion"/>
  </si>
  <si>
    <t>서재</t>
    <phoneticPr fontId="1" type="noConversion"/>
  </si>
  <si>
    <t>10만원</t>
    <phoneticPr fontId="1" type="noConversion"/>
  </si>
  <si>
    <t>30만원</t>
    <phoneticPr fontId="1" type="noConversion"/>
  </si>
  <si>
    <t>다크 투어리즘</t>
    <phoneticPr fontId="1" type="noConversion"/>
  </si>
  <si>
    <t>데스 투어리즘</t>
    <phoneticPr fontId="1" type="noConversion"/>
  </si>
  <si>
    <t>스토킹</t>
    <phoneticPr fontId="1" type="noConversion"/>
  </si>
  <si>
    <t>설탕</t>
    <phoneticPr fontId="1" type="noConversion"/>
  </si>
  <si>
    <t>현진영</t>
    <phoneticPr fontId="1" type="noConversion"/>
  </si>
  <si>
    <t>현진건</t>
    <phoneticPr fontId="1" type="noConversion"/>
  </si>
  <si>
    <t>VBR</t>
    <phoneticPr fontId="1" type="noConversion"/>
  </si>
  <si>
    <t>몬트 이글 가면</t>
    <phoneticPr fontId="1" type="noConversion"/>
  </si>
  <si>
    <t>엘런 무어 가면</t>
    <phoneticPr fontId="1" type="noConversion"/>
  </si>
  <si>
    <t>무궁화장 (고 김종필 국무총리 하사받음)</t>
    <phoneticPr fontId="1" type="noConversion"/>
  </si>
  <si>
    <t>날 웃기고 가라</t>
    <phoneticPr fontId="1" type="noConversion"/>
  </si>
  <si>
    <t>김경호</t>
    <phoneticPr fontId="1" type="noConversion"/>
  </si>
  <si>
    <t>태평양</t>
    <phoneticPr fontId="1" type="noConversion"/>
  </si>
  <si>
    <t>악동뮤지션</t>
    <phoneticPr fontId="1" type="noConversion"/>
  </si>
  <si>
    <t>멜로망스</t>
    <phoneticPr fontId="1" type="noConversion"/>
  </si>
  <si>
    <t>60분</t>
    <phoneticPr fontId="1" type="noConversion"/>
  </si>
  <si>
    <t>배</t>
    <phoneticPr fontId="1" type="noConversion"/>
  </si>
  <si>
    <t>헤스티아</t>
    <phoneticPr fontId="1" type="noConversion"/>
  </si>
  <si>
    <t>extra</t>
    <phoneticPr fontId="1" type="noConversion"/>
  </si>
  <si>
    <t>개</t>
    <phoneticPr fontId="1" type="noConversion"/>
  </si>
  <si>
    <t>원숭이</t>
    <phoneticPr fontId="1" type="noConversion"/>
  </si>
  <si>
    <t>프라하</t>
    <phoneticPr fontId="1" type="noConversion"/>
  </si>
  <si>
    <t>프리웨어</t>
    <phoneticPr fontId="1" type="noConversion"/>
  </si>
  <si>
    <t xml:space="preserve">랜섬웨어 </t>
    <phoneticPr fontId="1" type="noConversion"/>
  </si>
  <si>
    <t>탕평책</t>
    <phoneticPr fontId="1" type="noConversion"/>
  </si>
  <si>
    <t>김영권</t>
    <phoneticPr fontId="1" type="noConversion"/>
  </si>
  <si>
    <t>지니계수</t>
    <phoneticPr fontId="1" type="noConversion"/>
  </si>
  <si>
    <t>계수나무</t>
    <phoneticPr fontId="1" type="noConversion"/>
  </si>
  <si>
    <t>정당방위</t>
    <phoneticPr fontId="1" type="noConversion"/>
  </si>
  <si>
    <t>중국</t>
    <phoneticPr fontId="1" type="noConversion"/>
  </si>
  <si>
    <t>미국</t>
    <phoneticPr fontId="1" type="noConversion"/>
  </si>
  <si>
    <t>353K(켈빈)</t>
    <phoneticPr fontId="1" type="noConversion"/>
  </si>
  <si>
    <t>.No more dream</t>
    <phoneticPr fontId="1" type="noConversion"/>
  </si>
  <si>
    <t>내전</t>
    <phoneticPr fontId="1" type="noConversion"/>
  </si>
  <si>
    <t>화이팅</t>
    <phoneticPr fontId="1" type="noConversion"/>
  </si>
  <si>
    <t>우남</t>
    <phoneticPr fontId="1" type="noConversion"/>
  </si>
  <si>
    <t>레인보우칼라</t>
    <phoneticPr fontId="1" type="noConversion"/>
  </si>
  <si>
    <t xml:space="preserve">슈츠 </t>
    <phoneticPr fontId="1" type="noConversion"/>
  </si>
  <si>
    <t xml:space="preserve">김재환 </t>
    <phoneticPr fontId="1" type="noConversion"/>
  </si>
  <si>
    <t>펜타곤</t>
    <phoneticPr fontId="1" type="noConversion"/>
  </si>
  <si>
    <t>갓세븐</t>
    <phoneticPr fontId="1" type="noConversion"/>
  </si>
  <si>
    <t>동 녘과 해잘녘</t>
    <phoneticPr fontId="1" type="noConversion"/>
  </si>
  <si>
    <t>사각지대</t>
    <phoneticPr fontId="1" type="noConversion"/>
  </si>
  <si>
    <t>초승달</t>
    <phoneticPr fontId="1" type="noConversion"/>
  </si>
  <si>
    <t>별</t>
    <phoneticPr fontId="1" type="noConversion"/>
  </si>
  <si>
    <t>해</t>
    <phoneticPr fontId="1" type="noConversion"/>
  </si>
  <si>
    <t>벨리즈</t>
    <phoneticPr fontId="1" type="noConversion"/>
  </si>
  <si>
    <t>4번</t>
    <phoneticPr fontId="1" type="noConversion"/>
  </si>
  <si>
    <t>사라판</t>
    <phoneticPr fontId="1" type="noConversion"/>
  </si>
  <si>
    <t>같다</t>
    <phoneticPr fontId="1" type="noConversion"/>
  </si>
  <si>
    <t>초가삼간</t>
    <phoneticPr fontId="1" type="noConversion"/>
  </si>
  <si>
    <t>오리무중</t>
    <phoneticPr fontId="1" type="noConversion"/>
  </si>
  <si>
    <t>티라노사우루스</t>
    <phoneticPr fontId="1" type="noConversion"/>
  </si>
  <si>
    <t>카르노타우루스</t>
    <phoneticPr fontId="1" type="noConversion"/>
  </si>
  <si>
    <t>군산오름</t>
    <phoneticPr fontId="1" type="noConversion"/>
  </si>
  <si>
    <t>부산오름</t>
    <phoneticPr fontId="1" type="noConversion"/>
  </si>
  <si>
    <t>오스트레일리아</t>
    <phoneticPr fontId="1" type="noConversion"/>
  </si>
  <si>
    <t>그리스</t>
    <phoneticPr fontId="1" type="noConversion"/>
  </si>
  <si>
    <t>빛</t>
    <phoneticPr fontId="1" type="noConversion"/>
  </si>
  <si>
    <t>2000M 달리기</t>
    <phoneticPr fontId="1" type="noConversion"/>
  </si>
  <si>
    <t>스위스</t>
    <phoneticPr fontId="1" type="noConversion"/>
  </si>
  <si>
    <t>솔방울도마뱀</t>
    <phoneticPr fontId="1" type="noConversion"/>
  </si>
  <si>
    <t>귤</t>
    <phoneticPr fontId="1" type="noConversion"/>
  </si>
  <si>
    <t>검은색</t>
    <phoneticPr fontId="1" type="noConversion"/>
  </si>
  <si>
    <t>검정색</t>
    <phoneticPr fontId="1" type="noConversion"/>
  </si>
  <si>
    <t>Water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</si>
  <si>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</si>
  <si>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</si>
  <si>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</si>
  <si>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</si>
  <si>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</si>
  <si>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</si>
  <si>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이영애초등학교</t>
    <phoneticPr fontId="1" type="noConversion"/>
  </si>
  <si>
    <t>이효리초등학교</t>
    <phoneticPr fontId="1" type="noConversion"/>
  </si>
  <si>
    <t>남자만</t>
    <phoneticPr fontId="1" type="noConversion"/>
  </si>
  <si>
    <t>누름 돌</t>
    <phoneticPr fontId="1" type="noConversion"/>
  </si>
  <si>
    <t>김치</t>
    <phoneticPr fontId="1" type="noConversion"/>
  </si>
  <si>
    <t>하지</t>
    <phoneticPr fontId="1" type="noConversion"/>
  </si>
  <si>
    <t>115살</t>
    <phoneticPr fontId="1" type="noConversion"/>
  </si>
  <si>
    <t xml:space="preserve">될 대로 되라 </t>
    <phoneticPr fontId="1" type="noConversion"/>
  </si>
  <si>
    <t xml:space="preserve">네 멋대로 살아라 </t>
    <phoneticPr fontId="1" type="noConversion"/>
  </si>
  <si>
    <t>핑핑</t>
    <phoneticPr fontId="1" type="noConversion"/>
  </si>
  <si>
    <t>아르헨티나</t>
    <phoneticPr fontId="1" type="noConversion"/>
  </si>
  <si>
    <t>감탄고토</t>
    <phoneticPr fontId="1" type="noConversion"/>
  </si>
  <si>
    <t>괄목상대</t>
    <phoneticPr fontId="1" type="noConversion"/>
  </si>
  <si>
    <t>영국과 프랑스</t>
    <phoneticPr fontId="1" type="noConversion"/>
  </si>
  <si>
    <t>태평양과 대서양</t>
    <phoneticPr fontId="1" type="noConversion"/>
  </si>
  <si>
    <t>왕바람</t>
    <phoneticPr fontId="1" type="noConversion"/>
  </si>
  <si>
    <t xml:space="preserve">광안대교 </t>
    <phoneticPr fontId="1" type="noConversion"/>
  </si>
  <si>
    <t>영도대교</t>
    <phoneticPr fontId="1" type="noConversion"/>
  </si>
  <si>
    <t xml:space="preserve">코드 스위칭 </t>
    <phoneticPr fontId="1" type="noConversion"/>
  </si>
  <si>
    <t xml:space="preserve">몬트 이글 가면 </t>
    <phoneticPr fontId="1" type="noConversion"/>
  </si>
  <si>
    <t>가이 포크스 가면</t>
    <phoneticPr fontId="1" type="noConversion"/>
  </si>
  <si>
    <t xml:space="preserve">모란장 </t>
    <phoneticPr fontId="1" type="noConversion"/>
  </si>
  <si>
    <t xml:space="preserve">세종 </t>
    <phoneticPr fontId="1" type="noConversion"/>
  </si>
  <si>
    <t>제주</t>
    <phoneticPr fontId="1" type="noConversion"/>
  </si>
  <si>
    <t xml:space="preserve"> 다음 중 노동3권이 아닌 것은?</t>
    <phoneticPr fontId="1" type="noConversion"/>
  </si>
  <si>
    <t>    칼퇴보장권</t>
    <phoneticPr fontId="1" type="noConversion"/>
  </si>
  <si>
    <t xml:space="preserve">    단채행동권 </t>
    <phoneticPr fontId="1" type="noConversion"/>
  </si>
  <si>
    <t>    액티브 시니어</t>
    <phoneticPr fontId="1" type="noConversion"/>
  </si>
  <si>
    <t xml:space="preserve"> 크루아상은 무엇을 본 따 만든 빵인가?</t>
    <phoneticPr fontId="1" type="noConversion"/>
  </si>
  <si>
    <t>    초승달</t>
    <phoneticPr fontId="1" type="noConversion"/>
  </si>
  <si>
    <t xml:space="preserve"> 역대 스파이더맨을 연기한 배우가 아닌 사람은?</t>
    <phoneticPr fontId="1" type="noConversion"/>
  </si>
  <si>
    <t>    토비 맥콰이어</t>
    <phoneticPr fontId="1" type="noConversion"/>
  </si>
  <si>
    <t xml:space="preserve"> 기다리는 마음이 간절하다는 뜻의 “일각이 00같다”에 들어갈 말은?</t>
    <phoneticPr fontId="1" type="noConversion"/>
  </si>
  <si>
    <t>상추</t>
    <phoneticPr fontId="1" type="noConversion"/>
  </si>
  <si>
    <t>삼추</t>
    <phoneticPr fontId="1" type="noConversion"/>
  </si>
  <si>
    <t>4개</t>
    <phoneticPr fontId="1" type="noConversion"/>
  </si>
  <si>
    <t>5개</t>
    <phoneticPr fontId="1" type="noConversion"/>
  </si>
  <si>
    <t xml:space="preserve"> 북대서양에서 발생하는 열대저기압은?</t>
    <phoneticPr fontId="1" type="noConversion"/>
  </si>
  <si>
    <t>강화도</t>
    <phoneticPr fontId="1" type="noConversion"/>
  </si>
  <si>
    <t>양꼬치</t>
    <phoneticPr fontId="1" type="noConversion"/>
  </si>
  <si>
    <t>눈</t>
    <phoneticPr fontId="1" type="noConversion"/>
  </si>
  <si>
    <t xml:space="preserve"> 다음 중 가장 방영기간이 긴 프로그램은?</t>
    <phoneticPr fontId="1" type="noConversion"/>
  </si>
  <si>
    <t>전원일기</t>
    <phoneticPr fontId="1" type="noConversion"/>
  </si>
  <si>
    <t>전국노래자랑</t>
    <phoneticPr fontId="1" type="noConversion"/>
  </si>
  <si>
    <t>종묘</t>
    <phoneticPr fontId="1" type="noConversion"/>
  </si>
  <si>
    <t>‘바다의 인삼’으로 불리며 주로 날것으로 먹는 이것은?</t>
    <phoneticPr fontId="1" type="noConversion"/>
  </si>
  <si>
    <t>멍게</t>
    <phoneticPr fontId="1" type="noConversion"/>
  </si>
  <si>
    <t>말미잘</t>
    <phoneticPr fontId="1" type="noConversion"/>
  </si>
  <si>
    <t xml:space="preserve"> 목관 5중주에 사용하는 악기가 아닌 것은?</t>
    <phoneticPr fontId="1" type="noConversion"/>
  </si>
  <si>
    <t>오보에</t>
    <phoneticPr fontId="1" type="noConversion"/>
  </si>
  <si>
    <t>조지훈</t>
    <phoneticPr fontId="1" type="noConversion"/>
  </si>
  <si>
    <t xml:space="preserve"> 국제우주정거장 건설에 참여하는 국가가 아닌 것은?</t>
    <phoneticPr fontId="1" type="noConversion"/>
  </si>
  <si>
    <t>이탈리아</t>
    <phoneticPr fontId="1" type="noConversion"/>
  </si>
  <si>
    <t xml:space="preserve"> Apple사의 역대 CEO가 아닌 사람은?</t>
    <phoneticPr fontId="1" type="noConversion"/>
  </si>
  <si>
    <t>마이클 존슨</t>
    <phoneticPr fontId="1" type="noConversion"/>
  </si>
  <si>
    <t xml:space="preserve"> 미래학자 ‘엘빈 토플러’가 말한 &lt;권력의 세가지 원천&gt;이 아닌 것은?</t>
    <phoneticPr fontId="1" type="noConversion"/>
  </si>
  <si>
    <t>신체</t>
    <phoneticPr fontId="1" type="noConversion"/>
  </si>
  <si>
    <t>블랙 닷 캠페인</t>
    <phoneticPr fontId="1" type="noConversion"/>
  </si>
  <si>
    <t>아이스 버킷 챌린지</t>
    <phoneticPr fontId="1" type="noConversion"/>
  </si>
  <si>
    <t xml:space="preserve"> 《우도, 회황, 잼》 다음에서 연상되는 것은?</t>
    <phoneticPr fontId="1" type="noConversion"/>
  </si>
  <si>
    <t>별을 향해 나아가다</t>
    <phoneticPr fontId="1" type="noConversion"/>
  </si>
  <si>
    <t xml:space="preserve"> 영화에서 존경의 표시로 다른 작품의 주요 장면이나 대사를 인용하는 것은?</t>
    <phoneticPr fontId="1" type="noConversion"/>
  </si>
  <si>
    <t>생선 회</t>
    <phoneticPr fontId="1" type="noConversion"/>
  </si>
  <si>
    <t>모이다</t>
    <phoneticPr fontId="1" type="noConversion"/>
  </si>
  <si>
    <t>돌아오다</t>
    <phoneticPr fontId="1" type="noConversion"/>
  </si>
  <si>
    <t>족제비</t>
    <phoneticPr fontId="1" type="noConversion"/>
  </si>
  <si>
    <t>신숙주 – 삼우당</t>
    <phoneticPr fontId="1" type="noConversion"/>
  </si>
  <si>
    <t>김홍집 – 도원</t>
    <phoneticPr fontId="1" type="noConversion"/>
  </si>
  <si>
    <t>테란</t>
    <phoneticPr fontId="1" type="noConversion"/>
  </si>
  <si>
    <t>들국화</t>
    <phoneticPr fontId="1" type="noConversion"/>
  </si>
  <si>
    <t>무궁화</t>
    <phoneticPr fontId="1" type="noConversion"/>
  </si>
  <si>
    <t>프로폴리스</t>
    <phoneticPr fontId="1" type="noConversion"/>
  </si>
  <si>
    <t xml:space="preserve"> 순우리말로 ‘달포’는?</t>
    <phoneticPr fontId="1" type="noConversion"/>
  </si>
  <si>
    <t>한 달 남짓</t>
    <phoneticPr fontId="1" type="noConversion"/>
  </si>
  <si>
    <t>두 달 남짓</t>
    <phoneticPr fontId="1" type="noConversion"/>
  </si>
  <si>
    <t>닦을 수</t>
    <phoneticPr fontId="1" type="noConversion"/>
  </si>
  <si>
    <t>참매 1호</t>
    <phoneticPr fontId="1" type="noConversion"/>
  </si>
  <si>
    <t>인어공주</t>
    <phoneticPr fontId="1" type="noConversion"/>
  </si>
  <si>
    <t>먼지지붕</t>
    <phoneticPr fontId="1" type="noConversion"/>
  </si>
  <si>
    <t>토요일</t>
    <phoneticPr fontId="1" type="noConversion"/>
  </si>
  <si>
    <t xml:space="preserve"> 다음 중 감독이 다른 영화는?</t>
    <phoneticPr fontId="1" type="noConversion"/>
  </si>
  <si>
    <t xml:space="preserve"> 다음 중 국적이 다른 사람은?</t>
    <phoneticPr fontId="1" type="noConversion"/>
  </si>
  <si>
    <t>파울로 코엘료</t>
    <phoneticPr fontId="1" type="noConversion"/>
  </si>
  <si>
    <t xml:space="preserve"> 《멜빵, 나팔, 냉장고》 다음에서 연상되는 것은?</t>
    <phoneticPr fontId="1" type="noConversion"/>
  </si>
  <si>
    <t>운동화</t>
    <phoneticPr fontId="1" type="noConversion"/>
  </si>
  <si>
    <t xml:space="preserve"> &lt;서울특별시 영등포구 의사당대로 1&gt; 다음은 어디의 주소일까?</t>
    <phoneticPr fontId="1" type="noConversion"/>
  </si>
  <si>
    <t>한국방송공사</t>
    <phoneticPr fontId="1" type="noConversion"/>
  </si>
  <si>
    <t>여의도공원</t>
    <phoneticPr fontId="1" type="noConversion"/>
  </si>
  <si>
    <t xml:space="preserve"> 영화 &lt;카사블랑카&gt;의 명대사 中 “당신의 □에 건배를”에 들어갈 말은?</t>
    <phoneticPr fontId="1" type="noConversion"/>
  </si>
  <si>
    <t>심장</t>
    <phoneticPr fontId="1" type="noConversion"/>
  </si>
  <si>
    <t xml:space="preserve"> 2018년 신조어로 ‘폭풍 눈물’을 뒤집은 이 말은 무엇일까?</t>
    <phoneticPr fontId="1" type="noConversion"/>
  </si>
  <si>
    <t>롬곡옾눞</t>
    <phoneticPr fontId="1" type="noConversion"/>
  </si>
  <si>
    <t>룸곡웊눈</t>
    <phoneticPr fontId="1" type="noConversion"/>
  </si>
  <si>
    <t>뤂곡웊높</t>
    <phoneticPr fontId="1" type="noConversion"/>
  </si>
  <si>
    <t>금잔디</t>
    <phoneticPr fontId="1" type="noConversion"/>
  </si>
  <si>
    <t xml:space="preserve"> &lt;아기공룡 둘리&gt;에서 고길동과 희동이의 관계는?</t>
    <phoneticPr fontId="1" type="noConversion"/>
  </si>
  <si>
    <t>고모부와 조카</t>
    <phoneticPr fontId="1" type="noConversion"/>
  </si>
  <si>
    <t>MLB 디트로이트</t>
    <phoneticPr fontId="1" type="noConversion"/>
  </si>
  <si>
    <t>지혜</t>
    <phoneticPr fontId="1" type="noConversion"/>
  </si>
  <si>
    <t>덤벨 경제</t>
    <phoneticPr fontId="1" type="noConversion"/>
  </si>
  <si>
    <t>점프 이코노미</t>
    <phoneticPr fontId="1" type="noConversion"/>
  </si>
  <si>
    <t>오디</t>
    <phoneticPr fontId="1" type="noConversion"/>
  </si>
  <si>
    <t>젓가락</t>
    <phoneticPr fontId="1" type="noConversion"/>
  </si>
  <si>
    <t>냄비</t>
    <phoneticPr fontId="1" type="noConversion"/>
  </si>
  <si>
    <t>1월</t>
    <phoneticPr fontId="1" type="noConversion"/>
  </si>
  <si>
    <t xml:space="preserve"> 아카데미 시상식에서 사용하는 트로피의 명칭은?</t>
    <phoneticPr fontId="1" type="noConversion"/>
  </si>
  <si>
    <t>허파혈관</t>
    <phoneticPr fontId="1" type="noConversion"/>
  </si>
  <si>
    <t xml:space="preserve"> 다음 중 숫자가 포함되지 않은 사자성어는?</t>
    <phoneticPr fontId="1" type="noConversion"/>
  </si>
  <si>
    <t xml:space="preserve"> 셋 중 다른 대학교를 다녔던 사람은?</t>
    <phoneticPr fontId="1" type="noConversion"/>
  </si>
  <si>
    <t>스티브 잡스</t>
    <phoneticPr fontId="1" type="noConversion"/>
  </si>
  <si>
    <t>마크 저커버그</t>
    <phoneticPr fontId="1" type="noConversion"/>
  </si>
  <si>
    <t>최고의</t>
    <phoneticPr fontId="1" type="noConversion"/>
  </si>
  <si>
    <t xml:space="preserve"> 매년 5월 19일을 ‘발명의 날’로 정한 것은 (이것)의 발명일에서 비롯됐다. 이것은?</t>
    <phoneticPr fontId="1" type="noConversion"/>
  </si>
  <si>
    <t>혼천의</t>
    <phoneticPr fontId="1" type="noConversion"/>
  </si>
  <si>
    <t>거중기</t>
    <phoneticPr fontId="1" type="noConversion"/>
  </si>
  <si>
    <t>노마드족</t>
    <phoneticPr fontId="1" type="noConversion"/>
  </si>
  <si>
    <t>야옹</t>
    <phoneticPr fontId="1" type="noConversion"/>
  </si>
  <si>
    <t>아웅</t>
    <phoneticPr fontId="1" type="noConversion"/>
  </si>
  <si>
    <t xml:space="preserve"> ‘문화가 있는 날’은 매달 마지막 주 무슨 요일일까?</t>
    <phoneticPr fontId="1" type="noConversion"/>
  </si>
  <si>
    <t xml:space="preserve"> 1운동이 일어난 연도는?</t>
    <phoneticPr fontId="1" type="noConversion"/>
  </si>
  <si>
    <t>1917년</t>
    <phoneticPr fontId="1" type="noConversion"/>
  </si>
  <si>
    <t xml:space="preserve"> 태양계에서 가장 큰 행성은?</t>
    <phoneticPr fontId="1" type="noConversion"/>
  </si>
  <si>
    <t>목성</t>
    <phoneticPr fontId="1" type="noConversion"/>
  </si>
  <si>
    <t xml:space="preserve"> ‘기분이 좋아지다’라는 뜻을 가진 디저트의 이름은?</t>
    <phoneticPr fontId="1" type="noConversion"/>
  </si>
  <si>
    <t xml:space="preserve"> 다음 중 저자와 책 제목이 잘못 연결된 것은?</t>
    <phoneticPr fontId="1" type="noConversion"/>
  </si>
  <si>
    <t>목민심서 – 정약용</t>
    <phoneticPr fontId="1" type="noConversion"/>
  </si>
  <si>
    <t>수두</t>
    <phoneticPr fontId="1" type="noConversion"/>
  </si>
  <si>
    <t xml:space="preserve"> 동요 &lt;곰 세 마리&gt; 1절에서 ‘곰’은 몇 번 나올까?</t>
    <phoneticPr fontId="1" type="noConversion"/>
  </si>
  <si>
    <t>6번</t>
    <phoneticPr fontId="1" type="noConversion"/>
  </si>
  <si>
    <t xml:space="preserve">7번 </t>
    <phoneticPr fontId="1" type="noConversion"/>
  </si>
  <si>
    <t>그리핀도르 – 사자</t>
    <phoneticPr fontId="1" type="noConversion"/>
  </si>
  <si>
    <t>임마누엘 칸트</t>
    <phoneticPr fontId="1" type="noConversion"/>
  </si>
  <si>
    <t>마이클 샌델</t>
    <phoneticPr fontId="1" type="noConversion"/>
  </si>
  <si>
    <t xml:space="preserve"> 중국 소설 &lt;삼국지연의&gt;에서 가장 늦게 나온 고사성어는 무엇일까요?</t>
    <phoneticPr fontId="1" type="noConversion"/>
  </si>
  <si>
    <t>도원결의</t>
    <phoneticPr fontId="1" type="noConversion"/>
  </si>
  <si>
    <t xml:space="preserve"> ‘()도 오뉴월이 한철이다’에서 ()안에 들어갈 말은?</t>
    <phoneticPr fontId="1" type="noConversion"/>
  </si>
  <si>
    <t>명탐정 코난</t>
    <phoneticPr fontId="1" type="noConversion"/>
  </si>
  <si>
    <t xml:space="preserve">아서 코난 도일 </t>
    <phoneticPr fontId="1" type="noConversion"/>
  </si>
  <si>
    <t xml:space="preserve"> 초고층 빌딩을 보호 장비 없이 맨손으로 오르는 등반가는?</t>
    <phoneticPr fontId="1" type="noConversion"/>
  </si>
  <si>
    <t xml:space="preserve">어반클라이머 </t>
    <phoneticPr fontId="1" type="noConversion"/>
  </si>
  <si>
    <t>프랑스 외인부대</t>
    <phoneticPr fontId="1" type="noConversion"/>
  </si>
  <si>
    <t>꼬리</t>
    <phoneticPr fontId="1" type="noConversion"/>
  </si>
  <si>
    <t>한국도로공사</t>
    <phoneticPr fontId="1" type="noConversion"/>
  </si>
  <si>
    <t xml:space="preserve"> 프랑스의 루브르 박물관은 원래 어떤 용도였을까?</t>
    <phoneticPr fontId="1" type="noConversion"/>
  </si>
  <si>
    <t>제트스틱 그래프</t>
    <phoneticPr fontId="1" type="noConversion"/>
  </si>
  <si>
    <t xml:space="preserve">E3  </t>
    <phoneticPr fontId="1" type="noConversion"/>
  </si>
  <si>
    <t>검은색</t>
    <phoneticPr fontId="1" type="noConversion"/>
  </si>
  <si>
    <t>신나부러</t>
    <phoneticPr fontId="1" type="noConversion"/>
  </si>
  <si>
    <t>비밀선거</t>
    <phoneticPr fontId="1" type="noConversion"/>
  </si>
  <si>
    <t xml:space="preserve"> 타임지가 선정한 ‘2018 가장 영향력있는 100인’이 아닌 사람은?</t>
    <phoneticPr fontId="1" type="noConversion"/>
  </si>
  <si>
    <t xml:space="preserve">방탄소년단 </t>
    <phoneticPr fontId="1" type="noConversion"/>
  </si>
  <si>
    <t>대구</t>
    <phoneticPr fontId="1" type="noConversion"/>
  </si>
  <si>
    <t xml:space="preserve"> 다음 중 뜻이 다른 말은?</t>
    <phoneticPr fontId="1" type="noConversion"/>
  </si>
  <si>
    <t>팬옵티콘</t>
    <phoneticPr fontId="1" type="noConversion"/>
  </si>
  <si>
    <t>48세</t>
    <phoneticPr fontId="1" type="noConversion"/>
  </si>
  <si>
    <t>펜싱</t>
    <phoneticPr fontId="1" type="noConversion"/>
  </si>
  <si>
    <t>어벤져스</t>
    <phoneticPr fontId="1" type="noConversion"/>
  </si>
  <si>
    <t>FACE ID</t>
    <phoneticPr fontId="1" type="noConversion"/>
  </si>
  <si>
    <t xml:space="preserve"> 연극에서 극중 인물이 암묵적으로 관객에게만 들리게 말하는 대사는?</t>
    <phoneticPr fontId="1" type="noConversion"/>
  </si>
  <si>
    <t xml:space="preserve"> 조선시대 임금 중 재위 기간이 가장 길었던 왕은?</t>
    <phoneticPr fontId="1" type="noConversion"/>
  </si>
  <si>
    <t>영조</t>
    <phoneticPr fontId="1" type="noConversion"/>
  </si>
  <si>
    <t>코끼리</t>
    <phoneticPr fontId="1" type="noConversion"/>
  </si>
  <si>
    <t xml:space="preserve"> ‘식사 전 입맛을 돋우기 위한 한입거리 요리’를 뜻하는 프랑스어는?</t>
    <phoneticPr fontId="1" type="noConversion"/>
  </si>
  <si>
    <t>Plat principal(쁠라 프랭시팔)</t>
    <phoneticPr fontId="1" type="noConversion"/>
  </si>
  <si>
    <t>단기 4370년</t>
    <phoneticPr fontId="1" type="noConversion"/>
  </si>
  <si>
    <t>哉 (재)</t>
    <phoneticPr fontId="1" type="noConversion"/>
  </si>
  <si>
    <t>乎 (호)</t>
    <phoneticPr fontId="1" type="noConversion"/>
  </si>
  <si>
    <t>롯데월드 타워</t>
    <phoneticPr fontId="1" type="noConversion"/>
  </si>
  <si>
    <t xml:space="preserve"> ‘과로 등으로 심신에 피로가 쌓여 모든 일에 무기력해진 상태’를 뜻하는 것은?</t>
    <phoneticPr fontId="1" type="noConversion"/>
  </si>
  <si>
    <t>우루사 증후군</t>
    <phoneticPr fontId="1" type="noConversion"/>
  </si>
  <si>
    <t>방향</t>
    <phoneticPr fontId="1" type="noConversion"/>
  </si>
  <si>
    <t xml:space="preserve"> ‘아침식사’를 의미하는 영어 단어는?</t>
    <phoneticPr fontId="1" type="noConversion"/>
  </si>
  <si>
    <t>Breakfest</t>
    <phoneticPr fontId="1" type="noConversion"/>
  </si>
  <si>
    <t xml:space="preserve"> ‘에티켓’이라는 단어는 어느나라에서 유래했을까?</t>
    <phoneticPr fontId="1" type="noConversion"/>
  </si>
  <si>
    <t>이탈리아</t>
    <phoneticPr fontId="1" type="noConversion"/>
  </si>
  <si>
    <t xml:space="preserve"> 국내 근로자가 가입하는 ‘4대보험’에 속하지 않는 것은?</t>
    <phoneticPr fontId="1" type="noConversion"/>
  </si>
  <si>
    <t>막창</t>
    <phoneticPr fontId="1" type="noConversion"/>
  </si>
  <si>
    <t>한라,백두</t>
    <phoneticPr fontId="1" type="noConversion"/>
  </si>
  <si>
    <t>천권,평원</t>
    <phoneticPr fontId="1" type="noConversion"/>
  </si>
  <si>
    <t xml:space="preserve"> 그리스 신화에서 제우스의 자녀가 아닌 것은?</t>
    <phoneticPr fontId="1" type="noConversion"/>
  </si>
  <si>
    <t>아테나</t>
    <phoneticPr fontId="1" type="noConversion"/>
  </si>
  <si>
    <t xml:space="preserve"> ‘팔 도마뱀’이라는 뜻을 가진 온순한 성격의 초식 공룡은?</t>
    <phoneticPr fontId="1" type="noConversion"/>
  </si>
  <si>
    <t xml:space="preserve"> 경제협력 개발 기구를 뜻하는 OECD에 포함된 국가가 아닌 것은?</t>
    <phoneticPr fontId="1" type="noConversion"/>
  </si>
  <si>
    <t>에스토니아</t>
    <phoneticPr fontId="1" type="noConversion"/>
  </si>
  <si>
    <t xml:space="preserve"> 빈틈없이 아주 여무진 사람이란 뜻의 순우리말은?</t>
    <phoneticPr fontId="1" type="noConversion"/>
  </si>
  <si>
    <t xml:space="preserve"> 다음 중 맞춤법이 맞는 것은?</t>
    <phoneticPr fontId="1" type="noConversion"/>
  </si>
  <si>
    <t>깍두기</t>
    <phoneticPr fontId="1" type="noConversion"/>
  </si>
  <si>
    <t xml:space="preserve"> 일상에서 느낄 수 있는 작지만 확실하게 실현 가능한 행복이라는 뜻의 단어는?</t>
    <phoneticPr fontId="1" type="noConversion"/>
  </si>
  <si>
    <t>일코노미</t>
    <phoneticPr fontId="1" type="noConversion"/>
  </si>
  <si>
    <t>N포세대</t>
    <phoneticPr fontId="1" type="noConversion"/>
  </si>
  <si>
    <t>15cm</t>
    <phoneticPr fontId="1" type="noConversion"/>
  </si>
  <si>
    <t xml:space="preserve"> 2018 러시아월드컵에 출전하는 대한민국 대표팀 최종멤버가 아닌 선수는?</t>
    <phoneticPr fontId="1" type="noConversion"/>
  </si>
  <si>
    <t xml:space="preserve"> 5만원권이 처음으로 발행된 년도는?</t>
    <phoneticPr fontId="1" type="noConversion"/>
  </si>
  <si>
    <t xml:space="preserve"> 탁구 서브의 종류가 아닌 것은?</t>
    <phoneticPr fontId="1" type="noConversion"/>
  </si>
  <si>
    <t xml:space="preserve"> 《바티칸, 최후의 심판, 교황선출》 다음에서 연상되는 장소는?</t>
    <phoneticPr fontId="1" type="noConversion"/>
  </si>
  <si>
    <t>아마존</t>
    <phoneticPr fontId="1" type="noConversion"/>
  </si>
  <si>
    <t>거금도</t>
    <phoneticPr fontId="1" type="noConversion"/>
  </si>
  <si>
    <t>추자도</t>
    <phoneticPr fontId="1" type="noConversion"/>
  </si>
  <si>
    <t xml:space="preserve"> 다음 중 기네스 북에 오르지 않은 사람은?</t>
    <phoneticPr fontId="1" type="noConversion"/>
  </si>
  <si>
    <t>강호동</t>
    <phoneticPr fontId="1" type="noConversion"/>
  </si>
  <si>
    <t>황광희</t>
    <phoneticPr fontId="1" type="noConversion"/>
  </si>
  <si>
    <t xml:space="preserve"> 최초의 복제양(羊) 이름은?</t>
    <phoneticPr fontId="1" type="noConversion"/>
  </si>
  <si>
    <t xml:space="preserve"> 자유의 여신상을 미국에게 선물한 나라는?</t>
    <phoneticPr fontId="1" type="noConversion"/>
  </si>
  <si>
    <t>프랑스</t>
    <phoneticPr fontId="1" type="noConversion"/>
  </si>
  <si>
    <t xml:space="preserve"> 메이저리그 최고의 좌완 투수였던 랜디 존슨이 벌인 전설 같은 사건은?</t>
    <phoneticPr fontId="1" type="noConversion"/>
  </si>
  <si>
    <t>야구장에 뛰어든 말을 공으로 맞힘</t>
    <phoneticPr fontId="1" type="noConversion"/>
  </si>
  <si>
    <t xml:space="preserve"> 우주비행사를 달에 착륙시켰다가 지구로 안전하게 귀환시키는 미국의 계획은</t>
    <phoneticPr fontId="1" type="noConversion"/>
  </si>
  <si>
    <t>오디세우스 계획</t>
    <phoneticPr fontId="1" type="noConversion"/>
  </si>
  <si>
    <t>힘</t>
    <phoneticPr fontId="1" type="noConversion"/>
  </si>
  <si>
    <t>축제</t>
    <phoneticPr fontId="1" type="noConversion"/>
  </si>
  <si>
    <t xml:space="preserve"> 미생물학자로, 탄저병·광견병 백신을 만들어 인류보건에 이바지한 사람은?</t>
    <phoneticPr fontId="1" type="noConversion"/>
  </si>
  <si>
    <t>찰스 다윈</t>
    <phoneticPr fontId="1" type="noConversion"/>
  </si>
  <si>
    <t xml:space="preserve"> 피터팬이 사는 곳은?</t>
    <phoneticPr fontId="1" type="noConversion"/>
  </si>
  <si>
    <t>에버랜드</t>
    <phoneticPr fontId="1" type="noConversion"/>
  </si>
  <si>
    <t>원더랜드</t>
    <phoneticPr fontId="1" type="noConversion"/>
  </si>
  <si>
    <t>되</t>
    <phoneticPr fontId="1" type="noConversion"/>
  </si>
  <si>
    <t xml:space="preserve"> 다음 중 우리나라 지폐에 새겨진 인물이 잘못 짝지어진 것은?</t>
    <phoneticPr fontId="1" type="noConversion"/>
  </si>
  <si>
    <t xml:space="preserve"> 실화를 토대로 한 영화가 아닌 것은?</t>
    <phoneticPr fontId="1" type="noConversion"/>
  </si>
  <si>
    <t xml:space="preserve"> 올해는 무슨 년일까?</t>
    <phoneticPr fontId="1" type="noConversion"/>
  </si>
  <si>
    <t>무술년</t>
    <phoneticPr fontId="1" type="noConversion"/>
  </si>
  <si>
    <t>다음 중 표준어가 아닌 것은?</t>
    <phoneticPr fontId="1" type="noConversion"/>
  </si>
  <si>
    <t>한강수위 6.2m</t>
    <phoneticPr fontId="1" type="noConversion"/>
  </si>
  <si>
    <t>국방의 의무</t>
    <phoneticPr fontId="1" type="noConversion"/>
  </si>
  <si>
    <t xml:space="preserve"> 선비를 상징하는 사군자(四君子) 중 겨울을 상징하는 것은?</t>
    <phoneticPr fontId="1" type="noConversion"/>
  </si>
  <si>
    <t>대나무</t>
    <phoneticPr fontId="1" type="noConversion"/>
  </si>
  <si>
    <t xml:space="preserve"> 대한민국에서 두 번째로 높은 산은?</t>
    <phoneticPr fontId="1" type="noConversion"/>
  </si>
  <si>
    <t xml:space="preserve"> 세계 가톨릭 교회 수장인 교황이 타는 공식 의전 차량을 뜻하는 말은?</t>
    <phoneticPr fontId="1" type="noConversion"/>
  </si>
  <si>
    <t xml:space="preserve"> 기존 항공사에 비해 저렴한 운임을 제공하는 저비용항공사를 뜻하는 영문 약자는?</t>
    <phoneticPr fontId="1" type="noConversion"/>
  </si>
  <si>
    <t>60mm</t>
    <phoneticPr fontId="1" type="noConversion"/>
  </si>
  <si>
    <t>캐나다 말</t>
    <phoneticPr fontId="1" type="noConversion"/>
  </si>
  <si>
    <t>바다</t>
    <phoneticPr fontId="1" type="noConversion"/>
  </si>
  <si>
    <t>계곡</t>
    <phoneticPr fontId="1" type="noConversion"/>
  </si>
  <si>
    <t>머리를 쓰다듬어 준다</t>
    <phoneticPr fontId="1" type="noConversion"/>
  </si>
  <si>
    <t>턱밑을 살살 긁어준다</t>
    <phoneticPr fontId="1" type="noConversion"/>
  </si>
  <si>
    <t xml:space="preserve"> 다음중 제조사가 다른 라면은 무엇일까?</t>
    <phoneticPr fontId="1" type="noConversion"/>
  </si>
  <si>
    <t>1910년 7월 19일</t>
    <phoneticPr fontId="1" type="noConversion"/>
  </si>
  <si>
    <t>왕바람</t>
    <phoneticPr fontId="1" type="noConversion"/>
  </si>
  <si>
    <t xml:space="preserve"> ‘남녀가 일곱 살이 되면 자리를 같이 하지 않는다’는 옛말은?</t>
    <phoneticPr fontId="1" type="noConversion"/>
  </si>
  <si>
    <t xml:space="preserve"> 문어의 다리는 몇 개일까?</t>
    <phoneticPr fontId="1" type="noConversion"/>
  </si>
  <si>
    <t>8월</t>
    <phoneticPr fontId="1" type="noConversion"/>
  </si>
  <si>
    <t xml:space="preserve"> 다음 중 자동차 브랜드가 아닌 것은?</t>
    <phoneticPr fontId="1" type="noConversion"/>
  </si>
  <si>
    <t>부가티</t>
    <phoneticPr fontId="1" type="noConversion"/>
  </si>
  <si>
    <t>이영애 초등학교</t>
    <phoneticPr fontId="1" type="noConversion"/>
  </si>
  <si>
    <t xml:space="preserve"> 다음 보기 중 가장 작은 소수는?</t>
    <phoneticPr fontId="1" type="noConversion"/>
  </si>
  <si>
    <t xml:space="preserve"> 공식적으로 음반을 가장 많이 판매한 음악가는?</t>
    <phoneticPr fontId="1" type="noConversion"/>
  </si>
  <si>
    <t>승리</t>
    <phoneticPr fontId="1" type="noConversion"/>
  </si>
  <si>
    <t>22개</t>
    <phoneticPr fontId="1" type="noConversion"/>
  </si>
  <si>
    <t>24개</t>
    <phoneticPr fontId="1" type="noConversion"/>
  </si>
  <si>
    <t>함께 길을 걷다</t>
    <phoneticPr fontId="1" type="noConversion"/>
  </si>
  <si>
    <t xml:space="preserve"> 주민등록번호가 부여되는 때는?</t>
    <phoneticPr fontId="1" type="noConversion"/>
  </si>
  <si>
    <t xml:space="preserve"> ‘연륜이 쌓이다’에서 ‘연륜’의 본래 뜻은?</t>
    <phoneticPr fontId="1" type="noConversion"/>
  </si>
  <si>
    <t xml:space="preserve"> 다음 중 ‘미야자키 하야오’ 감독의 작품이 아닌 것은?</t>
    <phoneticPr fontId="1" type="noConversion"/>
  </si>
  <si>
    <t>하울의 움직이는 성</t>
    <phoneticPr fontId="1" type="noConversion"/>
  </si>
  <si>
    <t>퍼펙트 게임</t>
    <phoneticPr fontId="1" type="noConversion"/>
  </si>
  <si>
    <t xml:space="preserve"> 보드랍고 화창한 바람을 의미하는 것은?</t>
    <phoneticPr fontId="1" type="noConversion"/>
  </si>
  <si>
    <t>보라바람</t>
    <phoneticPr fontId="1" type="noConversion"/>
  </si>
  <si>
    <t xml:space="preserve"> 일기예보에서 ‘예년’이란 과거 □년간의 통계치를 말한다.</t>
    <phoneticPr fontId="1" type="noConversion"/>
  </si>
  <si>
    <t>마지노선</t>
    <phoneticPr fontId="1" type="noConversion"/>
  </si>
  <si>
    <t>터부시하다</t>
    <phoneticPr fontId="1" type="noConversion"/>
  </si>
  <si>
    <t xml:space="preserve"> 학교나 직장 따위에 일정한 기간 동안 하루도 빠짐없이 출석한 사람에게 주는 상은?</t>
    <phoneticPr fontId="1" type="noConversion"/>
  </si>
  <si>
    <t xml:space="preserve"> 긴 막대기로 작은 막대기를 치거나 튕기면서 노는 놀이는?</t>
    <phoneticPr fontId="1" type="noConversion"/>
  </si>
  <si>
    <t>시카고</t>
    <phoneticPr fontId="1" type="noConversion"/>
  </si>
  <si>
    <t xml:space="preserve"> ‘자다가 봉창 두드린다’에서 ‘봉창(封窓)’은?</t>
    <phoneticPr fontId="1" type="noConversion"/>
  </si>
  <si>
    <t>창틀 없이 토벽에 구멍을 뚫은 창</t>
    <phoneticPr fontId="1" type="noConversion"/>
  </si>
  <si>
    <t xml:space="preserve"> 다음 중 뤽 베송이 제작자로 참여한 영화는?</t>
    <phoneticPr fontId="1" type="noConversion"/>
  </si>
  <si>
    <t>테이큰</t>
    <phoneticPr fontId="1" type="noConversion"/>
  </si>
  <si>
    <t xml:space="preserve"> ‘평소 재앙·재난 상황에 대한 준비를 하는 사람들’을 뜻하는 단어는?</t>
    <phoneticPr fontId="1" type="noConversion"/>
  </si>
  <si>
    <t xml:space="preserve"> 다음 중 가장 먼저 시작한 소셜네트워크 서비스는?</t>
    <phoneticPr fontId="1" type="noConversion"/>
  </si>
  <si>
    <t>마이스페이스</t>
    <phoneticPr fontId="1" type="noConversion"/>
  </si>
  <si>
    <t>규소</t>
    <phoneticPr fontId="1" type="noConversion"/>
  </si>
  <si>
    <t>신태용</t>
    <phoneticPr fontId="1" type="noConversion"/>
  </si>
  <si>
    <t>홍명보</t>
    <phoneticPr fontId="1" type="noConversion"/>
  </si>
  <si>
    <t>차범근</t>
    <phoneticPr fontId="1" type="noConversion"/>
  </si>
  <si>
    <t xml:space="preserve"> 지난, 2014년 월드컵 개최국은?</t>
    <phoneticPr fontId="1" type="noConversion"/>
  </si>
  <si>
    <t xml:space="preserve"> 역대 월드컵 공인구가 맞는 것은?</t>
    <phoneticPr fontId="1" type="noConversion"/>
  </si>
  <si>
    <t>17위</t>
    <phoneticPr fontId="1" type="noConversion"/>
  </si>
  <si>
    <t>요한 크루이프</t>
    <phoneticPr fontId="1" type="noConversion"/>
  </si>
  <si>
    <t xml:space="preserve"> 다음 중 윈도우 키보드 단축키가 다르게 연결된 것은?</t>
    <phoneticPr fontId="1" type="noConversion"/>
  </si>
  <si>
    <t xml:space="preserve"> 다음 걸그룹 중 멤버수가 가장 많은 그룹은?</t>
    <phoneticPr fontId="1" type="noConversion"/>
  </si>
  <si>
    <t xml:space="preserve"> 《네덜란드, 물랭루주, 돈키호테》 공통점은?</t>
    <phoneticPr fontId="1" type="noConversion"/>
  </si>
  <si>
    <t>1910~1945년</t>
    <phoneticPr fontId="1" type="noConversion"/>
  </si>
  <si>
    <t>바이올린</t>
    <phoneticPr fontId="1" type="noConversion"/>
  </si>
  <si>
    <t xml:space="preserve"> ‘남의 비밀을 알아내어 다른 사람에게 알려 준다’는 뜻의 우리말은?</t>
    <phoneticPr fontId="1" type="noConversion"/>
  </si>
  <si>
    <t>발쇠를 서다</t>
    <phoneticPr fontId="1" type="noConversion"/>
  </si>
  <si>
    <t xml:space="preserve"> 다음 중 조류가 아닌 것은?</t>
    <phoneticPr fontId="1" type="noConversion"/>
  </si>
  <si>
    <t>타조</t>
    <phoneticPr fontId="1" type="noConversion"/>
  </si>
  <si>
    <t>찹스틱리즘</t>
    <phoneticPr fontId="1" type="noConversion"/>
  </si>
  <si>
    <t>둥굴레</t>
    <phoneticPr fontId="1" type="noConversion"/>
  </si>
  <si>
    <t>하늘</t>
    <phoneticPr fontId="1" type="noConversion"/>
  </si>
  <si>
    <t>호연지기</t>
    <phoneticPr fontId="1" type="noConversion"/>
  </si>
  <si>
    <t>좀비</t>
    <phoneticPr fontId="1" type="noConversion"/>
  </si>
  <si>
    <t xml:space="preserve"> 다음 중 힙합 레이블 ‘일리네어’의 소속이 아닌 연예인은?</t>
    <phoneticPr fontId="1" type="noConversion"/>
  </si>
  <si>
    <t>형동이와 대준이</t>
    <phoneticPr fontId="1" type="noConversion"/>
  </si>
  <si>
    <t xml:space="preserve"> 미국 화폐 중 행운의 지폐라고 알려진 2달러에 새겨진 인물은?</t>
    <phoneticPr fontId="1" type="noConversion"/>
  </si>
  <si>
    <t xml:space="preserve"> 다음 중 섬나라는?</t>
    <phoneticPr fontId="1" type="noConversion"/>
  </si>
  <si>
    <t>퉁가</t>
    <phoneticPr fontId="1" type="noConversion"/>
  </si>
  <si>
    <t>덥석</t>
    <phoneticPr fontId="1" type="noConversion"/>
  </si>
  <si>
    <t xml:space="preserve"> ‘방향이 없이 이리저리 함부로 부는 바람은’?</t>
    <phoneticPr fontId="1" type="noConversion"/>
  </si>
  <si>
    <t xml:space="preserve"> 다음 중 원소의 불꽃 반응 색이 잘못 연결된 것은?</t>
    <phoneticPr fontId="1" type="noConversion"/>
  </si>
  <si>
    <t>구리-주황색</t>
    <phoneticPr fontId="1" type="noConversion"/>
  </si>
  <si>
    <t>싱가포르</t>
    <phoneticPr fontId="1" type="noConversion"/>
  </si>
  <si>
    <t>페이스샷</t>
    <phoneticPr fontId="1" type="noConversion"/>
  </si>
  <si>
    <t>구구단</t>
    <phoneticPr fontId="1" type="noConversion"/>
  </si>
  <si>
    <t>밥 로스</t>
    <phoneticPr fontId="1" type="noConversion"/>
  </si>
  <si>
    <t>세간살이</t>
    <phoneticPr fontId="1" type="noConversion"/>
  </si>
  <si>
    <t>스푸트니크 1호</t>
    <phoneticPr fontId="1" type="noConversion"/>
  </si>
  <si>
    <t>황하 문명</t>
    <phoneticPr fontId="1" type="noConversion"/>
  </si>
  <si>
    <t>여우</t>
    <phoneticPr fontId="1" type="noConversion"/>
  </si>
  <si>
    <t>경칩</t>
    <phoneticPr fontId="1" type="noConversion"/>
  </si>
  <si>
    <t>홈택스</t>
    <phoneticPr fontId="1" type="noConversion"/>
  </si>
  <si>
    <t>북태평양 기단</t>
    <phoneticPr fontId="1" type="noConversion"/>
  </si>
  <si>
    <t>스푼 뉴스</t>
    <phoneticPr fontId="1" type="noConversion"/>
  </si>
  <si>
    <t>스쿠프</t>
    <phoneticPr fontId="1" type="noConversion"/>
  </si>
  <si>
    <t>플라멩코</t>
    <phoneticPr fontId="1" type="noConversion"/>
  </si>
  <si>
    <t>풍선</t>
    <phoneticPr fontId="1" type="noConversion"/>
  </si>
  <si>
    <t>새우등</t>
    <phoneticPr fontId="1" type="noConversion"/>
  </si>
  <si>
    <t>루팡웨어</t>
    <phoneticPr fontId="1" type="noConversion"/>
  </si>
  <si>
    <t>삵</t>
    <phoneticPr fontId="1" type="noConversion"/>
  </si>
  <si>
    <t>찰리 채플린</t>
    <phoneticPr fontId="1" type="noConversion"/>
  </si>
  <si>
    <t>포메라니안의 법칙</t>
    <phoneticPr fontId="1" type="noConversion"/>
  </si>
  <si>
    <t>나무 껍질</t>
    <phoneticPr fontId="1" type="noConversion"/>
  </si>
  <si>
    <t>프리하우징</t>
    <phoneticPr fontId="1" type="noConversion"/>
  </si>
  <si>
    <t>화암동굴</t>
    <phoneticPr fontId="1" type="noConversion"/>
  </si>
  <si>
    <t>애어른</t>
    <phoneticPr fontId="1" type="noConversion"/>
  </si>
  <si>
    <t>홍인규</t>
    <phoneticPr fontId="1" type="noConversion"/>
  </si>
  <si>
    <t>쾌활하게 뛰기</t>
    <phoneticPr fontId="1" type="noConversion"/>
  </si>
  <si>
    <t>아침에 뛰기</t>
    <phoneticPr fontId="1" type="noConversion"/>
  </si>
  <si>
    <t>진실은 항상 저 너머에 있어요</t>
    <phoneticPr fontId="1" type="noConversion"/>
  </si>
  <si>
    <t>오션스12</t>
    <phoneticPr fontId="1" type="noConversion"/>
  </si>
  <si>
    <t>HG – High Grade</t>
    <phoneticPr fontId="1" type="noConversion"/>
  </si>
  <si>
    <t>라이온 킹</t>
    <phoneticPr fontId="1" type="noConversion"/>
  </si>
  <si>
    <t>울릉도</t>
    <phoneticPr fontId="1" type="noConversion"/>
  </si>
  <si>
    <t>space out</t>
    <phoneticPr fontId="1" type="noConversion"/>
  </si>
  <si>
    <t>보스턴 파일</t>
    <phoneticPr fontId="1" type="noConversion"/>
  </si>
  <si>
    <t>나래</t>
    <phoneticPr fontId="1" type="noConversion"/>
  </si>
  <si>
    <t>32배</t>
    <phoneticPr fontId="1" type="noConversion"/>
  </si>
  <si>
    <t>100배</t>
    <phoneticPr fontId="1" type="noConversion"/>
  </si>
  <si>
    <t>마타도어</t>
    <phoneticPr fontId="1" type="noConversion"/>
  </si>
  <si>
    <t>뉴욕</t>
    <phoneticPr fontId="1" type="noConversion"/>
  </si>
  <si>
    <t>포르티시모</t>
    <phoneticPr fontId="1" type="noConversion"/>
  </si>
  <si>
    <t>닷봉오리</t>
    <phoneticPr fontId="1" type="noConversion"/>
  </si>
  <si>
    <t>된밥</t>
    <phoneticPr fontId="1" type="noConversion"/>
  </si>
  <si>
    <t>윌리엄 포크너</t>
    <phoneticPr fontId="1" type="noConversion"/>
  </si>
  <si>
    <t>5800만달러</t>
    <phoneticPr fontId="1" type="noConversion"/>
  </si>
  <si>
    <t>독일, 스웨덴, 대한민국</t>
    <phoneticPr fontId="1" type="noConversion"/>
  </si>
  <si>
    <t>콜롬비아</t>
    <phoneticPr fontId="1" type="noConversion"/>
  </si>
  <si>
    <t>2분 56초</t>
    <phoneticPr fontId="1" type="noConversion"/>
  </si>
  <si>
    <t>독일 – 요아힘 뢰프</t>
    <phoneticPr fontId="1" type="noConversion"/>
  </si>
  <si>
    <t>신사임당</t>
    <phoneticPr fontId="1" type="noConversion"/>
  </si>
  <si>
    <t>김정희</t>
    <phoneticPr fontId="1" type="noConversion"/>
  </si>
  <si>
    <t>승화</t>
    <phoneticPr fontId="1" type="noConversion"/>
  </si>
  <si>
    <t>빅 브라더</t>
    <phoneticPr fontId="1" type="noConversion"/>
  </si>
  <si>
    <t>보이저 1호</t>
    <phoneticPr fontId="1" type="noConversion"/>
  </si>
  <si>
    <t>엔터프라이즈호</t>
    <phoneticPr fontId="1" type="noConversion"/>
  </si>
  <si>
    <t>배트맨</t>
    <phoneticPr fontId="1" type="noConversion"/>
  </si>
  <si>
    <t>센사람 열도</t>
    <phoneticPr fontId="1" type="noConversion"/>
  </si>
  <si>
    <t>조산운동</t>
    <phoneticPr fontId="1" type="noConversion"/>
  </si>
  <si>
    <t>MP (Money Planner)</t>
    <phoneticPr fontId="1" type="noConversion"/>
  </si>
  <si>
    <t>석회암</t>
    <phoneticPr fontId="1" type="noConversion"/>
  </si>
  <si>
    <t>족발</t>
    <phoneticPr fontId="1" type="noConversion"/>
  </si>
  <si>
    <t>하람</t>
    <phoneticPr fontId="1" type="noConversion"/>
  </si>
  <si>
    <t>케네디 스코어</t>
    <phoneticPr fontId="1" type="noConversion"/>
  </si>
  <si>
    <t>일식</t>
    <phoneticPr fontId="1" type="noConversion"/>
  </si>
  <si>
    <t>태극기 휘날리며</t>
    <phoneticPr fontId="1" type="noConversion"/>
  </si>
  <si>
    <t>인천상륙작전</t>
    <phoneticPr fontId="1" type="noConversion"/>
  </si>
  <si>
    <t>빨강</t>
    <phoneticPr fontId="1" type="noConversion"/>
  </si>
  <si>
    <t>윙백</t>
    <phoneticPr fontId="1" type="noConversion"/>
  </si>
  <si>
    <t>폴 매카트니</t>
    <phoneticPr fontId="1" type="noConversion"/>
  </si>
  <si>
    <t>조지 해리슨</t>
    <phoneticPr fontId="1" type="noConversion"/>
  </si>
  <si>
    <t>리마케팅</t>
    <phoneticPr fontId="1" type="noConversion"/>
  </si>
  <si>
    <t>아이소포스</t>
    <phoneticPr fontId="1" type="noConversion"/>
  </si>
  <si>
    <t>문자</t>
    <phoneticPr fontId="1" type="noConversion"/>
  </si>
  <si>
    <t>골든벨</t>
    <phoneticPr fontId="1" type="noConversion"/>
  </si>
  <si>
    <t>피터팬</t>
    <phoneticPr fontId="1" type="noConversion"/>
  </si>
  <si>
    <t>곤충</t>
    <phoneticPr fontId="1" type="noConversion"/>
  </si>
  <si>
    <t>USS 조지 워싱턴</t>
    <phoneticPr fontId="1" type="noConversion"/>
  </si>
  <si>
    <t>자유재</t>
    <phoneticPr fontId="1" type="noConversion"/>
  </si>
  <si>
    <t>가속도</t>
    <phoneticPr fontId="1" type="noConversion"/>
  </si>
  <si>
    <t>노트를 훼손하면 노트를 만진 모두가 죽는다</t>
    <phoneticPr fontId="1" type="noConversion"/>
  </si>
  <si>
    <t>456km</t>
    <phoneticPr fontId="1" type="noConversion"/>
  </si>
  <si>
    <t>카트만두</t>
    <phoneticPr fontId="1" type="noConversion"/>
  </si>
  <si>
    <t>슈가스팟</t>
    <phoneticPr fontId="1" type="noConversion"/>
  </si>
  <si>
    <t>카이스트</t>
    <phoneticPr fontId="1" type="noConversion"/>
  </si>
  <si>
    <t>대구오름</t>
    <phoneticPr fontId="1" type="noConversion"/>
  </si>
  <si>
    <t>풍경</t>
    <phoneticPr fontId="1" type="noConversion"/>
  </si>
  <si>
    <t>100만원</t>
    <phoneticPr fontId="1" type="noConversion"/>
  </si>
  <si>
    <t>부시맨 랠리</t>
    <phoneticPr fontId="1" type="noConversion"/>
  </si>
  <si>
    <t>버스킹</t>
    <phoneticPr fontId="1" type="noConversion"/>
  </si>
  <si>
    <t>밀가루</t>
    <phoneticPr fontId="1" type="noConversion"/>
  </si>
  <si>
    <t>브렉시트</t>
    <phoneticPr fontId="1" type="noConversion"/>
  </si>
  <si>
    <t>카시트</t>
    <phoneticPr fontId="1" type="noConversion"/>
  </si>
  <si>
    <t>현주엽</t>
    <phoneticPr fontId="1" type="noConversion"/>
  </si>
  <si>
    <t>기린</t>
    <phoneticPr fontId="1" type="noConversion"/>
  </si>
  <si>
    <t>쎄씨(Ceci)</t>
    <phoneticPr fontId="1" type="noConversion"/>
  </si>
  <si>
    <t>라이너스의 담요</t>
    <phoneticPr fontId="1" type="noConversion"/>
  </si>
  <si>
    <t>콜금리</t>
    <phoneticPr fontId="1" type="noConversion"/>
  </si>
  <si>
    <t>김정호</t>
    <phoneticPr fontId="1" type="noConversion"/>
  </si>
  <si>
    <t>경상남도</t>
    <phoneticPr fontId="1" type="noConversion"/>
  </si>
  <si>
    <t>50분</t>
    <phoneticPr fontId="1" type="noConversion"/>
  </si>
  <si>
    <t>사과</t>
    <phoneticPr fontId="1" type="noConversion"/>
  </si>
  <si>
    <t>코드 스위칭</t>
    <phoneticPr fontId="1" type="noConversion"/>
  </si>
  <si>
    <t>상트페테르부르크</t>
    <phoneticPr fontId="1" type="noConversion"/>
  </si>
  <si>
    <t>12m</t>
    <phoneticPr fontId="1" type="noConversion"/>
  </si>
  <si>
    <t>소셜다이닝</t>
    <phoneticPr fontId="1" type="noConversion"/>
  </si>
  <si>
    <t>서울</t>
    <phoneticPr fontId="1" type="noConversion"/>
  </si>
  <si>
    <t>세종</t>
    <phoneticPr fontId="1" type="noConversion"/>
  </si>
  <si>
    <t>익산 미륵사지 석탑</t>
    <phoneticPr fontId="1" type="noConversion"/>
  </si>
  <si>
    <t>부여 정림사지 5층 석탑</t>
    <phoneticPr fontId="1" type="noConversion"/>
  </si>
  <si>
    <t>위법성</t>
    <phoneticPr fontId="1" type="noConversion"/>
  </si>
  <si>
    <t>예멘</t>
    <phoneticPr fontId="1" type="noConversion"/>
  </si>
  <si>
    <t>과전법</t>
    <phoneticPr fontId="1" type="noConversion"/>
  </si>
  <si>
    <t>194°F(화씨)</t>
    <phoneticPr fontId="1" type="noConversion"/>
  </si>
  <si>
    <t>주둥이를 비틀다</t>
    <phoneticPr fontId="1" type="noConversion"/>
  </si>
  <si>
    <t>먹는 회</t>
    <phoneticPr fontId="1" type="noConversion"/>
  </si>
  <si>
    <t>과녘</t>
    <phoneticPr fontId="1" type="noConversion"/>
  </si>
  <si>
    <t>과녁</t>
    <phoneticPr fontId="1" type="noConversion"/>
  </si>
  <si>
    <t xml:space="preserve">at마드리드 - 캄프누 </t>
    <phoneticPr fontId="1" type="noConversion"/>
  </si>
  <si>
    <t>수선화</t>
    <phoneticPr fontId="1" type="noConversion"/>
  </si>
  <si>
    <t>리어왕</t>
    <phoneticPr fontId="1" type="noConversion"/>
  </si>
  <si>
    <t xml:space="preserve">너구리 </t>
    <phoneticPr fontId="1" type="noConversion"/>
  </si>
  <si>
    <t>북태평양기단</t>
    <phoneticPr fontId="1" type="noConversion"/>
  </si>
  <si>
    <t>현충일</t>
    <phoneticPr fontId="1" type="noConversion"/>
  </si>
  <si>
    <t>잉글랜드</t>
    <phoneticPr fontId="1" type="noConversion"/>
  </si>
  <si>
    <t>네덜란드</t>
    <phoneticPr fontId="1" type="noConversion"/>
  </si>
  <si>
    <t>디른들</t>
    <phoneticPr fontId="1" type="noConversion"/>
  </si>
  <si>
    <t>A조 - 러시아</t>
    <phoneticPr fontId="1" type="noConversion"/>
  </si>
  <si>
    <t>7번</t>
    <phoneticPr fontId="1" type="noConversion"/>
  </si>
  <si>
    <t>핀토 고슴도치</t>
    <phoneticPr fontId="1" type="noConversion"/>
  </si>
  <si>
    <t>Wind</t>
    <phoneticPr fontId="1" type="noConversion"/>
  </si>
  <si>
    <t>백신</t>
    <phoneticPr fontId="1" type="noConversion"/>
  </si>
  <si>
    <t>바지선</t>
    <phoneticPr fontId="1" type="noConversion"/>
  </si>
  <si>
    <t>김제동초등학교</t>
    <phoneticPr fontId="1" type="noConversion"/>
  </si>
  <si>
    <t>소만</t>
    <phoneticPr fontId="1" type="noConversion"/>
  </si>
  <si>
    <t>망종</t>
    <phoneticPr fontId="1" type="noConversion"/>
  </si>
  <si>
    <t>교촌레드콤보</t>
    <phoneticPr fontId="1" type="noConversion"/>
  </si>
  <si>
    <t>큰바람</t>
    <phoneticPr fontId="1" type="noConversion"/>
  </si>
  <si>
    <t>염소</t>
    <phoneticPr fontId="1" type="noConversion"/>
  </si>
  <si>
    <t xml:space="preserve"> 피라미드 모양은 몇 개의 면으로 이뤄져 있을까?</t>
    <phoneticPr fontId="1" type="noConversion"/>
  </si>
  <si>
    <t>진도</t>
    <phoneticPr fontId="1" type="noConversion"/>
  </si>
  <si>
    <t>모노앨범</t>
    <phoneticPr fontId="1" type="noConversion"/>
  </si>
  <si>
    <t xml:space="preserve"> 꿀벌이 여러 식물에서 뽑아낸 물질에 침과 효소 등을 섞어서 만든 것은?</t>
    <phoneticPr fontId="1" type="noConversion"/>
  </si>
  <si>
    <t>안드레스 이니에스타</t>
    <phoneticPr fontId="1" type="noConversion"/>
  </si>
  <si>
    <t>뽕</t>
    <phoneticPr fontId="1" type="noConversion"/>
  </si>
  <si>
    <t>수족구병</t>
    <phoneticPr fontId="1" type="noConversion"/>
  </si>
  <si>
    <t>감기</t>
    <phoneticPr fontId="1" type="noConversion"/>
  </si>
  <si>
    <t>유재석</t>
    <phoneticPr fontId="1" type="noConversion"/>
  </si>
  <si>
    <t>빌딩트래커</t>
    <phoneticPr fontId="1" type="noConversion"/>
  </si>
  <si>
    <t xml:space="preserve"> 지구의 기온이 일정하게 유지되다가, 산업화 이후 급상승한 것을 보여주는 그래프는?</t>
    <phoneticPr fontId="1" type="noConversion"/>
  </si>
  <si>
    <t xml:space="preserve"> ‘CMYK 색 모델’에 포함되지 않는 색상은?</t>
    <phoneticPr fontId="1" type="noConversion"/>
  </si>
  <si>
    <t>신트림</t>
    <phoneticPr fontId="1" type="noConversion"/>
  </si>
  <si>
    <t>된트림</t>
    <phoneticPr fontId="1" type="noConversion"/>
  </si>
  <si>
    <t xml:space="preserve"> 지방자치단체장의 연임 제한 횟수는?</t>
    <phoneticPr fontId="1" type="noConversion"/>
  </si>
  <si>
    <t>영어</t>
    <phoneticPr fontId="1" type="noConversion"/>
  </si>
  <si>
    <t xml:space="preserve"> 올해는 서기 2018년 이다. 그러면 단기로는 몇 년 일까?</t>
    <phoneticPr fontId="1" type="noConversion"/>
  </si>
  <si>
    <t xml:space="preserve"> 소의 4개의 위 중 3번째에 해당하는 것은?</t>
    <phoneticPr fontId="1" type="noConversion"/>
  </si>
  <si>
    <t xml:space="preserve"> 우리나라 국기인 태권도의 품새 종류가 아닌 것은?</t>
    <phoneticPr fontId="1" type="noConversion"/>
  </si>
  <si>
    <t xml:space="preserve"> 브라질의 열정적이고 관능적인 춤으로 “채찍”이란 뜻을 가진 것은?</t>
    <phoneticPr fontId="1" type="noConversion"/>
  </si>
  <si>
    <t>안타</t>
    <phoneticPr fontId="1" type="noConversion"/>
  </si>
  <si>
    <t xml:space="preserve"> 다음 중 제주특별자치도에 속하는 섬은 무엇일까?</t>
    <phoneticPr fontId="1" type="noConversion"/>
  </si>
  <si>
    <t xml:space="preserve"> ‘88 서울올림픽’의 공식 주제가는?</t>
    <phoneticPr fontId="1" type="noConversion"/>
  </si>
  <si>
    <t>마하트마 간디</t>
    <phoneticPr fontId="1" type="noConversion"/>
  </si>
  <si>
    <t>아폴로 계획</t>
    <phoneticPr fontId="1" type="noConversion"/>
  </si>
  <si>
    <t xml:space="preserve"> 발명품과 최초 만든 사람이 잘못 연결된 것은?</t>
    <phoneticPr fontId="1" type="noConversion"/>
  </si>
  <si>
    <t>주먹</t>
    <phoneticPr fontId="1" type="noConversion"/>
  </si>
  <si>
    <t>1천원권 – 율곡이이</t>
    <phoneticPr fontId="1" type="noConversion"/>
  </si>
  <si>
    <t>1만원권 – 세종대왕</t>
    <phoneticPr fontId="1" type="noConversion"/>
  </si>
  <si>
    <t>5만원권 - 신사임당</t>
    <phoneticPr fontId="1" type="noConversion"/>
  </si>
  <si>
    <t xml:space="preserve"> 만화책 저자가 우리나라 사람인 것은?</t>
    <phoneticPr fontId="1" type="noConversion"/>
  </si>
  <si>
    <t>원피스</t>
    <phoneticPr fontId="1" type="noConversion"/>
  </si>
  <si>
    <t xml:space="preserve"> 카드이용대금을 일부만 결제하는 제도는?</t>
    <phoneticPr fontId="1" type="noConversion"/>
  </si>
  <si>
    <t xml:space="preserve"> 영화&lt;코코&gt;의 배경이 된 지역은 어디일까?</t>
    <phoneticPr fontId="1" type="noConversion"/>
  </si>
  <si>
    <t>미니멈의 법칙</t>
    <phoneticPr fontId="1" type="noConversion"/>
  </si>
  <si>
    <t>딜버트의 법칙</t>
    <phoneticPr fontId="1" type="noConversion"/>
  </si>
  <si>
    <t xml:space="preserve"> 불특정 다수에게 대량으로 유포되는 광고성 전자우편은?</t>
    <phoneticPr fontId="1" type="noConversion"/>
  </si>
  <si>
    <t>교육의 의무</t>
    <phoneticPr fontId="1" type="noConversion"/>
  </si>
  <si>
    <t>메가버스터</t>
    <phoneticPr fontId="1" type="noConversion"/>
  </si>
  <si>
    <t xml:space="preserve"> 6월부터 ‘호우주의보’는 3시간 동안 □이상 비가 예상될 때 발령된다. 알맞은 말은?</t>
    <phoneticPr fontId="1" type="noConversion"/>
  </si>
  <si>
    <t>오리입</t>
    <phoneticPr fontId="1" type="noConversion"/>
  </si>
  <si>
    <t xml:space="preserve"> 《오아시스, 우유니, 사하라》 다음에서 연상되는 것은?</t>
    <phoneticPr fontId="1" type="noConversion"/>
  </si>
  <si>
    <t>1910년 8월 29일</t>
    <phoneticPr fontId="1" type="noConversion"/>
  </si>
  <si>
    <t>1910년 3월 15일</t>
    <phoneticPr fontId="1" type="noConversion"/>
  </si>
  <si>
    <t xml:space="preserve"> 다음 중 ‘보퍼트의 풍력 계급’중 가장 약한 바람은?</t>
    <phoneticPr fontId="1" type="noConversion"/>
  </si>
  <si>
    <t xml:space="preserve"> 우리나라 최초로 전기가 들어온 곳은?</t>
    <phoneticPr fontId="1" type="noConversion"/>
  </si>
  <si>
    <t>26개</t>
    <phoneticPr fontId="1" type="noConversion"/>
  </si>
  <si>
    <t>퍼펙트 스톰</t>
    <phoneticPr fontId="1" type="noConversion"/>
  </si>
  <si>
    <t xml:space="preserve"> 숫자를 나타내는 단어 중 뜻이 다른 하나는?</t>
    <phoneticPr fontId="1" type="noConversion"/>
  </si>
  <si>
    <t xml:space="preserve"> 실업률과 경제성장률간의 상관 관계를 뜻하는 단어는?</t>
    <phoneticPr fontId="1" type="noConversion"/>
  </si>
  <si>
    <t>테일러의 법칙</t>
    <phoneticPr fontId="1" type="noConversion"/>
  </si>
  <si>
    <t>오쿤의 법칙</t>
    <phoneticPr fontId="1" type="noConversion"/>
  </si>
  <si>
    <t>10년</t>
    <phoneticPr fontId="1" type="noConversion"/>
  </si>
  <si>
    <t xml:space="preserve"> ‘지렁이도 밟으면 ()한다’에서 ()는 무엇인가?</t>
    <phoneticPr fontId="1" type="noConversion"/>
  </si>
  <si>
    <t>전쟁에서 사용하는 끝이 날카로운 창</t>
    <phoneticPr fontId="1" type="noConversion"/>
  </si>
  <si>
    <t>흑색수배</t>
    <phoneticPr fontId="1" type="noConversion"/>
  </si>
  <si>
    <t xml:space="preserve"> 사회봉사를 표방하는 세계 최초의 봉사 클럽 연합체 이름은?</t>
    <phoneticPr fontId="1" type="noConversion"/>
  </si>
  <si>
    <t>로타리 클럽</t>
    <phoneticPr fontId="1" type="noConversion"/>
  </si>
  <si>
    <t>Gateball</t>
    <phoneticPr fontId="1" type="noConversion"/>
  </si>
  <si>
    <t xml:space="preserve"> 바로 오늘! 2018 월드컵 F조인 우리나라와 첫 경기를 하는 나라는?</t>
    <phoneticPr fontId="1" type="noConversion"/>
  </si>
  <si>
    <t>파란색-흰색-빨간색(세로줄)</t>
    <phoneticPr fontId="1" type="noConversion"/>
  </si>
  <si>
    <t>브라질</t>
    <phoneticPr fontId="1" type="noConversion"/>
  </si>
  <si>
    <t>우루과이</t>
    <phoneticPr fontId="1" type="noConversion"/>
  </si>
  <si>
    <t>슈퍼노바</t>
    <phoneticPr fontId="1" type="noConversion"/>
  </si>
  <si>
    <t xml:space="preserve"> 선수와 감독으로 모두 월드컵 우승을 경험한 사람은?</t>
    <phoneticPr fontId="1" type="noConversion"/>
  </si>
  <si>
    <t>프란츠 베켄바워</t>
    <phoneticPr fontId="1" type="noConversion"/>
  </si>
  <si>
    <t xml:space="preserve"> 우리나라가 월드컵 본선에서 첫승을 기록한 상대 국가는?</t>
    <phoneticPr fontId="1" type="noConversion"/>
  </si>
  <si>
    <t>호나우두</t>
    <phoneticPr fontId="1" type="noConversion"/>
  </si>
  <si>
    <t xml:space="preserve"> 홍길동전에 등장하는 이상사회의 이름은?</t>
    <phoneticPr fontId="1" type="noConversion"/>
  </si>
  <si>
    <t>소고기뭇국</t>
    <phoneticPr fontId="1" type="noConversion"/>
  </si>
  <si>
    <t>Ctrl+A – 전체 선택하기</t>
    <phoneticPr fontId="1" type="noConversion"/>
  </si>
  <si>
    <t>튤립</t>
    <phoneticPr fontId="1" type="noConversion"/>
  </si>
  <si>
    <t xml:space="preserve"> 오케스트라에서 전체 악기를 조율할 때 음의 기준이 되는 악기는?</t>
    <phoneticPr fontId="1" type="noConversion"/>
  </si>
  <si>
    <t xml:space="preserve"> ‘사무실 책상 앞에서 급하게 먹는 점심’을 뜻하는 신조어는?</t>
    <phoneticPr fontId="1" type="noConversion"/>
  </si>
  <si>
    <t>돈</t>
    <phoneticPr fontId="1" type="noConversion"/>
  </si>
  <si>
    <t xml:space="preserve"> 승마에서 말이 대각선이 되는 두발을 동시에 들면서 걷거나 달리는 보법은?</t>
    <phoneticPr fontId="1" type="noConversion"/>
  </si>
  <si>
    <t>발라드 보법</t>
    <phoneticPr fontId="1" type="noConversion"/>
  </si>
  <si>
    <t>트롯 보법</t>
    <phoneticPr fontId="1" type="noConversion"/>
  </si>
  <si>
    <t>탱고 보법</t>
    <phoneticPr fontId="1" type="noConversion"/>
  </si>
  <si>
    <t xml:space="preserve"> 대중의 인기를 얻기 위해 선심성 정책을 공약하는 것은?</t>
    <phoneticPr fontId="1" type="noConversion"/>
  </si>
  <si>
    <t xml:space="preserve"> ‘나의 죽음을 적에게 알리지 마라’로 유명한 이순신 장군의 전투는?</t>
    <phoneticPr fontId="1" type="noConversion"/>
  </si>
  <si>
    <t>노량해전</t>
    <phoneticPr fontId="1" type="noConversion"/>
  </si>
  <si>
    <t>옥포해전</t>
    <phoneticPr fontId="1" type="noConversion"/>
  </si>
  <si>
    <t xml:space="preserve"> ‘새로운 물결’이라는 뜻의 1950년대 프랑스 영화 운동은?</t>
    <phoneticPr fontId="1" type="noConversion"/>
  </si>
  <si>
    <t>데카르트 마케팅</t>
    <phoneticPr fontId="1" type="noConversion"/>
  </si>
  <si>
    <t xml:space="preserve"> ‘치자 피즈’처럼 음절 순서를 뒤바꿔 말하는 실수는?</t>
    <phoneticPr fontId="1" type="noConversion"/>
  </si>
  <si>
    <t xml:space="preserve"> 극지방에서 목격되는 ‘오로라(Aurora)’의 뜻은?</t>
    <phoneticPr fontId="1" type="noConversion"/>
  </si>
  <si>
    <t>새벽</t>
    <phoneticPr fontId="1" type="noConversion"/>
  </si>
  <si>
    <t>호시탐탐</t>
    <phoneticPr fontId="1" type="noConversion"/>
  </si>
  <si>
    <t>아바타</t>
    <phoneticPr fontId="1" type="noConversion"/>
  </si>
  <si>
    <t xml:space="preserve"> 윷놀이에서 윷가락의 개수는?</t>
    <phoneticPr fontId="1" type="noConversion"/>
  </si>
  <si>
    <t>더 콰이엇</t>
    <phoneticPr fontId="1" type="noConversion"/>
  </si>
  <si>
    <t>페르난도 보테로</t>
    <phoneticPr fontId="1" type="noConversion"/>
  </si>
  <si>
    <t>백남준</t>
    <phoneticPr fontId="1" type="noConversion"/>
  </si>
  <si>
    <t>덮썩</t>
    <phoneticPr fontId="1" type="noConversion"/>
  </si>
  <si>
    <t>왜바람</t>
    <phoneticPr fontId="1" type="noConversion"/>
  </si>
  <si>
    <t>싱가포르</t>
    <phoneticPr fontId="1" type="noConversion"/>
  </si>
  <si>
    <t xml:space="preserve"> 범인 식별을 위해 구금 과정에서 촬영하는 얼굴 사진을 뜻하는 말은?</t>
    <phoneticPr fontId="1" type="noConversion"/>
  </si>
  <si>
    <t xml:space="preserve"> 결혼 전 우울한 상태를 뜻하는 말은 메리지 모라고 한다. 알맞은 말은?</t>
    <phoneticPr fontId="1" type="noConversion"/>
  </si>
  <si>
    <t xml:space="preserve"> 다음 중 자화상으로 유명한 네덜란드의 화가는?</t>
    <phoneticPr fontId="1" type="noConversion"/>
  </si>
  <si>
    <t xml:space="preserve"> 사내를 낮잡아 이르는 말의 표기법으로 올바른 것은?</t>
    <phoneticPr fontId="1" type="noConversion"/>
  </si>
  <si>
    <t>놈팡이</t>
    <phoneticPr fontId="1" type="noConversion"/>
  </si>
  <si>
    <t>놈팽이</t>
    <phoneticPr fontId="1" type="noConversion"/>
  </si>
  <si>
    <t>조울병</t>
    <phoneticPr fontId="1" type="noConversion"/>
  </si>
  <si>
    <t xml:space="preserve"> 세계 4대 문명이 아닌 것은?</t>
    <phoneticPr fontId="1" type="noConversion"/>
  </si>
  <si>
    <t>메소포타미아 문명</t>
    <phoneticPr fontId="1" type="noConversion"/>
  </si>
  <si>
    <t>우수</t>
    <phoneticPr fontId="1" type="noConversion"/>
  </si>
  <si>
    <t xml:space="preserve"> 애니메이션 ‘꼬마버스 타요’에서 타요의 색깔은 무엇일까요?</t>
    <phoneticPr fontId="1" type="noConversion"/>
  </si>
  <si>
    <t>파랑</t>
    <phoneticPr fontId="1" type="noConversion"/>
  </si>
  <si>
    <t xml:space="preserve"> 우리나라 여름 날씨에 영향을 주는 기단은?</t>
    <phoneticPr fontId="1" type="noConversion"/>
  </si>
  <si>
    <t xml:space="preserve"> 방송 프로그램과 프로그램 사이 시간을 이용해 전달하는 토막 뉴스는?</t>
    <phoneticPr fontId="1" type="noConversion"/>
  </si>
  <si>
    <t>우유</t>
    <phoneticPr fontId="1" type="noConversion"/>
  </si>
  <si>
    <t>도널드 트럼프가 출연한 영화가 아닌 것은?</t>
    <phoneticPr fontId="1" type="noConversion"/>
  </si>
  <si>
    <t xml:space="preserve"> 다음 중 사람 이름에서 유래한 상은?</t>
    <phoneticPr fontId="1" type="noConversion"/>
  </si>
  <si>
    <t>맨부커상</t>
    <phoneticPr fontId="1" type="noConversion"/>
  </si>
  <si>
    <t xml:space="preserve"> 쿠바의 민속 리듬인 룸바에 재즈 요소를 가미한 리듬 또는 그 춤곡은?</t>
    <phoneticPr fontId="1" type="noConversion"/>
  </si>
  <si>
    <t>랜섬웨어</t>
    <phoneticPr fontId="1" type="noConversion"/>
  </si>
  <si>
    <t>멧돼지</t>
    <phoneticPr fontId="1" type="noConversion"/>
  </si>
  <si>
    <t>아이라이너의 법칙</t>
    <phoneticPr fontId="1" type="noConversion"/>
  </si>
  <si>
    <t xml:space="preserve"> 가격이 비쌀수록 오히려 구매 소비자의 수가 늘어나는 현상은?</t>
    <phoneticPr fontId="1" type="noConversion"/>
  </si>
  <si>
    <t>구매버블 효과</t>
    <phoneticPr fontId="1" type="noConversion"/>
  </si>
  <si>
    <t>이코노믹 효과</t>
    <phoneticPr fontId="1" type="noConversion"/>
  </si>
  <si>
    <t xml:space="preserve"> 다음 중 틀린 말은?</t>
    <phoneticPr fontId="1" type="noConversion"/>
  </si>
  <si>
    <t>애시당초</t>
    <phoneticPr fontId="1" type="noConversion"/>
  </si>
  <si>
    <t xml:space="preserve"> 일반적으로 엄마가 O형, 아빠가 AB형일 때 나올 수 없는 혈액형은?</t>
    <phoneticPr fontId="1" type="noConversion"/>
  </si>
  <si>
    <t>A형</t>
    <phoneticPr fontId="1" type="noConversion"/>
  </si>
  <si>
    <t xml:space="preserve"> 조선시대 유학자로 ‘이기호발설’을 주장한 사람은?</t>
    <phoneticPr fontId="1" type="noConversion"/>
  </si>
  <si>
    <t xml:space="preserve"> 제주도에 없는 동굴은?</t>
    <phoneticPr fontId="1" type="noConversion"/>
  </si>
  <si>
    <t xml:space="preserve"> ‘아이들 같은 감성과 취향을 지닌 어른’을 지칭하는 용어는?</t>
    <phoneticPr fontId="1" type="noConversion"/>
  </si>
  <si>
    <t>키덜트</t>
    <phoneticPr fontId="1" type="noConversion"/>
  </si>
  <si>
    <t>전국 노래자랑</t>
    <phoneticPr fontId="1" type="noConversion"/>
  </si>
  <si>
    <t xml:space="preserve"> 다음 중 당구의 종목이 아닌 것은?</t>
    <phoneticPr fontId="1" type="noConversion"/>
  </si>
  <si>
    <t xml:space="preserve"> 다음 중 &lt;조깅(jogging)&gt;의 뜻으로 알맞은 것은?</t>
    <phoneticPr fontId="1" type="noConversion"/>
  </si>
  <si>
    <t>레스큐</t>
    <phoneticPr fontId="1" type="noConversion"/>
  </si>
  <si>
    <t xml:space="preserve"> 만화&lt;소년탐정 김전일&gt;의 주인공 김전일이 사건을 해결하기 전 항상하는 말은?</t>
    <phoneticPr fontId="1" type="noConversion"/>
  </si>
  <si>
    <t>할아버지께서는 이렇게 말씀하셨지</t>
    <phoneticPr fontId="1" type="noConversion"/>
  </si>
  <si>
    <t>오션스11</t>
    <phoneticPr fontId="1" type="noConversion"/>
  </si>
  <si>
    <t xml:space="preserve"> 반다이에서 출시되는 건담 프라모델의 스케일별 등급을 잘못 표시한 것은?</t>
    <phoneticPr fontId="1" type="noConversion"/>
  </si>
  <si>
    <t>‘Circle of Life’는 어떤 뮤지컬의 OST일까?</t>
    <phoneticPr fontId="1" type="noConversion"/>
  </si>
  <si>
    <t>시카고</t>
    <phoneticPr fontId="1" type="noConversion"/>
  </si>
  <si>
    <t>클래식 기타</t>
    <phoneticPr fontId="1" type="noConversion"/>
  </si>
  <si>
    <t xml:space="preserve"> 다음 중 국내에서 가장 최근에 발행된 기념우표는?</t>
    <phoneticPr fontId="1" type="noConversion"/>
  </si>
  <si>
    <t xml:space="preserve"> 칠월칠석에 견우와 직녀가 만나는 다리의 이름은?</t>
    <phoneticPr fontId="1" type="noConversion"/>
  </si>
  <si>
    <t xml:space="preserve"> “날좀보소~날좀보소~동지 섣달~”로 시작하는 아리랑은?</t>
    <phoneticPr fontId="1" type="noConversion"/>
  </si>
  <si>
    <t>정선 아리랑</t>
    <phoneticPr fontId="1" type="noConversion"/>
  </si>
  <si>
    <t xml:space="preserve"> 다음 중 고리가 없는 행성은?</t>
    <phoneticPr fontId="1" type="noConversion"/>
  </si>
  <si>
    <t xml:space="preserve"> “인간은 생각하는 갈대이다”라는 명언을 남긴 학자는 누구일까?</t>
    <phoneticPr fontId="1" type="noConversion"/>
  </si>
  <si>
    <t xml:space="preserve"> 다음 중 ‘멍 때리다’를 뜻하는 영어 관용어는?</t>
    <phoneticPr fontId="1" type="noConversion"/>
  </si>
  <si>
    <t xml:space="preserve"> 세계 최초의 원자로는?</t>
    <phoneticPr fontId="1" type="noConversion"/>
  </si>
  <si>
    <t>워싱턴 파일</t>
    <phoneticPr fontId="1" type="noConversion"/>
  </si>
  <si>
    <t xml:space="preserve"> 다음 중 뜻이 다른 하나는?</t>
    <phoneticPr fontId="1" type="noConversion"/>
  </si>
  <si>
    <t>날개</t>
    <phoneticPr fontId="1" type="noConversion"/>
  </si>
  <si>
    <t>나해</t>
    <phoneticPr fontId="1" type="noConversion"/>
  </si>
  <si>
    <t xml:space="preserve"> 지진의 ‘규모’를 나타내는 숫자가 0 증가 할 때, 에너지는 몇 배 증가할까?</t>
    <phoneticPr fontId="1" type="noConversion"/>
  </si>
  <si>
    <t>페이코</t>
    <phoneticPr fontId="1" type="noConversion"/>
  </si>
  <si>
    <t>업비트</t>
    <phoneticPr fontId="1" type="noConversion"/>
  </si>
  <si>
    <t xml:space="preserve"> 일보 애니에이션 도라에몽은 무엇을 모델로 한 캐릭터 인가?</t>
    <phoneticPr fontId="1" type="noConversion"/>
  </si>
  <si>
    <t>고양이</t>
    <phoneticPr fontId="1" type="noConversion"/>
  </si>
  <si>
    <t>토끼</t>
    <phoneticPr fontId="1" type="noConversion"/>
  </si>
  <si>
    <t>두더지</t>
    <phoneticPr fontId="1" type="noConversion"/>
  </si>
  <si>
    <t xml:space="preserve"> 테슬라의 CEO이자 아이언맨의 실제 모델로 불리는 인물은?</t>
    <phoneticPr fontId="1" type="noConversion"/>
  </si>
  <si>
    <t xml:space="preserve"> 정치계에서 흑색선전(黑色宣傳)과 비슷한 의미로 쓰이는 단어는?</t>
    <phoneticPr fontId="1" type="noConversion"/>
  </si>
  <si>
    <t>헤게모니</t>
    <phoneticPr fontId="1" type="noConversion"/>
  </si>
  <si>
    <t xml:space="preserve"> 악보에서 ‘매우 세게’연주하라는 말은?</t>
    <phoneticPr fontId="1" type="noConversion"/>
  </si>
  <si>
    <t xml:space="preserve"> 네덜란드의 한 문화사학자가 제창한 개념으로 인간의 본질을 ‘유희’라고 한 인간관은?</t>
    <phoneticPr fontId="1" type="noConversion"/>
  </si>
  <si>
    <t>꽃봉오리</t>
    <phoneticPr fontId="1" type="noConversion"/>
  </si>
  <si>
    <t xml:space="preserve"> 다음 중 우리나라 경찰 공무원의 계급으로 가장 높은 것은?</t>
    <phoneticPr fontId="1" type="noConversion"/>
  </si>
  <si>
    <t>경감</t>
    <phoneticPr fontId="1" type="noConversion"/>
  </si>
  <si>
    <t>치안감</t>
    <phoneticPr fontId="1" type="noConversion"/>
  </si>
  <si>
    <t xml:space="preserve"> 2014 브라질 월드컵 최종 우승국은?</t>
    <phoneticPr fontId="1" type="noConversion"/>
  </si>
  <si>
    <t xml:space="preserve"> 족집게 예언으로 화제된 문어 ‘파울’에 버금가는 2018 월드컵의 족집게 동물은?</t>
    <phoneticPr fontId="1" type="noConversion"/>
  </si>
  <si>
    <t xml:space="preserve"> 2022년 월드컵이 열리는 나라는?</t>
    <phoneticPr fontId="1" type="noConversion"/>
  </si>
  <si>
    <t xml:space="preserve"> 월드컵 본선에서 우리나라 첫 원정승 상대국가는?</t>
    <phoneticPr fontId="1" type="noConversion"/>
  </si>
  <si>
    <t xml:space="preserve"> 역대 FIFA 월드컵 최다 우승국은?</t>
    <phoneticPr fontId="1" type="noConversion"/>
  </si>
  <si>
    <t>4800만달러</t>
    <phoneticPr fontId="1" type="noConversion"/>
  </si>
  <si>
    <t>3800만달러</t>
    <phoneticPr fontId="1" type="noConversion"/>
  </si>
  <si>
    <t>루즈니키 스타디움</t>
    <phoneticPr fontId="1" type="noConversion"/>
  </si>
  <si>
    <t>크레스톱스키 스타디움</t>
    <phoneticPr fontId="1" type="noConversion"/>
  </si>
  <si>
    <t xml:space="preserve"> 2018 월드컵 국가별 조편성이 틀린 것은?</t>
    <phoneticPr fontId="1" type="noConversion"/>
  </si>
  <si>
    <t>리오넬 메시(아르헨티나)</t>
    <phoneticPr fontId="1" type="noConversion"/>
  </si>
  <si>
    <t>사울 니게스(스페인)</t>
    <phoneticPr fontId="1" type="noConversion"/>
  </si>
  <si>
    <t>일본</t>
    <phoneticPr fontId="1" type="noConversion"/>
  </si>
  <si>
    <t xml:space="preserve"> 역대 월드컵 축구경기 중 최단시간 퇴장 기록은?</t>
    <phoneticPr fontId="1" type="noConversion"/>
  </si>
  <si>
    <t xml:space="preserve"> 2018 월드컵에 참가 중인 국가와 감독이 잘못 연결된 것은?</t>
    <phoneticPr fontId="1" type="noConversion"/>
  </si>
  <si>
    <t>스페인 – 페르난도 이에로</t>
    <phoneticPr fontId="1" type="noConversion"/>
  </si>
  <si>
    <t>브라질 – 페르난도 산토스</t>
    <phoneticPr fontId="1" type="noConversion"/>
  </si>
  <si>
    <t xml:space="preserve"> 속담 ‘같은 값이면 모’에서 모는?</t>
    <phoneticPr fontId="1" type="noConversion"/>
  </si>
  <si>
    <t>검정치마</t>
    <phoneticPr fontId="1" type="noConversion"/>
  </si>
  <si>
    <t>양은냄비</t>
    <phoneticPr fontId="1" type="noConversion"/>
  </si>
  <si>
    <t xml:space="preserve"> 다음 중 결혼한 사람은?</t>
    <phoneticPr fontId="1" type="noConversion"/>
  </si>
  <si>
    <t xml:space="preserve"> 다음 중 G7에 속하는 나라는?</t>
    <phoneticPr fontId="1" type="noConversion"/>
  </si>
  <si>
    <t xml:space="preserve"> 조선시대 양반층의 풍류, 남녀 간의 연애 등을 주로 그린 풍속화가는?</t>
    <phoneticPr fontId="1" type="noConversion"/>
  </si>
  <si>
    <t xml:space="preserve"> 고양이가 먹어도 되는 안전한 음식은?</t>
    <phoneticPr fontId="1" type="noConversion"/>
  </si>
  <si>
    <t>사람이 먹는 참치캔</t>
    <phoneticPr fontId="1" type="noConversion"/>
  </si>
  <si>
    <t>로튼 토마토</t>
    <phoneticPr fontId="1" type="noConversion"/>
  </si>
  <si>
    <t>로튼 레몬</t>
    <phoneticPr fontId="1" type="noConversion"/>
  </si>
  <si>
    <t>기화</t>
    <phoneticPr fontId="1" type="noConversion"/>
  </si>
  <si>
    <t xml:space="preserve"> 아인슈타인에게 노벨 물리학상을 안겨준 논문은?</t>
    <phoneticPr fontId="1" type="noConversion"/>
  </si>
  <si>
    <t xml:space="preserve"> 사물 인터넷, 빅 데이터 등 첨단 정보통시기술의 발달로 산업의 경계가 모호해지는 현상은?</t>
    <phoneticPr fontId="1" type="noConversion"/>
  </si>
  <si>
    <t>빅 블러</t>
    <phoneticPr fontId="1" type="noConversion"/>
  </si>
  <si>
    <t xml:space="preserve"> 인간이 실제 만든 물체 중 지구에서 가장 멀리 있는 것은?</t>
    <phoneticPr fontId="1" type="noConversion"/>
  </si>
  <si>
    <t xml:space="preserve"> 속담 중 낮말은 새가 듣고 밤말은 누가 들을까?</t>
    <phoneticPr fontId="1" type="noConversion"/>
  </si>
  <si>
    <t>도둑</t>
    <phoneticPr fontId="1" type="noConversion"/>
  </si>
  <si>
    <t xml:space="preserve"> 중국과 일본의 영토분쟁이 있는 곳의 명칭으로 맞는 것은?</t>
    <phoneticPr fontId="1" type="noConversion"/>
  </si>
  <si>
    <t xml:space="preserve">센카쿠 열도 </t>
    <phoneticPr fontId="1" type="noConversion"/>
  </si>
  <si>
    <t>케겔운동</t>
    <phoneticPr fontId="1" type="noConversion"/>
  </si>
  <si>
    <t>반심성암</t>
    <phoneticPr fontId="1" type="noConversion"/>
  </si>
  <si>
    <t>보쌈</t>
    <phoneticPr fontId="1" type="noConversion"/>
  </si>
  <si>
    <t>Joint Security Area</t>
    <phoneticPr fontId="1" type="noConversion"/>
  </si>
  <si>
    <t xml:space="preserve"> 야구에서 가장 재미있는 경기 내용을 보여준다는 8대 7 스코어를 뜻하는 말은?</t>
    <phoneticPr fontId="1" type="noConversion"/>
  </si>
  <si>
    <t>펠레 스코어</t>
    <phoneticPr fontId="1" type="noConversion"/>
  </si>
  <si>
    <t xml:space="preserve"> 여러 번을 강조할 때 ‘골백번’이라고 한다. ‘골’이 뜻하는 숫자는?</t>
    <phoneticPr fontId="1" type="noConversion"/>
  </si>
  <si>
    <t xml:space="preserve"> 우리나라에서 자주 국방을 위해 개발한 무기 중 미사일이 아닌 것은?</t>
    <phoneticPr fontId="1" type="noConversion"/>
  </si>
  <si>
    <t>비호</t>
    <phoneticPr fontId="1" type="noConversion"/>
  </si>
  <si>
    <t xml:space="preserve"> 다음 중 지구에서 볼 때 태양이 달에 의해서 가려지는 현상은?</t>
    <phoneticPr fontId="1" type="noConversion"/>
  </si>
  <si>
    <t xml:space="preserve"> 올림픽 마크인 오륜기에 쓰이지 않는 색상은?</t>
    <phoneticPr fontId="1" type="noConversion"/>
  </si>
  <si>
    <t xml:space="preserve"> 비틀즈의 Yesterday를 실제로 작곡한 사람은?</t>
    <phoneticPr fontId="1" type="noConversion"/>
  </si>
  <si>
    <t>접시꽃 당신</t>
    <phoneticPr fontId="1" type="noConversion"/>
  </si>
  <si>
    <t>감정</t>
    <phoneticPr fontId="1" type="noConversion"/>
  </si>
  <si>
    <t xml:space="preserve"> ‘구본신참(舊本新參)’을 원칙으로 하여 토지를 조사하고 지계 발급을 추진했던 개혁은?</t>
    <phoneticPr fontId="1" type="noConversion"/>
  </si>
  <si>
    <t xml:space="preserve"> 비용을 각자 부담하는 것을 이르는 말은?</t>
    <phoneticPr fontId="1" type="noConversion"/>
  </si>
  <si>
    <t>훌리건</t>
    <phoneticPr fontId="1" type="noConversion"/>
  </si>
  <si>
    <t>브루 마스터</t>
    <phoneticPr fontId="1" type="noConversion"/>
  </si>
  <si>
    <t xml:space="preserve"> 아니사키스라고 불리며, 복통의 원인이 되는 이것은?</t>
    <phoneticPr fontId="1" type="noConversion"/>
  </si>
  <si>
    <t>고래회충</t>
    <phoneticPr fontId="1" type="noConversion"/>
  </si>
  <si>
    <t xml:space="preserve"> 애국가 4절의 가사가 아닌 것은?</t>
    <phoneticPr fontId="1" type="noConversion"/>
  </si>
  <si>
    <t>이 기상과 이 맘으로</t>
    <phoneticPr fontId="1" type="noConversion"/>
  </si>
  <si>
    <t xml:space="preserve"> 미국 전직 대통령 이름을 딴 항공모함이 아닌 것은?</t>
    <phoneticPr fontId="1" type="noConversion"/>
  </si>
  <si>
    <t xml:space="preserve"> 뉴턴의 운동 제2법칙 ‘F=ma’에서 a란?</t>
    <phoneticPr fontId="1" type="noConversion"/>
  </si>
  <si>
    <t>해트트릭</t>
    <phoneticPr fontId="1" type="noConversion"/>
  </si>
  <si>
    <t xml:space="preserve"> 경부고속도로의 총 길이는?(한국도로공사 기준)</t>
    <phoneticPr fontId="1" type="noConversion"/>
  </si>
  <si>
    <t>416km</t>
    <phoneticPr fontId="1" type="noConversion"/>
  </si>
  <si>
    <t xml:space="preserve"> 네팔의 수도는?</t>
    <phoneticPr fontId="1" type="noConversion"/>
  </si>
  <si>
    <t xml:space="preserve"> 바나나가 숙성되어 생기는 검은 반점을 뜻하는 말은?</t>
    <phoneticPr fontId="1" type="noConversion"/>
  </si>
  <si>
    <t>산소</t>
    <phoneticPr fontId="1" type="noConversion"/>
  </si>
  <si>
    <t xml:space="preserve"> 다음 중 실제로 제주도에 존재하는 지명은?</t>
    <phoneticPr fontId="1" type="noConversion"/>
  </si>
  <si>
    <t xml:space="preserve"> 골프공에 패인 홈을 부르는 이름은?</t>
    <phoneticPr fontId="1" type="noConversion"/>
  </si>
  <si>
    <t xml:space="preserve"> 레오나르도 다빈치의 작품 &lt;모나리자?의 인물 뒤 배경은?</t>
    <phoneticPr fontId="1" type="noConversion"/>
  </si>
  <si>
    <t>블러드 투어리즘</t>
    <phoneticPr fontId="1" type="noConversion"/>
  </si>
  <si>
    <t>인디언 랠리</t>
    <phoneticPr fontId="1" type="noConversion"/>
  </si>
  <si>
    <t xml:space="preserve"> 길거리에서 연주나 노래를 하는 거리 공연을 일컫는 말은?</t>
    <phoneticPr fontId="1" type="noConversion"/>
  </si>
  <si>
    <t xml:space="preserve"> 소설 ‘운수 좋은 날’의 작가는?</t>
    <phoneticPr fontId="1" type="noConversion"/>
  </si>
  <si>
    <t xml:space="preserve"> 축구에서 비디오 판정을 뜻하는 용어는?</t>
    <phoneticPr fontId="1" type="noConversion"/>
  </si>
  <si>
    <t xml:space="preserve"> ‘모가지가 길어서 슬픈 짐승이여’로 시작하는 노천명의 시 제목은?</t>
    <phoneticPr fontId="1" type="noConversion"/>
  </si>
  <si>
    <t xml:space="preserve"> 프랑스어로 ‘그녀’라는 뜻의 패션 매거진은?</t>
    <phoneticPr fontId="1" type="noConversion"/>
  </si>
  <si>
    <t xml:space="preserve"> ‘유난히 귀엽게 여겨 사랑함’을 뜻하는 순우리말은?</t>
    <phoneticPr fontId="1" type="noConversion"/>
  </si>
  <si>
    <t xml:space="preserve"> 예금은행의 자금조달비용을 반영해 산출되는 새로운 주택담보대출 기준금리는?</t>
    <phoneticPr fontId="1" type="noConversion"/>
  </si>
  <si>
    <t>날 쏘고 가라</t>
    <phoneticPr fontId="1" type="noConversion"/>
  </si>
  <si>
    <t>인도양</t>
    <phoneticPr fontId="1" type="noConversion"/>
  </si>
  <si>
    <t>G쇼크</t>
    <phoneticPr fontId="1" type="noConversion"/>
  </si>
  <si>
    <t>세리에 A</t>
    <phoneticPr fontId="1" type="noConversion"/>
  </si>
  <si>
    <t>40분</t>
    <phoneticPr fontId="1" type="noConversion"/>
  </si>
  <si>
    <t>포도</t>
    <phoneticPr fontId="1" type="noConversion"/>
  </si>
  <si>
    <t>서바이벌 게임</t>
    <phoneticPr fontId="1" type="noConversion"/>
  </si>
  <si>
    <t>워게임</t>
    <phoneticPr fontId="1" type="noConversion"/>
  </si>
  <si>
    <t>원더걸스</t>
    <phoneticPr fontId="1" type="noConversion"/>
  </si>
  <si>
    <t>블랙핑크</t>
    <phoneticPr fontId="1" type="noConversion"/>
  </si>
  <si>
    <t>고양이</t>
    <phoneticPr fontId="1" type="noConversion"/>
  </si>
  <si>
    <t>부다페스트</t>
    <phoneticPr fontId="1" type="noConversion"/>
  </si>
  <si>
    <t>발롱도르</t>
    <phoneticPr fontId="1" type="noConversion"/>
  </si>
  <si>
    <t>덴마크</t>
    <phoneticPr fontId="1" type="noConversion"/>
  </si>
  <si>
    <t>스웨덴</t>
    <phoneticPr fontId="1" type="noConversion"/>
  </si>
  <si>
    <t>일이 안되도록 방해하다</t>
    <phoneticPr fontId="1" type="noConversion"/>
  </si>
  <si>
    <t>아스날 - 에미레이트 스타디움</t>
    <phoneticPr fontId="1" type="noConversion"/>
  </si>
  <si>
    <t>파이팅</t>
    <phoneticPr fontId="1" type="noConversion"/>
  </si>
  <si>
    <t>햄릿</t>
    <phoneticPr fontId="1" type="noConversion"/>
  </si>
  <si>
    <t>라쿤</t>
    <phoneticPr fontId="1" type="noConversion"/>
  </si>
  <si>
    <t xml:space="preserve">몽양 </t>
    <phoneticPr fontId="1" type="noConversion"/>
  </si>
  <si>
    <t>화목동</t>
    <phoneticPr fontId="1" type="noConversion"/>
  </si>
  <si>
    <t>너도 인간이니</t>
    <phoneticPr fontId="1" type="noConversion"/>
  </si>
  <si>
    <t>양쯔강 기단</t>
    <phoneticPr fontId="1" type="noConversion"/>
  </si>
  <si>
    <t xml:space="preserve">엘살바도르  </t>
    <phoneticPr fontId="1" type="noConversion"/>
  </si>
  <si>
    <t>달의 동쪽 서쪽 가로지름</t>
    <phoneticPr fontId="1" type="noConversion"/>
  </si>
  <si>
    <t>사헌부</t>
    <phoneticPr fontId="1" type="noConversion"/>
  </si>
  <si>
    <t>스위스</t>
    <phoneticPr fontId="1" type="noConversion"/>
  </si>
  <si>
    <t>운명에 대한 사랑</t>
    <phoneticPr fontId="1" type="noConversion"/>
  </si>
  <si>
    <t>교촌오리지날</t>
    <phoneticPr fontId="1" type="noConversion"/>
  </si>
  <si>
    <t>다음중 옳은 표기는?</t>
    <phoneticPr fontId="1" type="noConversion"/>
  </si>
  <si>
    <t xml:space="preserve"> 옷 사이즈 ‘XL’에서 X는 무엇의 약자일까?</t>
    <phoneticPr fontId="1" type="noConversion"/>
  </si>
  <si>
    <t xml:space="preserve"> 시위 현장에서 자주 등장하며, 하얀 얼굴과 콧수염이 인상적인 이 가면은?</t>
    <phoneticPr fontId="1" type="noConversion"/>
  </si>
  <si>
    <t xml:space="preserve">개나리장 </t>
    <phoneticPr fontId="1" type="noConversion"/>
  </si>
  <si>
    <t>태풍</t>
    <phoneticPr fontId="1" type="noConversion"/>
  </si>
  <si>
    <t>아리스토텔레스상</t>
    <phoneticPr fontId="1" type="noConversion"/>
  </si>
  <si>
    <t>스피노자상</t>
    <phoneticPr fontId="1" type="noConversion"/>
  </si>
  <si>
    <t xml:space="preserve"> 《칭다오, 삿포로, 뮌헨》 다음에서 연상되는 것은?</t>
    <phoneticPr fontId="1" type="noConversion"/>
  </si>
  <si>
    <t>트럼펫</t>
    <phoneticPr fontId="1" type="noConversion"/>
  </si>
  <si>
    <t xml:space="preserve"> 다음 중 청록파 시인이 아닌 사람은?</t>
    <phoneticPr fontId="1" type="noConversion"/>
  </si>
  <si>
    <t xml:space="preserve"> 스페인어로 ‘가면·변장’이란 뜻의 화장품은?</t>
    <phoneticPr fontId="1" type="noConversion"/>
  </si>
  <si>
    <t>마스카라</t>
    <phoneticPr fontId="1" type="noConversion"/>
  </si>
  <si>
    <t>아이라이너</t>
    <phoneticPr fontId="1" type="noConversion"/>
  </si>
  <si>
    <t>길 아멜리오</t>
    <phoneticPr fontId="1" type="noConversion"/>
  </si>
  <si>
    <t>발바닥</t>
    <phoneticPr fontId="1" type="noConversion"/>
  </si>
  <si>
    <t>오마주</t>
    <phoneticPr fontId="1" type="noConversion"/>
  </si>
  <si>
    <t xml:space="preserve"> 교통카드 크기의 스마트 카드형 앨범을 뜻하는 말은?</t>
    <phoneticPr fontId="1" type="noConversion"/>
  </si>
  <si>
    <t>키노앨범</t>
    <phoneticPr fontId="1" type="noConversion"/>
  </si>
  <si>
    <t xml:space="preserve"> 최근 85억에 낙찰된 ‘붉은색 전면 점화’의 작가는?</t>
    <phoneticPr fontId="1" type="noConversion"/>
  </si>
  <si>
    <t xml:space="preserve"> 블리자드사의 게임 &lt;스타그래프트&gt;의 종족이 아닌 것은?</t>
    <phoneticPr fontId="1" type="noConversion"/>
  </si>
  <si>
    <t>구렛나루</t>
    <phoneticPr fontId="1" type="noConversion"/>
  </si>
  <si>
    <t>구레나루</t>
    <phoneticPr fontId="1" type="noConversion"/>
  </si>
  <si>
    <t xml:space="preserve"> 북한 김정은 국무위원장의 전용기 이름은?</t>
    <phoneticPr fontId="1" type="noConversion"/>
  </si>
  <si>
    <t xml:space="preserve"> 월트 디즈니사에서 제작한 최초의 장편 애니메이션은?</t>
    <phoneticPr fontId="1" type="noConversion"/>
  </si>
  <si>
    <t>모노드라마</t>
    <phoneticPr fontId="1" type="noConversion"/>
  </si>
  <si>
    <t>아버지와 아들</t>
    <phoneticPr fontId="1" type="noConversion"/>
  </si>
  <si>
    <t xml:space="preserve"> ‘베를린필하모니, 뉴욕필하모니’에서 독일어로 ‘필’의 뜻은?</t>
    <phoneticPr fontId="1" type="noConversion"/>
  </si>
  <si>
    <t>G3</t>
    <phoneticPr fontId="1" type="noConversion"/>
  </si>
  <si>
    <t xml:space="preserve">주황색 </t>
    <phoneticPr fontId="1" type="noConversion"/>
  </si>
  <si>
    <t>간장</t>
    <phoneticPr fontId="1" type="noConversion"/>
  </si>
  <si>
    <t xml:space="preserve"> 물리적 힘을 나타내는데 필요한 ‘힘의 3요소’가 아닌 것은?</t>
    <phoneticPr fontId="1" type="noConversion"/>
  </si>
  <si>
    <t xml:space="preserve"> 다음 중 암살당한 인물이 아닌 사람은?</t>
    <phoneticPr fontId="1" type="noConversion"/>
  </si>
  <si>
    <t>다이아몬드</t>
    <phoneticPr fontId="1" type="noConversion"/>
  </si>
  <si>
    <t>말아톤</t>
    <phoneticPr fontId="1" type="noConversion"/>
  </si>
  <si>
    <t xml:space="preserve"> 컴퓨터 관련 용어 중 분류가 다른 하나는?</t>
    <phoneticPr fontId="1" type="noConversion"/>
  </si>
  <si>
    <t xml:space="preserve"> 잠수교 (반포대교)의 차량 통제 기준은 얼마일까?</t>
    <phoneticPr fontId="1" type="noConversion"/>
  </si>
  <si>
    <t>FSC</t>
    <phoneticPr fontId="1" type="noConversion"/>
  </si>
  <si>
    <t xml:space="preserve"> ‘용기를 가지고 도전해 조직에 큰 영향을 주는 구성원’을 일컫는 말은?</t>
    <phoneticPr fontId="1" type="noConversion"/>
  </si>
  <si>
    <t>10개</t>
    <phoneticPr fontId="1" type="noConversion"/>
  </si>
  <si>
    <t xml:space="preserve"> 결혼 관련 용어 ‘스드메’에 해당하지 않는 것은?</t>
    <phoneticPr fontId="1" type="noConversion"/>
  </si>
  <si>
    <t>프레퍼</t>
    <phoneticPr fontId="1" type="noConversion"/>
  </si>
  <si>
    <t>Soccer</t>
    <phoneticPr fontId="1" type="noConversion"/>
  </si>
  <si>
    <t xml:space="preserve"> 다음 중 러시아 국기는? (그림 문제)</t>
    <phoneticPr fontId="1" type="noConversion"/>
  </si>
  <si>
    <t>빨간색-흰색-파란색(가로줄)</t>
    <phoneticPr fontId="1" type="noConversion"/>
  </si>
  <si>
    <t>델스타 19</t>
    <phoneticPr fontId="1" type="noConversion"/>
  </si>
  <si>
    <t xml:space="preserve"> 캐나다 국기의 단풍잎 양쪽에 있는 붉은 기둥이 의미하는 것은?</t>
    <phoneticPr fontId="1" type="noConversion"/>
  </si>
  <si>
    <t xml:space="preserve"> 우리나라 프로농구에서 공격 제한 시간은?</t>
    <phoneticPr fontId="1" type="noConversion"/>
  </si>
  <si>
    <t>‘호랑이’를 뜻하는 한자가 쓰인 사자성어는?</t>
    <phoneticPr fontId="1" type="noConversion"/>
  </si>
  <si>
    <t xml:space="preserve"> 개의 품종이 아닌 것은?</t>
    <phoneticPr fontId="1" type="noConversion"/>
  </si>
  <si>
    <t xml:space="preserve"> 디즈니랜드가 없는 나라는?</t>
    <phoneticPr fontId="1" type="noConversion"/>
  </si>
  <si>
    <t xml:space="preserve"> ‘소꿉놀이’와 의미가 다른 하나는?</t>
    <phoneticPr fontId="1" type="noConversion"/>
  </si>
  <si>
    <t>히말라야</t>
    <phoneticPr fontId="1" type="noConversion"/>
  </si>
  <si>
    <t>곰팡이</t>
    <phoneticPr fontId="1" type="noConversion"/>
  </si>
  <si>
    <t xml:space="preserve"> 북유럽 신화에서 ‘인간 세계’를 뜻하는 말은?</t>
    <phoneticPr fontId="1" type="noConversion"/>
  </si>
  <si>
    <t xml:space="preserve"> ‘고래싸움에 모 터진다’에서 모안에 들어갈 것은?</t>
    <phoneticPr fontId="1" type="noConversion"/>
  </si>
  <si>
    <t xml:space="preserve"> 2018년 G20 정상회담이 열린 나라는?</t>
    <phoneticPr fontId="1" type="noConversion"/>
  </si>
  <si>
    <t>밀양 아리랑</t>
    <phoneticPr fontId="1" type="noConversion"/>
  </si>
  <si>
    <t xml:space="preserve"> 맛은 혓바닥과 입천장에 있는 이곳에서 느끼는데 ‘미뢰’라고도 불리는 이것은?</t>
    <phoneticPr fontId="1" type="noConversion"/>
  </si>
  <si>
    <t xml:space="preserve"> &lt;빌어먹는 놈이 모을 마다할까&gt;에서 모에 들어갈 말은?</t>
    <phoneticPr fontId="1" type="noConversion"/>
  </si>
  <si>
    <t>봉황</t>
    <phoneticPr fontId="1" type="noConversion"/>
  </si>
  <si>
    <t>출산운동</t>
    <phoneticPr fontId="1" type="noConversion"/>
  </si>
  <si>
    <t xml:space="preserve"> 다음 중 벼룩에게 없는 것은?</t>
    <phoneticPr fontId="1" type="noConversion"/>
  </si>
  <si>
    <t xml:space="preserve"> 명품에 비해 저렴하지만 심리적 만족을 얻을 수 있는 고급품을 소비하는 경향은?</t>
    <phoneticPr fontId="1" type="noConversion"/>
  </si>
  <si>
    <t>브루스 윌리스</t>
    <phoneticPr fontId="1" type="noConversion"/>
  </si>
  <si>
    <t xml:space="preserve"> 구름을 타고 다니는 만화주인공이 아닌 것은?</t>
    <phoneticPr fontId="1" type="noConversion"/>
  </si>
  <si>
    <t xml:space="preserve"> 국가를 상대로 한 민사소송에서 법률상 대한민국을 대표하는 사람은?</t>
    <phoneticPr fontId="1" type="noConversion"/>
  </si>
  <si>
    <t>법무부장관</t>
    <phoneticPr fontId="1" type="noConversion"/>
  </si>
  <si>
    <t>엘르(Elle)</t>
    <phoneticPr fontId="1" type="noConversion"/>
  </si>
  <si>
    <t>코스피</t>
    <phoneticPr fontId="1" type="noConversion"/>
  </si>
  <si>
    <t>김태호</t>
    <phoneticPr fontId="1" type="noConversion"/>
  </si>
  <si>
    <t xml:space="preserve"> 다음 중 혼성그룹이 아닌 팀은?</t>
    <phoneticPr fontId="1" type="noConversion"/>
  </si>
  <si>
    <t xml:space="preserve"> 울릉도는 행정구역상 어디에 속하나?</t>
    <phoneticPr fontId="1" type="noConversion"/>
  </si>
  <si>
    <t xml:space="preserve"> 기업이 시장에서 예상했던 것보다 저조한 실적을 발표해 주가에 영향을 미치는 현상은?</t>
    <phoneticPr fontId="1" type="noConversion"/>
  </si>
  <si>
    <t>러닝쇼크</t>
    <phoneticPr fontId="1" type="noConversion"/>
  </si>
  <si>
    <t xml:space="preserve"> 축구 리그가 아닌 것은?</t>
    <phoneticPr fontId="1" type="noConversion"/>
  </si>
  <si>
    <t>불가리아</t>
    <phoneticPr fontId="1" type="noConversion"/>
  </si>
  <si>
    <t xml:space="preserve"> JYP 엔터테인먼트 출신의 걸그룹은?</t>
    <phoneticPr fontId="1" type="noConversion"/>
  </si>
  <si>
    <t xml:space="preserve"> ‘조삼모사(朝三暮四)’와 관련 있는 동물은?</t>
    <phoneticPr fontId="1" type="noConversion"/>
  </si>
  <si>
    <t>실버슈즈</t>
    <phoneticPr fontId="1" type="noConversion"/>
  </si>
  <si>
    <t>34대</t>
    <phoneticPr fontId="1" type="noConversion"/>
  </si>
  <si>
    <t>37대</t>
    <phoneticPr fontId="1" type="noConversion"/>
  </si>
  <si>
    <t xml:space="preserve"> SNS를 통해 관심사가 비슷한 사람끼리 만나 식사를 하며 인간관계를 맺는 것은?</t>
    <phoneticPr fontId="1" type="noConversion"/>
  </si>
  <si>
    <t>소셜스토킹</t>
    <phoneticPr fontId="1" type="noConversion"/>
  </si>
  <si>
    <t xml:space="preserve"> 다음 중 국내에서 가장 크고 가장 오래된 석탑은?</t>
    <phoneticPr fontId="1" type="noConversion"/>
  </si>
  <si>
    <t xml:space="preserve"> 범죄성립의 3대 요건이 아닌 것은?</t>
    <phoneticPr fontId="1" type="noConversion"/>
  </si>
  <si>
    <t xml:space="preserve"> 다음 중 피라미드가 없는 나라는?</t>
    <phoneticPr fontId="1" type="noConversion"/>
  </si>
  <si>
    <t xml:space="preserve"> 비만세 세금을 최초로 도입한 나라는?</t>
    <phoneticPr fontId="1" type="noConversion"/>
  </si>
  <si>
    <t xml:space="preserve"> 흉년·춘궁기에 국가가 백성에게 곡식을 빌려주고 수확기에 갚게 한 구휼제도는?</t>
    <phoneticPr fontId="1" type="noConversion"/>
  </si>
  <si>
    <t>가던 길을 바꾸다</t>
    <phoneticPr fontId="1" type="noConversion"/>
  </si>
  <si>
    <t xml:space="preserve"> '회자되다'의 '회'는 어떤 의미일까? </t>
    <phoneticPr fontId="1" type="noConversion"/>
  </si>
  <si>
    <t xml:space="preserve">다음 중 맞는 표기는? </t>
    <phoneticPr fontId="1" type="noConversion"/>
  </si>
  <si>
    <t xml:space="preserve">다음 중 방탄소년단의 데뷔곡은? </t>
    <phoneticPr fontId="1" type="noConversion"/>
  </si>
  <si>
    <t xml:space="preserve">danger </t>
    <phoneticPr fontId="1" type="noConversion"/>
  </si>
  <si>
    <t xml:space="preserve">다음 중 90년대생인 워너원 멤버는? </t>
    <phoneticPr fontId="1" type="noConversion"/>
  </si>
  <si>
    <t>라이관린</t>
    <phoneticPr fontId="1" type="noConversion"/>
  </si>
  <si>
    <t>다음 중 축구경기장과 사용팀이 바르게 연결 된 것은? (현재 기준)</t>
    <phoneticPr fontId="1" type="noConversion"/>
  </si>
  <si>
    <t>아차산</t>
    <phoneticPr fontId="1" type="noConversion"/>
  </si>
  <si>
    <t>다이아몬드칼라</t>
    <phoneticPr fontId="1" type="noConversion"/>
  </si>
  <si>
    <t>트와이스</t>
    <phoneticPr fontId="1" type="noConversion"/>
  </si>
  <si>
    <t>나뭇잎</t>
    <phoneticPr fontId="1" type="noConversion"/>
  </si>
  <si>
    <t>2번</t>
    <phoneticPr fontId="1" type="noConversion"/>
  </si>
  <si>
    <t xml:space="preserve">Weather </t>
    <phoneticPr fontId="1" type="noConversion"/>
  </si>
  <si>
    <t>심지어</t>
    <phoneticPr fontId="1" type="noConversion"/>
  </si>
  <si>
    <t xml:space="preserve"> ‘피사의 사탑’의 용도는?</t>
    <phoneticPr fontId="1" type="noConversion"/>
  </si>
  <si>
    <t>허리케인</t>
    <phoneticPr fontId="1" type="noConversion"/>
  </si>
  <si>
    <t>폭력</t>
    <phoneticPr fontId="1" type="noConversion"/>
  </si>
  <si>
    <t xml:space="preserve"> 진행자를 뜻하는 MC에서 M은 무엇의 약자일까?</t>
    <phoneticPr fontId="1" type="noConversion"/>
  </si>
  <si>
    <t>페르소나</t>
    <phoneticPr fontId="1" type="noConversion"/>
  </si>
  <si>
    <t>초록</t>
    <phoneticPr fontId="1" type="noConversion"/>
  </si>
  <si>
    <t>김환기</t>
    <phoneticPr fontId="1" type="noConversion"/>
  </si>
  <si>
    <t>장미</t>
    <phoneticPr fontId="1" type="noConversion"/>
  </si>
  <si>
    <t>백설 공주와 일곱 난쟁이</t>
    <phoneticPr fontId="1" type="noConversion"/>
  </si>
  <si>
    <t>신데렐라</t>
    <phoneticPr fontId="1" type="noConversion"/>
  </si>
  <si>
    <t xml:space="preserve"> 일반적인 다른 지역보다 도심지의 온도가 높게 나타나는 현상은?</t>
    <phoneticPr fontId="1" type="noConversion"/>
  </si>
  <si>
    <t>스모그</t>
    <phoneticPr fontId="1" type="noConversion"/>
  </si>
  <si>
    <t>나를 찾아줘</t>
    <phoneticPr fontId="1" type="noConversion"/>
  </si>
  <si>
    <t>다크나이트 라이즈</t>
    <phoneticPr fontId="1" type="noConversion"/>
  </si>
  <si>
    <t>막장드라마</t>
    <phoneticPr fontId="1" type="noConversion"/>
  </si>
  <si>
    <t xml:space="preserve"> 다음 중 상징으로 쓰이는 동물이 다른 야구팀은?</t>
    <phoneticPr fontId="1" type="noConversion"/>
  </si>
  <si>
    <t xml:space="preserve"> 세계 최초로 TV방송을 시작한 나라는?</t>
    <phoneticPr fontId="1" type="noConversion"/>
  </si>
  <si>
    <t>국자</t>
    <phoneticPr fontId="1" type="noConversion"/>
  </si>
  <si>
    <t xml:space="preserve"> 순우리말로 ‘섣달’은 음력 몇 월일까?</t>
    <phoneticPr fontId="1" type="noConversion"/>
  </si>
  <si>
    <t>11월</t>
    <phoneticPr fontId="1" type="noConversion"/>
  </si>
  <si>
    <t>12월</t>
    <phoneticPr fontId="1" type="noConversion"/>
  </si>
  <si>
    <t>에미</t>
    <phoneticPr fontId="1" type="noConversion"/>
  </si>
  <si>
    <t>resterant</t>
    <phoneticPr fontId="1" type="noConversion"/>
  </si>
  <si>
    <t xml:space="preserve"> 폐 내에서 가스교환이 이루어지는 기관의 이름은?</t>
    <phoneticPr fontId="1" type="noConversion"/>
  </si>
  <si>
    <t>허파꼬리</t>
    <phoneticPr fontId="1" type="noConversion"/>
  </si>
  <si>
    <t>허파꽈리</t>
    <phoneticPr fontId="1" type="noConversion"/>
  </si>
  <si>
    <t>펀펀하다</t>
    <phoneticPr fontId="1" type="noConversion"/>
  </si>
  <si>
    <t>푼푼하다</t>
    <phoneticPr fontId="1" type="noConversion"/>
  </si>
  <si>
    <t>이심전심</t>
    <phoneticPr fontId="1" type="noConversion"/>
  </si>
  <si>
    <t>좋아하는</t>
    <phoneticPr fontId="1" type="noConversion"/>
  </si>
  <si>
    <t>1919년</t>
    <phoneticPr fontId="1" type="noConversion"/>
  </si>
  <si>
    <t>후플푸프 – 오소리</t>
    <phoneticPr fontId="1" type="noConversion"/>
  </si>
  <si>
    <t xml:space="preserve"> 물고기의 나이는 무엇을 보고 알 수 있을까?</t>
    <phoneticPr fontId="1" type="noConversion"/>
  </si>
  <si>
    <t>성당</t>
    <phoneticPr fontId="1" type="noConversion"/>
  </si>
  <si>
    <t>골프클럽 그래프</t>
    <phoneticPr fontId="1" type="noConversion"/>
  </si>
  <si>
    <t xml:space="preserve">본인임을 확인할 수 있는 신분증 </t>
    <phoneticPr fontId="1" type="noConversion"/>
  </si>
  <si>
    <t xml:space="preserve"> ‘모르는 사이에 조금씩 조금씩’이라는 뜻의 우리말은?</t>
    <phoneticPr fontId="1" type="noConversion"/>
  </si>
  <si>
    <t xml:space="preserve"> 선거 4대 원칙이 아닌 것은?</t>
    <phoneticPr fontId="1" type="noConversion"/>
  </si>
  <si>
    <t xml:space="preserve"> 용인에 위치한 “에버랜드”의 바뀌기 전 이름은 무엇일까?</t>
    <phoneticPr fontId="1" type="noConversion"/>
  </si>
  <si>
    <t>평양</t>
    <phoneticPr fontId="1" type="noConversion"/>
  </si>
  <si>
    <t>Ti amo(티아모)</t>
    <phoneticPr fontId="1" type="noConversion"/>
  </si>
  <si>
    <t xml:space="preserve">Guten Tag(구텐탁) </t>
    <phoneticPr fontId="1" type="noConversion"/>
  </si>
  <si>
    <t>스나이퍼</t>
    <phoneticPr fontId="1" type="noConversion"/>
  </si>
  <si>
    <t xml:space="preserve">시놉티콘 </t>
    <phoneticPr fontId="1" type="noConversion"/>
  </si>
  <si>
    <t xml:space="preserve"> 세계 최대 국제 경찰 조직으로, 국제 범죄 해결과 기술협력을 위해 설립된 기구는?</t>
    <phoneticPr fontId="1" type="noConversion"/>
  </si>
  <si>
    <t xml:space="preserve"> ‘완전하고 검증가능하며 불가역적인 핵폐기’를 뜻하는 이 용어는?</t>
    <phoneticPr fontId="1" type="noConversion"/>
  </si>
  <si>
    <t>남아프리카공화국</t>
    <phoneticPr fontId="1" type="noConversion"/>
  </si>
  <si>
    <t>상하이 타워</t>
    <phoneticPr fontId="1" type="noConversion"/>
  </si>
  <si>
    <t>크기</t>
    <phoneticPr fontId="1" type="noConversion"/>
  </si>
  <si>
    <t>국민연금</t>
    <phoneticPr fontId="1" type="noConversion"/>
  </si>
  <si>
    <t>처녑</t>
    <phoneticPr fontId="1" type="noConversion"/>
  </si>
  <si>
    <t>디오니소스</t>
    <phoneticPr fontId="1" type="noConversion"/>
  </si>
  <si>
    <t>감바리</t>
    <phoneticPr fontId="1" type="noConversion"/>
  </si>
  <si>
    <t>내미손</t>
    <phoneticPr fontId="1" type="noConversion"/>
  </si>
  <si>
    <t xml:space="preserve"> 소설&lt;채식주의자&gt;로 한국인 최초로 맨부커상을 수상한 작가는?</t>
    <phoneticPr fontId="1" type="noConversion"/>
  </si>
  <si>
    <t>54cm</t>
    <phoneticPr fontId="1" type="noConversion"/>
  </si>
  <si>
    <t xml:space="preserve"> 2018 러시아월드컵에 출전하는 대한민국 대표팀 최종멤버가 아닌 선수는?</t>
    <phoneticPr fontId="1" type="noConversion"/>
  </si>
  <si>
    <t>오반석</t>
    <phoneticPr fontId="1" type="noConversion"/>
  </si>
  <si>
    <t>2011년</t>
    <phoneticPr fontId="1" type="noConversion"/>
  </si>
  <si>
    <t>스파이크</t>
    <phoneticPr fontId="1" type="noConversion"/>
  </si>
  <si>
    <t>희생번트</t>
    <phoneticPr fontId="1" type="noConversion"/>
  </si>
  <si>
    <t>돌리</t>
    <phoneticPr fontId="1" type="noConversion"/>
  </si>
  <si>
    <t xml:space="preserve"> 노벨이 발명한 ‘다이너마이트’는 그리스어로 무슨 뜻일까?</t>
    <phoneticPr fontId="1" type="noConversion"/>
  </si>
  <si>
    <t>힘</t>
    <phoneticPr fontId="1" type="noConversion"/>
  </si>
  <si>
    <t xml:space="preserve"> 세계 최초 여성 대통령을 배출한 나라는?</t>
    <phoneticPr fontId="1" type="noConversion"/>
  </si>
  <si>
    <t>독일</t>
    <phoneticPr fontId="1" type="noConversion"/>
  </si>
  <si>
    <t>쌀</t>
    <phoneticPr fontId="1" type="noConversion"/>
  </si>
  <si>
    <t xml:space="preserve"> 블랙벅(Black buck)은 무슨 동물을 칭하는가?</t>
    <phoneticPr fontId="1" type="noConversion"/>
  </si>
  <si>
    <t xml:space="preserve"> 여의도에 있는 국회의사당을 받치고 있는 주변 외벽의 큰 기둥은 모두 몇 개일까?</t>
    <phoneticPr fontId="1" type="noConversion"/>
  </si>
  <si>
    <t>퍼펙트 트윈스</t>
    <phoneticPr fontId="1" type="noConversion"/>
  </si>
  <si>
    <t>위키드</t>
    <phoneticPr fontId="1" type="noConversion"/>
  </si>
  <si>
    <t xml:space="preserve"> 2018 월드컵, 우리나라 대표팀의 감독은 누구일까?</t>
    <phoneticPr fontId="1" type="noConversion"/>
  </si>
  <si>
    <t xml:space="preserve"> 영화 ‘뷰티풀 마인드’에서 주인공인 존 내쉬가 앓던 병은?</t>
    <phoneticPr fontId="1" type="noConversion"/>
  </si>
  <si>
    <t xml:space="preserve"> 부가가치세 판매세처럼 납세자들이 세금을 내고 있다는 사실을 체감하지 못하도록 한 세금은?</t>
    <phoneticPr fontId="1" type="noConversion"/>
  </si>
  <si>
    <t xml:space="preserve"> 머리가 잠시 멍한 상태가 되어 하려던 말이나 행동을 까맣게 잊는 현상은?</t>
    <phoneticPr fontId="1" type="noConversion"/>
  </si>
  <si>
    <t xml:space="preserve"> 《슬랩스틱 코미디, 콧수염, 모던타임즈》 연상되는 사람은?</t>
    <phoneticPr fontId="1" type="noConversion"/>
  </si>
  <si>
    <t xml:space="preserve"> ‘2018년 5월 설문결과, 한국인이 좋아하는 TV프로그램 1위’는? (한국갤럽)</t>
    <phoneticPr fontId="1" type="noConversion"/>
  </si>
  <si>
    <t>알까기</t>
    <phoneticPr fontId="1" type="noConversion"/>
  </si>
  <si>
    <t xml:space="preserve"> 다음 중 발현악기가 아닌 것은?</t>
    <phoneticPr fontId="1" type="noConversion"/>
  </si>
  <si>
    <t xml:space="preserve"> 2018 월드컵의 개 · 폐막식이 열리는 장소는?</t>
    <phoneticPr fontId="1" type="noConversion"/>
  </si>
  <si>
    <t xml:space="preserve"> ‘신선도 지수’로 영화나 TV쇼를 평가하는 미국 사이트는?</t>
    <phoneticPr fontId="1" type="noConversion"/>
  </si>
  <si>
    <t>광양자 가설(광전 효과)</t>
    <phoneticPr fontId="1" type="noConversion"/>
  </si>
  <si>
    <t xml:space="preserve"> 판문점에 있는 JSA의 뜻은?</t>
    <phoneticPr fontId="1" type="noConversion"/>
  </si>
  <si>
    <t xml:space="preserve"> 조선 세종 때 만든 해시계의 이름은?</t>
    <phoneticPr fontId="1" type="noConversion"/>
  </si>
  <si>
    <t xml:space="preserve"> 다음 중 안도현 시인의 작품이 아닌 것은?</t>
    <phoneticPr fontId="1" type="noConversion"/>
  </si>
  <si>
    <t xml:space="preserve"> 화성의 대기는 95% 이상이 모로 이루어져 있다. 모는?</t>
    <phoneticPr fontId="1" type="noConversion"/>
  </si>
  <si>
    <t>셀럽파이브</t>
    <phoneticPr fontId="1" type="noConversion"/>
  </si>
  <si>
    <t xml:space="preserve"> 별자리의 이름이 아닌 것은?</t>
    <phoneticPr fontId="1" type="noConversion"/>
  </si>
  <si>
    <t>안드로메다</t>
    <phoneticPr fontId="1" type="noConversion"/>
  </si>
  <si>
    <t xml:space="preserve"> 다음 중 우리나라의 특별자치도는 어디일까?</t>
    <phoneticPr fontId="1" type="noConversion"/>
  </si>
  <si>
    <t>먼지껌</t>
    <phoneticPr fontId="1" type="noConversion"/>
  </si>
  <si>
    <t>다음 꽃 이름 중 '수'의 한자가 다른 하나는?</t>
    <phoneticPr fontId="1" type="noConversion"/>
  </si>
  <si>
    <t>수국</t>
    <phoneticPr fontId="1" type="noConversion"/>
  </si>
  <si>
    <t>다음중 시험과 그 주최가 잘못 짝지어진것은?</t>
    <phoneticPr fontId="1" type="noConversion"/>
  </si>
  <si>
    <t>다음 중 상징으로 쓰는 동물이 다른 야구팀은?</t>
    <phoneticPr fontId="1" type="noConversion"/>
  </si>
  <si>
    <t>셰익스피어의 4대 비극이 아닌 것은?</t>
    <phoneticPr fontId="1" type="noConversion"/>
  </si>
  <si>
    <t>서울 지하철 2호선 역이 아닌것은?</t>
    <phoneticPr fontId="1" type="noConversion"/>
  </si>
  <si>
    <t>지력, 심력, 체력, 자기관리 능력, 인간관계 능력을 두루 갖춘 사람을 가리키는 말은?</t>
    <phoneticPr fontId="1" type="noConversion"/>
  </si>
  <si>
    <t xml:space="preserve">다음 중 엑소 카이가 출연하는 드라마는? </t>
    <phoneticPr fontId="1" type="noConversion"/>
  </si>
  <si>
    <t xml:space="preserve">다음 중 일본 국적을 가진 멤버가 없는 아이돌 그룹은? </t>
    <phoneticPr fontId="1" type="noConversion"/>
  </si>
  <si>
    <t>다음 중 띄어쓰기가 올바른 것은?</t>
    <phoneticPr fontId="1" type="noConversion"/>
  </si>
  <si>
    <t xml:space="preserve"> 동요 나비야에서 나오지 않는 나비는</t>
    <phoneticPr fontId="1" type="noConversion"/>
  </si>
  <si>
    <t xml:space="preserve">중앙아메리카에 속하는 나라가 아닌 곳은? </t>
    <phoneticPr fontId="1" type="noConversion"/>
  </si>
  <si>
    <t>김흥국의 호랑나비에 나오는 호랑나비는 몇번 나올까?</t>
    <phoneticPr fontId="1" type="noConversion"/>
  </si>
  <si>
    <t xml:space="preserve">조선시대 언론을 담당한 삼사(三司)가 아닌것은? </t>
    <phoneticPr fontId="1" type="noConversion"/>
  </si>
  <si>
    <t xml:space="preserve">2018 러시아 월드컵 예선 조와 나라가 잘못 연결된 것은? </t>
    <phoneticPr fontId="1" type="noConversion"/>
  </si>
  <si>
    <t xml:space="preserve">동서고가교 </t>
    <phoneticPr fontId="1" type="noConversion"/>
  </si>
  <si>
    <t xml:space="preserve"> 우리나라 최초의 한글소설 &lt;홍길동전&gt;의 저자는?</t>
    <phoneticPr fontId="1" type="noConversion"/>
  </si>
  <si>
    <t xml:space="preserve"> 대한민국에서 세 번째로 큰 섬은?</t>
    <phoneticPr fontId="1" type="noConversion"/>
  </si>
  <si>
    <t xml:space="preserve"> 태극기의 가로세로 비율은?</t>
    <phoneticPr fontId="1" type="noConversion"/>
  </si>
  <si>
    <t>귀</t>
    <phoneticPr fontId="1" type="noConversion"/>
  </si>
  <si>
    <t>Monthly</t>
    <phoneticPr fontId="1" type="noConversion"/>
  </si>
  <si>
    <t xml:space="preserve"> 경주 ‘첨성대’에서 ‘첨성’의 뜻은?</t>
    <phoneticPr fontId="1" type="noConversion"/>
  </si>
  <si>
    <t xml:space="preserve"> ‘회자되다’의 ‘회’는 어떤 의미일까?</t>
    <phoneticPr fontId="1" type="noConversion"/>
  </si>
  <si>
    <t>보라</t>
    <phoneticPr fontId="1" type="noConversion"/>
  </si>
  <si>
    <t>이중섭</t>
    <phoneticPr fontId="1" type="noConversion"/>
  </si>
  <si>
    <t>프로토스</t>
    <phoneticPr fontId="1" type="noConversion"/>
  </si>
  <si>
    <t xml:space="preserve"> 수학능력시험에서 ‘수’한자의 뜻은?</t>
    <phoneticPr fontId="1" type="noConversion"/>
  </si>
  <si>
    <t>목요일</t>
    <phoneticPr fontId="1" type="noConversion"/>
  </si>
  <si>
    <t>살바도르 달리</t>
    <phoneticPr fontId="1" type="noConversion"/>
  </si>
  <si>
    <t>초혼</t>
    <phoneticPr fontId="1" type="noConversion"/>
  </si>
  <si>
    <t>레시피 – 조리법</t>
    <phoneticPr fontId="1" type="noConversion"/>
  </si>
  <si>
    <t>홈페이지 – 가상집</t>
    <phoneticPr fontId="1" type="noConversion"/>
  </si>
  <si>
    <t xml:space="preserve">슬리데린 – 독수리 </t>
    <phoneticPr fontId="1" type="noConversion"/>
  </si>
  <si>
    <t xml:space="preserve">메뚜기 </t>
    <phoneticPr fontId="1" type="noConversion"/>
  </si>
  <si>
    <t xml:space="preserve">한호 </t>
    <phoneticPr fontId="1" type="noConversion"/>
  </si>
  <si>
    <t>스위스 용병</t>
    <phoneticPr fontId="1" type="noConversion"/>
  </si>
  <si>
    <t xml:space="preserve">시나브로 </t>
    <phoneticPr fontId="1" type="noConversion"/>
  </si>
  <si>
    <t>자연공원</t>
    <phoneticPr fontId="1" type="noConversion"/>
  </si>
  <si>
    <t>Je t’aime(쥬뗌므)</t>
    <phoneticPr fontId="1" type="noConversion"/>
  </si>
  <si>
    <t xml:space="preserve">크리켓 </t>
    <phoneticPr fontId="1" type="noConversion"/>
  </si>
  <si>
    <t>인터폴</t>
    <phoneticPr fontId="1" type="noConversion"/>
  </si>
  <si>
    <t>EXID</t>
    <phoneticPr fontId="1" type="noConversion"/>
  </si>
  <si>
    <t>터키</t>
    <phoneticPr fontId="1" type="noConversion"/>
  </si>
  <si>
    <t>사자</t>
    <phoneticPr fontId="1" type="noConversion"/>
  </si>
  <si>
    <t>번아웃 증후군</t>
    <phoneticPr fontId="1" type="noConversion"/>
  </si>
  <si>
    <t>삼바</t>
    <phoneticPr fontId="1" type="noConversion"/>
  </si>
  <si>
    <t>룸바</t>
    <phoneticPr fontId="1" type="noConversion"/>
  </si>
  <si>
    <t xml:space="preserve"> 《매부리, 주먹, 들창》 다음에서 연상되는 것은?</t>
    <phoneticPr fontId="1" type="noConversion"/>
  </si>
  <si>
    <t>코</t>
    <phoneticPr fontId="1" type="noConversion"/>
  </si>
  <si>
    <t>최은영</t>
    <phoneticPr fontId="1" type="noConversion"/>
  </si>
  <si>
    <t xml:space="preserve"> 1인치는 몇 센티미터일까?</t>
    <phoneticPr fontId="1" type="noConversion"/>
  </si>
  <si>
    <t>2009년</t>
    <phoneticPr fontId="1" type="noConversion"/>
  </si>
  <si>
    <t>너클</t>
    <phoneticPr fontId="1" type="noConversion"/>
  </si>
  <si>
    <t>시스티나 성당</t>
    <phoneticPr fontId="1" type="noConversion"/>
  </si>
  <si>
    <t>마르코 폴로 계획</t>
    <phoneticPr fontId="1" type="noConversion"/>
  </si>
  <si>
    <t>창덕궁</t>
    <phoneticPr fontId="1" type="noConversion"/>
  </si>
  <si>
    <t>나이테</t>
    <phoneticPr fontId="1" type="noConversion"/>
  </si>
  <si>
    <t xml:space="preserve"> 다음 중 국가번호가 가장 큰 나라는?</t>
    <phoneticPr fontId="1" type="noConversion"/>
  </si>
  <si>
    <t>알제리</t>
    <phoneticPr fontId="1" type="noConversion"/>
  </si>
  <si>
    <t xml:space="preserve"> 축구와 배구에서 선수 포지션을 나타내는 용어로 수비수의 일종이며 이탈리아어로 ‘자유인’을 뜻하는 말은?</t>
    <phoneticPr fontId="1" type="noConversion"/>
  </si>
  <si>
    <t>광무개혁</t>
    <phoneticPr fontId="1" type="noConversion"/>
  </si>
  <si>
    <t>소치</t>
    <phoneticPr fontId="1" type="noConversion"/>
  </si>
  <si>
    <t>40대</t>
    <phoneticPr fontId="1" type="noConversion"/>
  </si>
  <si>
    <t>다음 중 우리나라 국경일이 아닌 것은?</t>
    <phoneticPr fontId="1" type="noConversion"/>
  </si>
  <si>
    <t>Aeronautics</t>
    <phoneticPr fontId="1" type="noConversion"/>
  </si>
  <si>
    <t xml:space="preserve">다음 중 월드컵을 개최한 나라가 아닌 것은? </t>
    <phoneticPr fontId="1" type="noConversion"/>
  </si>
  <si>
    <t>교촌</t>
    <phoneticPr fontId="1" type="noConversion"/>
  </si>
  <si>
    <t>교촌허니콤보</t>
    <phoneticPr fontId="1" type="noConversion"/>
  </si>
  <si>
    <t>C.  필리핀</t>
  </si>
  <si>
    <r>
      <t>B.  </t>
    </r>
    <r>
      <rPr>
        <sz val="12"/>
        <color rgb="FFFF0000"/>
        <rFont val="Arial"/>
        <family val="2"/>
      </rPr>
      <t>캄보디아</t>
    </r>
  </si>
  <si>
    <t>A.  베트남</t>
  </si>
  <si>
    <t>12. 2010년 한국 남성과의 국제결혼을 한시적으로 금지시킨 나라는?</t>
  </si>
  <si>
    <r>
      <t>C.  </t>
    </r>
    <r>
      <rPr>
        <sz val="12"/>
        <color rgb="FFFF0000"/>
        <rFont val="Arial"/>
        <family val="2"/>
      </rPr>
      <t>기획재정부장관</t>
    </r>
  </si>
  <si>
    <t>B.  외교부장관</t>
  </si>
  <si>
    <t>A.  국방부장관</t>
  </si>
  <si>
    <t>11. 대통령, 국무총리 공석 시 국무회의 의장 직무 대행 순서가 가장 빠른 국무 위원은?</t>
  </si>
  <si>
    <t>C.  조심여</t>
  </si>
  <si>
    <r>
      <t>B.  </t>
    </r>
    <r>
      <rPr>
        <sz val="12"/>
        <color rgb="FFFF0000"/>
        <rFont val="Arial"/>
        <family val="2"/>
      </rPr>
      <t>잠깐여</t>
    </r>
  </si>
  <si>
    <t>A.  방구여</t>
  </si>
  <si>
    <t>10. 실존하는 해양지명이 아닌 것은?</t>
  </si>
  <si>
    <t>C.  청엇과</t>
  </si>
  <si>
    <t>B.  연엇과</t>
  </si>
  <si>
    <r>
      <t>A.  </t>
    </r>
    <r>
      <rPr>
        <sz val="12"/>
        <color rgb="FFFF0000"/>
        <rFont val="Arial"/>
        <family val="2"/>
      </rPr>
      <t>잉엇과</t>
    </r>
  </si>
  <si>
    <t>9. 물고기의 부류를 나누는 말 중, 사이시옷이 올바르게 쓰인 것은?</t>
  </si>
  <si>
    <t>C.  토끼</t>
  </si>
  <si>
    <r>
      <t>B.  </t>
    </r>
    <r>
      <rPr>
        <sz val="12"/>
        <color rgb="FFFF0000"/>
        <rFont val="Arial"/>
        <family val="2"/>
      </rPr>
      <t>다람쥐</t>
    </r>
  </si>
  <si>
    <t>A.  쥐</t>
  </si>
  <si>
    <t>8. 피카츄는 '이 동물'에 영감을 받아 처음 그려졌다. 이 동물은 무엇일까?</t>
  </si>
  <si>
    <r>
      <t>C.  </t>
    </r>
    <r>
      <rPr>
        <sz val="12"/>
        <color rgb="FFFF0000"/>
        <rFont val="Arial"/>
        <family val="2"/>
      </rPr>
      <t>헤어스타일</t>
    </r>
  </si>
  <si>
    <t>B.  상식수준</t>
  </si>
  <si>
    <t>A.  신발규격</t>
  </si>
  <si>
    <t>7. 2010년 이란 정부는 적절한 [   ] 이란 정책을 발표했다. [   ] 에 들어갈 단어는?</t>
  </si>
  <si>
    <r>
      <t>C.  </t>
    </r>
    <r>
      <rPr>
        <sz val="12"/>
        <color rgb="FFFF0000"/>
        <rFont val="Arial"/>
        <family val="2"/>
      </rPr>
      <t>슬리포노믹스</t>
    </r>
  </si>
  <si>
    <t>B.  나이터너믹스</t>
  </si>
  <si>
    <t>A.  논커피믹스</t>
  </si>
  <si>
    <t>6. 소비자의 수면을 돕는 제품 혹은 서비스 등 수면 관련 산업을 일컫는 용어는?</t>
  </si>
  <si>
    <t>C.  규장각</t>
  </si>
  <si>
    <t>B.  독서각</t>
  </si>
  <si>
    <r>
      <t>A.  </t>
    </r>
    <r>
      <rPr>
        <sz val="12"/>
        <color rgb="FFFF0000"/>
        <rFont val="Arial"/>
        <family val="2"/>
      </rPr>
      <t>비서각</t>
    </r>
  </si>
  <si>
    <t>5. 고려 시대의 왕립 도서관은?</t>
  </si>
  <si>
    <t>C.  노인알데하이드</t>
  </si>
  <si>
    <r>
      <t>B.  </t>
    </r>
    <r>
      <rPr>
        <sz val="12"/>
        <color rgb="FFFF0000"/>
        <rFont val="Arial"/>
        <family val="2"/>
      </rPr>
      <t>노넨알디하이드</t>
    </r>
  </si>
  <si>
    <t>A.  노년알데하이드</t>
  </si>
  <si>
    <t>4. 노인에게서 나는 독특한 냄새의 원인이 되는 성분은?</t>
  </si>
  <si>
    <r>
      <t>C.  </t>
    </r>
    <r>
      <rPr>
        <sz val="12"/>
        <color rgb="FFFF0000"/>
        <rFont val="Arial"/>
        <family val="2"/>
      </rPr>
      <t>치와와 커플</t>
    </r>
  </si>
  <si>
    <t>B.  말티즈 커플</t>
  </si>
  <si>
    <t>A.  시츄 커플</t>
  </si>
  <si>
    <t>3. 김국진♥강수지 커플의 별칭은?</t>
  </si>
  <si>
    <t>즐라탄</t>
    <phoneticPr fontId="1" type="noConversion"/>
  </si>
  <si>
    <t>C.  애사심</t>
  </si>
  <si>
    <t>B.  몸조심</t>
  </si>
  <si>
    <r>
      <t>A.  </t>
    </r>
    <r>
      <rPr>
        <sz val="12"/>
        <color rgb="FFFF0000"/>
        <rFont val="Arial"/>
        <family val="2"/>
      </rPr>
      <t>노파심</t>
    </r>
  </si>
  <si>
    <t>2. 남의 일에 대한 기우를 뜻하는 표현은?</t>
  </si>
  <si>
    <t>C.  헤일로 특사</t>
  </si>
  <si>
    <r>
      <t>B. </t>
    </r>
    <r>
      <rPr>
        <sz val="12"/>
        <color rgb="FFFF0000"/>
        <rFont val="Arial"/>
        <family val="2"/>
      </rPr>
      <t> 헤이그 특사</t>
    </r>
  </si>
  <si>
    <t>A.  헤이즈 특사</t>
  </si>
  <si>
    <t>1. 을사조약의 부당함을 알리기 위해 헤이그에 파견한 사절단은?</t>
  </si>
  <si>
    <t>심권호</t>
    <phoneticPr fontId="1" type="noConversion"/>
  </si>
  <si>
    <t>황영조</t>
    <phoneticPr fontId="1" type="noConversion"/>
  </si>
  <si>
    <r>
      <rPr>
        <sz val="10"/>
        <color rgb="FFFF0000"/>
        <rFont val="바탕"/>
        <family val="1"/>
        <charset val="129"/>
      </rPr>
      <t>우사인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볼트</t>
    </r>
    <phoneticPr fontId="1" type="noConversion"/>
  </si>
  <si>
    <t>우승자</t>
    <phoneticPr fontId="1" type="noConversion"/>
  </si>
  <si>
    <r>
      <rPr>
        <sz val="10"/>
        <color rgb="FF000000"/>
        <rFont val="바탕"/>
        <family val="1"/>
        <charset val="129"/>
      </rPr>
      <t>은메달을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받은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</t>
    </r>
    <phoneticPr fontId="1" type="noConversion"/>
  </si>
  <si>
    <r>
      <rPr>
        <sz val="10"/>
        <color rgb="FFFF0000"/>
        <rFont val="바탕"/>
        <family val="1"/>
        <charset val="129"/>
      </rPr>
      <t>월계관을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받은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사람</t>
    </r>
    <phoneticPr fontId="1" type="noConversion"/>
  </si>
  <si>
    <r>
      <rPr>
        <sz val="10"/>
        <color rgb="FF000000"/>
        <rFont val="바탕"/>
        <family val="1"/>
        <charset val="129"/>
      </rPr>
      <t>아인슈타인에게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물리학상을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안겨준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논문은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</si>
  <si>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보퍼트의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계급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바람은</t>
    </r>
    <r>
      <rPr>
        <sz val="10"/>
        <color rgb="FF000000"/>
        <rFont val="Times New Roman"/>
        <family val="1"/>
      </rPr>
      <t>?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</si>
  <si>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시간</t>
    </r>
    <phoneticPr fontId="1" type="noConversion"/>
  </si>
  <si>
    <r>
      <t>6</t>
    </r>
    <r>
      <rPr>
        <sz val="10"/>
        <rFont val="바탕"/>
        <family val="1"/>
        <charset val="129"/>
      </rPr>
      <t>시간</t>
    </r>
    <phoneticPr fontId="1" type="noConversion"/>
  </si>
  <si>
    <r>
      <t>12</t>
    </r>
    <r>
      <rPr>
        <sz val="10"/>
        <rFont val="바탕"/>
        <family val="1"/>
        <charset val="129"/>
      </rPr>
      <t>시간</t>
    </r>
    <phoneticPr fontId="1" type="noConversion"/>
  </si>
  <si>
    <t>대한방송공사</t>
    <phoneticPr fontId="1" type="noConversion"/>
  </si>
  <si>
    <t>한국방송공단</t>
    <phoneticPr fontId="1" type="noConversion"/>
  </si>
  <si>
    <t>한국</t>
    <phoneticPr fontId="1" type="noConversion"/>
  </si>
  <si>
    <t>북한</t>
    <phoneticPr fontId="1" type="noConversion"/>
  </si>
  <si>
    <r>
      <rPr>
        <sz val="10"/>
        <color rgb="FF000000"/>
        <rFont val="바탕"/>
        <family val="1"/>
        <charset val="129"/>
      </rPr>
      <t>골프는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과연몇홀인가여</t>
    </r>
    <r>
      <rPr>
        <sz val="10"/>
        <color rgb="FF000000"/>
        <rFont val="Times New Roman"/>
        <family val="1"/>
      </rPr>
      <t>?</t>
    </r>
    <phoneticPr fontId="1" type="noConversion"/>
  </si>
  <si>
    <r>
      <t>18</t>
    </r>
    <r>
      <rPr>
        <sz val="10"/>
        <color rgb="FFFF0000"/>
        <rFont val="바탕"/>
        <family val="1"/>
        <charset val="129"/>
      </rPr>
      <t>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</si>
  <si>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배달음식은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</si>
  <si>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치킨</t>
  </si>
  <si>
    <t>치킨</t>
    <phoneticPr fontId="1" type="noConversion"/>
  </si>
  <si>
    <t>짜장면</t>
    <phoneticPr fontId="1" type="noConversion"/>
  </si>
  <si>
    <t>해장국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</si>
  <si>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</si>
  <si>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태종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이방원은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태조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이성계의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아들이었을까요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</si>
  <si>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압록강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</si>
  <si>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t>38</t>
    </r>
    <r>
      <rPr>
        <sz val="10"/>
        <color rgb="FF000000"/>
        <rFont val="바탕"/>
        <family val="1"/>
        <charset val="129"/>
      </rPr>
      <t>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</si>
  <si>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rPr>
        <sz val="10"/>
        <color rgb="FF000000"/>
        <rFont val="바탕"/>
        <family val="1"/>
        <charset val="129"/>
      </rPr>
      <t>슬램덩크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ost &lt;</t>
    </r>
    <r>
      <rPr>
        <sz val="10"/>
        <color rgb="FF000000"/>
        <rFont val="바탕"/>
        <family val="1"/>
        <charset val="129"/>
      </rPr>
      <t>너에게로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</t>
    </r>
    <r>
      <rPr>
        <sz val="10"/>
        <color rgb="FF000000"/>
        <rFont val="Times New Roman"/>
        <family val="1"/>
      </rPr>
      <t>&gt; 1</t>
    </r>
    <r>
      <rPr>
        <sz val="10"/>
        <color rgb="FF000000"/>
        <rFont val="바탕"/>
        <family val="1"/>
        <charset val="129"/>
      </rPr>
      <t>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함께한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( ) </t>
    </r>
    <r>
      <rPr>
        <sz val="10"/>
        <color rgb="FF000000"/>
        <rFont val="바탕"/>
        <family val="1"/>
        <charset val="129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있어</t>
    </r>
    <r>
      <rPr>
        <sz val="10"/>
        <color rgb="FF000000"/>
        <rFont val="Times New Roman"/>
        <family val="1"/>
      </rPr>
      <t xml:space="preserve">" </t>
    </r>
    <r>
      <rPr>
        <sz val="10"/>
        <color rgb="FF000000"/>
        <rFont val="바탕"/>
        <family val="1"/>
        <charset val="129"/>
      </rPr>
      <t>괄호에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</si>
  <si>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파장이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</si>
  <si>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</si>
  <si>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</si>
  <si>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</si>
  <si>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루수</t>
    </r>
    <phoneticPr fontId="1" type="noConversion"/>
  </si>
  <si>
    <t>유격수</t>
  </si>
  <si>
    <t>유격수</t>
    <phoneticPr fontId="1" type="noConversion"/>
  </si>
  <si>
    <r>
      <t>2</t>
    </r>
    <r>
      <rPr>
        <sz val="10"/>
        <rFont val="바탕"/>
        <family val="1"/>
        <charset val="129"/>
      </rPr>
      <t>루수</t>
    </r>
    <phoneticPr fontId="1" type="noConversion"/>
  </si>
  <si>
    <r>
      <t>3.1</t>
    </r>
    <r>
      <rPr>
        <sz val="10"/>
        <color rgb="FF000000"/>
        <rFont val="바탕"/>
        <family val="1"/>
        <charset val="129"/>
      </rPr>
      <t>절</t>
    </r>
    <phoneticPr fontId="1" type="noConversion"/>
  </si>
  <si>
    <t>광복절</t>
    <phoneticPr fontId="1" type="noConversion"/>
  </si>
  <si>
    <r>
      <rPr>
        <sz val="10"/>
        <color rgb="FF000000"/>
        <rFont val="바탕"/>
        <family val="1"/>
        <charset val="129"/>
      </rPr>
      <t>비오는날지렁이가땅위로나오는이유는</t>
    </r>
    <r>
      <rPr>
        <sz val="10"/>
        <color rgb="FF000000"/>
        <rFont val="Times New Roman"/>
        <family val="1"/>
      </rPr>
      <t>?</t>
    </r>
    <phoneticPr fontId="1" type="noConversion"/>
  </si>
  <si>
    <r>
      <t>물이좋아서</t>
    </r>
    <r>
      <rPr>
        <sz val="10"/>
        <color rgb="FF00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</si>
  <si>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이유없다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</si>
  <si>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r>
      <t>숨을쉬기위해서</t>
    </r>
    <r>
      <rPr>
        <sz val="10"/>
        <color rgb="FFFF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</si>
  <si>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맞춤법이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</si>
  <si>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여러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몫으로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모개이다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</si>
  <si>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매우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천천히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걸어서</t>
    </r>
    <phoneticPr fontId="1" type="noConversion"/>
  </si>
  <si>
    <r>
      <t>남모르게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틈틈이</t>
    </r>
  </si>
  <si>
    <r>
      <rPr>
        <sz val="10"/>
        <color rgb="FF000000"/>
        <rFont val="바탕"/>
        <family val="1"/>
        <charset val="129"/>
      </rPr>
      <t>아르까운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구메구메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</si>
  <si>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1990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KBS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방영되어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끌었던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베르사유의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장미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시대적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배경은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</si>
  <si>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백년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전쟁</t>
    </r>
    <phoneticPr fontId="1" type="noConversion"/>
  </si>
  <si>
    <t>나폴레옹 황제 시대</t>
    <phoneticPr fontId="1" type="noConversion"/>
  </si>
  <si>
    <r>
      <rPr>
        <sz val="10"/>
        <color rgb="FFFF0000"/>
        <rFont val="바탕"/>
        <family val="1"/>
        <charset val="129"/>
      </rPr>
      <t>프랑스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혁명기</t>
    </r>
    <phoneticPr fontId="1" type="noConversion"/>
  </si>
  <si>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대한민국에서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번째로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도시는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</si>
  <si>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혼합으로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하얀색이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조합은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</si>
  <si>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빨강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</si>
  <si>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초록</t>
    </r>
  </si>
  <si>
    <r>
      <t>빨강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초록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</si>
  <si>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</si>
  <si>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</si>
  <si>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삽작</t>
    </r>
  </si>
  <si>
    <r>
      <rPr>
        <sz val="10"/>
        <color rgb="FF000000"/>
        <rFont val="바탕"/>
        <family val="1"/>
        <charset val="129"/>
      </rPr>
      <t>심한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서릿발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속에서도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굴하지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외로이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절개를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지킨다는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뜻인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오상고절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</si>
  <si>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국화</t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</si>
  <si>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</si>
  <si>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</si>
  <si>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</si>
  <si>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</si>
  <si>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</si>
  <si>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</si>
  <si>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r>
      <t>2017.</t>
    </r>
    <r>
      <rPr>
        <sz val="10"/>
        <color rgb="FF000000"/>
        <rFont val="바탕"/>
        <family val="1"/>
        <charset val="129"/>
      </rPr>
      <t>이후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출고된</t>
    </r>
    <r>
      <rPr>
        <sz val="10"/>
        <color rgb="FF000000"/>
        <rFont val="Times New Roman"/>
        <family val="1"/>
      </rPr>
      <t xml:space="preserve"> 190ml </t>
    </r>
    <r>
      <rPr>
        <sz val="10"/>
        <color rgb="FF000000"/>
        <rFont val="바탕"/>
        <family val="1"/>
        <charset val="129"/>
      </rPr>
      <t>이상</t>
    </r>
    <r>
      <rPr>
        <sz val="10"/>
        <color rgb="FF000000"/>
        <rFont val="Times New Roman"/>
        <family val="1"/>
      </rPr>
      <t xml:space="preserve"> 400ml </t>
    </r>
    <r>
      <rPr>
        <sz val="10"/>
        <color rgb="FF000000"/>
        <rFont val="바탕"/>
        <family val="1"/>
        <charset val="129"/>
      </rPr>
      <t>미만인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보증금은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</si>
  <si>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70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</si>
  <si>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130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</si>
  <si>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100</t>
    </r>
    <r>
      <rPr>
        <sz val="10"/>
        <color rgb="FFFF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</si>
  <si>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세계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환경의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슬로건이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 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</si>
  <si>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하나뿐인 미래</t>
    <phoneticPr fontId="1" type="noConversion"/>
  </si>
  <si>
    <t>지속 가능한 개발</t>
    <phoneticPr fontId="1" type="noConversion"/>
  </si>
  <si>
    <t>다양한 생물종</t>
    <phoneticPr fontId="1" type="noConversion"/>
  </si>
  <si>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</si>
  <si>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</si>
  <si>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</si>
  <si>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모양으로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의장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儀仗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쓰던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</si>
  <si>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보편적으로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적용되는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특성을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자신의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일치한다고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믿으려는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</si>
  <si>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피자헛의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로고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위에있는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모양은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</si>
  <si>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청소년증에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지원하지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카드사는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</si>
  <si>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민상이가</t>
    </r>
    <r>
      <rPr>
        <sz val="10"/>
        <color rgb="FF000000"/>
        <rFont val="Times New Roman"/>
        <family val="1"/>
      </rPr>
      <t xml:space="preserve"> 100m </t>
    </r>
    <r>
      <rPr>
        <sz val="10"/>
        <color rgb="FF000000"/>
        <rFont val="바탕"/>
        <family val="1"/>
        <charset val="129"/>
      </rPr>
      <t>달리기를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분</t>
    </r>
    <r>
      <rPr>
        <sz val="10"/>
        <color rgb="FF000000"/>
        <rFont val="Times New Roman"/>
        <family val="1"/>
      </rPr>
      <t xml:space="preserve"> 40</t>
    </r>
    <r>
      <rPr>
        <sz val="10"/>
        <color rgb="FF000000"/>
        <rFont val="바탕"/>
        <family val="1"/>
        <charset val="129"/>
      </rPr>
      <t>초가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걸렸다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얼마</t>
    </r>
    <r>
      <rPr>
        <sz val="10"/>
        <color rgb="FF000000"/>
        <rFont val="Times New Roman"/>
        <family val="1"/>
      </rPr>
      <t>? (?/s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</si>
  <si>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나이가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어떤것을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시작하거나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성공한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</si>
  <si>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늦깍이</t>
    </r>
    <r>
      <rPr>
        <sz val="10"/>
        <color rgb="FF000000"/>
        <rFont val="Times New Roman"/>
        <family val="1"/>
      </rPr>
      <t/>
    </r>
    <phoneticPr fontId="1" type="noConversion"/>
  </si>
  <si>
    <t>늦깍기</t>
    <phoneticPr fontId="1" type="noConversion"/>
  </si>
  <si>
    <t>늦깎이</t>
  </si>
  <si>
    <r>
      <rPr>
        <sz val="10"/>
        <color rgb="FF000000"/>
        <rFont val="바탕"/>
        <family val="1"/>
        <charset val="129"/>
      </rPr>
      <t>야멸차다</t>
    </r>
    <r>
      <rPr>
        <sz val="10"/>
        <color rgb="FF000000"/>
        <rFont val="굴림"/>
        <family val="3"/>
        <charset val="129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</si>
  <si>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단출하다</t>
    </r>
    <r>
      <rPr>
        <sz val="10"/>
        <color rgb="FF000000"/>
        <rFont val="Times New Roman"/>
        <family val="1"/>
      </rPr>
      <t/>
    </r>
    <phoneticPr fontId="1" type="noConversion"/>
  </si>
  <si>
    <t>만끽하다</t>
    <phoneticPr fontId="1" type="noConversion"/>
  </si>
  <si>
    <t>문재인 대통령도 언급한 '방탄소년단'의 공식 팬클럽 이름은?</t>
  </si>
  <si>
    <t xml:space="preserve"> 배틀그라운드에서 1등하면 받는 것은?</t>
  </si>
  <si>
    <t xml:space="preserve"> &lt;방망이, 불, 공유&gt; 다음 단어로 연상되는 것은?</t>
  </si>
  <si>
    <t xml:space="preserve"> 흉측한 얼굴을 가면으로 가린 괴신사가 아름다운 프리마돈나를 짝사랑하는 내용의 뮤지컬은?</t>
  </si>
  <si>
    <t xml:space="preserve"> 최초의 경험인데도 이미 보거나 경험한 적 있다고 느끼는 심리상태는?</t>
  </si>
  <si>
    <t xml:space="preserve"> 경영 실적이 좋은 것처럼 보이려고 장부를 조작하는 행위는?</t>
  </si>
  <si>
    <t xml:space="preserve"> 만화 &lt;원피스&gt;에서 다른 종류의 악마의 열매를 먹은 사람은?</t>
  </si>
  <si>
    <t xml:space="preserve"> 수사기관이 범죄 용의자를 연행할 때 그 이유와 변호인의 도움을 받을 수 있는 권리, 진술거부 권리 등을 알려주는 원칙은?</t>
  </si>
  <si>
    <t xml:space="preserve"> 2017년 편의점에서 가장 많이 팔린 수입 맥주 브랜드는?</t>
  </si>
  <si>
    <t xml:space="preserve"> 기발하고 엉뚱한 업적을 치하하는 '이그노벨상'이 '다마고치'에 수여한 상은?</t>
  </si>
  <si>
    <t xml:space="preserve"> 국기에 별 문양이 들어가지 않는 나라는?</t>
  </si>
  <si>
    <t xml:space="preserve"> '손으로 그린 문자'라는 뜻으로, 아름답고 개성 있는 글자체는?</t>
  </si>
  <si>
    <t xml:space="preserve"> '집안을 망가뜨리고 자기 몸까지 망함'을 뜻하는 사자성어는?</t>
  </si>
  <si>
    <t xml:space="preserve"> 시인 '단테'의 대표작으로 지옥편, 연옥편, 천국편으로 이뤄진 서사시의 제목은?</t>
  </si>
  <si>
    <t xml:space="preserve"> 다음 중 '통'의 의미가 다른 것은?</t>
  </si>
  <si>
    <t xml:space="preserve"> 셰익스피어의 4대 비극이 아닌 것은?</t>
  </si>
  <si>
    <t xml:space="preserve"> 조선시대, '왕의 변'을 뜻하는 말은?</t>
  </si>
  <si>
    <t xml:space="preserve"> 힙합 레이블 &lt;AOMG&gt;에 합류한 종합 격투기 선수의 별명은?</t>
  </si>
  <si>
    <t xml:space="preserve"> '노각'으로 불리는 채소는?</t>
  </si>
  <si>
    <t xml:space="preserve"> 영국 국기의 이름은?</t>
  </si>
  <si>
    <t xml:space="preserve"> '노벨문학상' 수상자가 아닌 사람은?</t>
  </si>
  <si>
    <t xml:space="preserve"> 와인에서 &lt;빈티지&gt;의 의미는?</t>
  </si>
  <si>
    <t xml:space="preserve"> 무지개를 빨주노초파남보 일곱 빛깔로 나눈 사람은?</t>
  </si>
  <si>
    <t xml:space="preserve"> 과자 봉투가 부풀어 있는 것은 (   )를 이용해 포장을 했기 때문이다.</t>
  </si>
  <si>
    <t xml:space="preserve"> 강아지, 송아지, 망아지에서 '아지'의 뜻은?</t>
  </si>
  <si>
    <t xml:space="preserve"> 유니폼에 의무적으로 혈액형을 표시해야 하는 직업은?</t>
  </si>
  <si>
    <t xml:space="preserve"> &lt;피노키오, 김준현, 싸움&gt; 다음 단어로 연상되는 것은?</t>
  </si>
  <si>
    <t xml:space="preserve"> '가격 대비 마음의 만족도'를 뜻하는 말은?</t>
  </si>
  <si>
    <t xml:space="preserve"> 스포츠에서 최고의 선수를 가리키는 M.V.P.는 Most (   ) Player의 약자이다.</t>
  </si>
  <si>
    <t xml:space="preserve"> 윷놀이에서 '걸'이 상징하는 동물은?</t>
  </si>
  <si>
    <t xml:space="preserve"> '멜로드라마'에서 '멜로'는 그리스어로 무슨 뜻일까?</t>
  </si>
  <si>
    <t xml:space="preserve"> 다음 중 작사가가 다른 노래는?</t>
  </si>
  <si>
    <t xml:space="preserve"> 17세기 네델란드에서 벌어진 '과열 투기 현상'을 뜻하는 말은?</t>
  </si>
  <si>
    <t xml:space="preserve"> 세계 최초롤 지하철을 개통한 나라는?</t>
  </si>
  <si>
    <t xml:space="preserve"> 라틴어에서 유래한 컴퓨터 마우스 '커서(cursor)'의 뜻은?</t>
  </si>
  <si>
    <t xml:space="preserve"> 6월 1일 새롭게 합류한 페이큐의 새 MC 김지민의 유행어는?</t>
  </si>
  <si>
    <t xml:space="preserve"> &lt;돼지 목, 6월 탄생석, ( )귀걸이를 한 소녀&gt;에서 연상되는 것은?</t>
  </si>
  <si>
    <t xml:space="preserve"> '단오'에 하는 풍속인 것은?</t>
  </si>
  <si>
    <t xml:space="preserve"> 6.10 민주 항쟁의 기폭제가 된 박종철 고문 치사 사건을 다룬 영화는?</t>
  </si>
  <si>
    <t xml:space="preserve"> 6월을 한자로 적었을 때 올바른  것은?</t>
  </si>
  <si>
    <t xml:space="preserve"> 다음 중 '6월'을 소재로 한 칵테일은?</t>
  </si>
  <si>
    <t xml:space="preserve"> 현충일에는 묵념 사이렌이 울린다. 그 시간은?</t>
  </si>
  <si>
    <t xml:space="preserve"> 현재 우리나라 선거권은 만( )세 이상의 국민에게 주어진다.</t>
  </si>
  <si>
    <t xml:space="preserve"> 6월에 있는 절기가 아닌 것은?</t>
  </si>
  <si>
    <t xml:space="preserve"> 다음 중 6월에 낮이 가장 '짧은' 나라는?</t>
  </si>
  <si>
    <t xml:space="preserve"> 힘이 왕성한 때가 지나 버린 사람을 빗대어 이르는 말은?</t>
  </si>
  <si>
    <t xml:space="preserve"> 6월에 있는 국제 기념일이 아닌 것은?</t>
  </si>
  <si>
    <t xml:space="preserve"> '페이큐'를 영어로 바르게 표기한 것은?</t>
  </si>
  <si>
    <t xml:space="preserve"> &lt;하루라도 책을 읽지 않으면 입안에 가시가 돋는다&gt; 누구의 명언일까?</t>
  </si>
  <si>
    <t xml:space="preserve"> 마라톤에서 선수와 함께 달리며 속도 유지를 돕는 사람은?</t>
  </si>
  <si>
    <t xml:space="preserve"> 한 달에 보름달이 두 번 뜨는 경우, 두 번째로 뜬 보름달은? (양력기준)</t>
  </si>
  <si>
    <t xml:space="preserve"> '초순, 중순, 하순'에서 '순'의 의미는?</t>
  </si>
  <si>
    <t xml:space="preserve"> 조선시대 화가 안견이 안평대군의 꿈을 듣고 그린 그림은/</t>
  </si>
  <si>
    <t xml:space="preserve"> '어리석은 사람이 머물면 지혜로운 사람으로 달라진다'는 뜻의 산은?</t>
  </si>
  <si>
    <t xml:space="preserve"> 거문고의 줄의 수는?</t>
  </si>
  <si>
    <t xml:space="preserve"> 올해 7월 첫 내한공연이 확정된 'Humble'을 부른 힙합 가수는?</t>
  </si>
  <si>
    <t xml:space="preserve"> &lt;오느은 1등할 __&gt; 빈칸에 알맞은 말은?</t>
  </si>
  <si>
    <t xml:space="preserve"> 국가와 통화 명칭이 잘못 연결된 것은?</t>
  </si>
  <si>
    <t xml:space="preserve"> 수박 속이 붉은색인 이유는 (이것)때문이다. 이것은?</t>
  </si>
  <si>
    <t xml:space="preserve"> 동화 속 주인공 '신데렐라'의 뜻은?</t>
  </si>
  <si>
    <t xml:space="preserve"> 독립하지 않고 부모에게 의존해 사는 성인을 뜻하는 말은?</t>
  </si>
  <si>
    <t xml:space="preserve"> 간호학도들이 간호사로서의 윤리와 원칙을 맹세하는 의식은?</t>
  </si>
  <si>
    <t xml:space="preserve"> 다음 중 맞는 표기는?</t>
  </si>
  <si>
    <t xml:space="preserve"> 올 7월부터 변경 예정인 주 최대 근로시간은? (300인 이상 사업장 기준)</t>
  </si>
  <si>
    <t xml:space="preserve"> 우리나라에서 모든 국군을 지휘통제 할 수 있는 '국군통수권'을 가진 사람은?</t>
  </si>
  <si>
    <t xml:space="preserve"> 영어 관용표현 중 "Who cut the cheese?"의 뜻은?</t>
  </si>
  <si>
    <t xml:space="preserve"> 야구 경기에서 투수가 무안타, 무실점으로 상대팀에 승리하는 것은?</t>
  </si>
  <si>
    <t xml:space="preserve"> 다음 중 해당 국가의 수도에서 볼 수 없는 것은?</t>
  </si>
  <si>
    <t xml:space="preserve"> 소설 &lt;크리스마스 캐럴&gt;, &lt;올리버 트위스트&gt;를 쓴 19세기 영국 소설가는?</t>
  </si>
  <si>
    <t xml:space="preserve"> '오장육부'에서 '오장'이 아닌 것은?</t>
  </si>
  <si>
    <t xml:space="preserve"> 인도의 정치가이자 사상가인 마하트마 간디. 여기서 '마하트마'의 뜻은?</t>
  </si>
  <si>
    <t>아가미</t>
  </si>
  <si>
    <t>메달</t>
  </si>
  <si>
    <t>솜</t>
  </si>
  <si>
    <t>복면가왕</t>
  </si>
  <si>
    <t>데뷔</t>
  </si>
  <si>
    <t>도둑이야</t>
  </si>
  <si>
    <t xml:space="preserve"> 몽키 D. 루피</t>
  </si>
  <si>
    <t>미란다 원칙</t>
  </si>
  <si>
    <t>이그노벨 생물학상</t>
  </si>
  <si>
    <t>Q1 페이스북의 동영상 플랫폼 이름은?</t>
  </si>
  <si>
    <t>워치</t>
  </si>
  <si>
    <t>캘로그</t>
  </si>
  <si>
    <t>패가망신</t>
  </si>
  <si>
    <t>신과함께</t>
  </si>
  <si>
    <t>통닭</t>
  </si>
  <si>
    <t>코리안 좀비</t>
  </si>
  <si>
    <t>늙은 호박</t>
  </si>
  <si>
    <t>유니언 콜</t>
  </si>
  <si>
    <t>도스토옙스키</t>
  </si>
  <si>
    <t>오래되어 가치있는 것</t>
  </si>
  <si>
    <t>뉴턴</t>
  </si>
  <si>
    <t xml:space="preserve"> 공기반 소리반</t>
  </si>
  <si>
    <t xml:space="preserve"> 아저씨</t>
  </si>
  <si>
    <t xml:space="preserve"> 공군조종사</t>
  </si>
  <si>
    <t xml:space="preserve"> 오랑우탄</t>
  </si>
  <si>
    <t>가심비</t>
  </si>
  <si>
    <t xml:space="preserve"> Very</t>
  </si>
  <si>
    <t xml:space="preserve"> 소</t>
  </si>
  <si>
    <t xml:space="preserve"> 사랑</t>
  </si>
  <si>
    <t xml:space="preserve"> 이선희-그 중에 그대를 만나</t>
  </si>
  <si>
    <t xml:space="preserve"> 풍차 파동</t>
  </si>
  <si>
    <t xml:space="preserve"> 영국</t>
  </si>
  <si>
    <t xml:space="preserve"> 숨 쉬는 자</t>
  </si>
  <si>
    <t xml:space="preserve"> 내 마음 속에 저장</t>
  </si>
  <si>
    <t xml:space="preserve"> 블루 사파이어</t>
  </si>
  <si>
    <t xml:space="preserve"> 창포물에 머리 감기</t>
  </si>
  <si>
    <t xml:space="preserve"> 八月</t>
  </si>
  <si>
    <t xml:space="preserve"> 준벅</t>
  </si>
  <si>
    <t xml:space="preserve"> 오전 10시</t>
  </si>
  <si>
    <t xml:space="preserve"> 만 18세</t>
  </si>
  <si>
    <t xml:space="preserve"> 망종</t>
  </si>
  <si>
    <t xml:space="preserve"> 뉴질랜드</t>
  </si>
  <si>
    <t xml:space="preserve"> 하지 지낸 메뚜기</t>
  </si>
  <si>
    <t xml:space="preserve"> 6월5일 - 세계 환경의 날</t>
  </si>
  <si>
    <t xml:space="preserve"> PAYQ</t>
  </si>
  <si>
    <t xml:space="preserve"> 안중근</t>
  </si>
  <si>
    <t xml:space="preserve"> 커피메이커</t>
  </si>
  <si>
    <t xml:space="preserve"> 블루문</t>
  </si>
  <si>
    <t xml:space="preserve"> 순수하다</t>
  </si>
  <si>
    <t xml:space="preserve"> 몽유도원도</t>
  </si>
  <si>
    <t xml:space="preserve"> 태백산</t>
  </si>
  <si>
    <t xml:space="preserve"> 카니예 웨스트</t>
  </si>
  <si>
    <t xml:space="preserve"> 거에요</t>
  </si>
  <si>
    <t xml:space="preserve"> 헝가리 - 유로</t>
  </si>
  <si>
    <t xml:space="preserve"> 안토시아닌</t>
  </si>
  <si>
    <t xml:space="preserve"> 재투성이</t>
  </si>
  <si>
    <t xml:space="preserve"> 혼밥족</t>
  </si>
  <si>
    <t xml:space="preserve"> 국기에 대한 맹세</t>
  </si>
  <si>
    <t xml:space="preserve"> 과녘</t>
  </si>
  <si>
    <t xml:space="preserve"> 42시간</t>
  </si>
  <si>
    <t>국방부장관</t>
  </si>
  <si>
    <t xml:space="preserve"> 누가 내 물건을 망가뜨렸어?</t>
  </si>
  <si>
    <t xml:space="preserve"> 퍼펙트 게임</t>
  </si>
  <si>
    <t xml:space="preserve"> 에펠탑</t>
  </si>
  <si>
    <t xml:space="preserve"> 찰스 디킨스</t>
  </si>
  <si>
    <t xml:space="preserve"> 간장</t>
  </si>
  <si>
    <t xml:space="preserve"> 평화의 걸음</t>
  </si>
  <si>
    <t>아미</t>
  </si>
  <si>
    <t>가면무도회</t>
  </si>
  <si>
    <t>데자뷔</t>
  </si>
  <si>
    <t>액면분할</t>
  </si>
  <si>
    <t xml:space="preserve"> 사보</t>
  </si>
  <si>
    <t xml:space="preserve"> 오란씨 원칙</t>
  </si>
  <si>
    <t>하이네켄</t>
  </si>
  <si>
    <t>이그노벨 심리학상</t>
  </si>
  <si>
    <t>캐치</t>
  </si>
  <si>
    <t>루마니아</t>
  </si>
  <si>
    <t>캘리그라피</t>
  </si>
  <si>
    <t>폐가망신</t>
  </si>
  <si>
    <t>신곡</t>
  </si>
  <si>
    <t>통기타</t>
  </si>
  <si>
    <t>로미오와 줄리엣</t>
  </si>
  <si>
    <t>코리안 개츠비</t>
  </si>
  <si>
    <t>늙은 오이</t>
  </si>
  <si>
    <t>유니언 콤</t>
  </si>
  <si>
    <t>헤르만 헤세</t>
  </si>
  <si>
    <t>와인 병을 모으는 취미</t>
  </si>
  <si>
    <t xml:space="preserve"> 질소</t>
  </si>
  <si>
    <t xml:space="preserve"> 닮은 것</t>
  </si>
  <si>
    <t xml:space="preserve"> 경찰</t>
  </si>
  <si>
    <t xml:space="preserve"> 고래</t>
  </si>
  <si>
    <t>가랑비</t>
  </si>
  <si>
    <t>Valuable</t>
  </si>
  <si>
    <t xml:space="preserve"> 말</t>
  </si>
  <si>
    <t xml:space="preserve"> 노래</t>
  </si>
  <si>
    <t xml:space="preserve"> 아이유-좋은날</t>
  </si>
  <si>
    <t xml:space="preserve"> 치즈 파동</t>
  </si>
  <si>
    <t xml:space="preserve"> 프랑스</t>
  </si>
  <si>
    <t xml:space="preserve"> 걷는 자</t>
  </si>
  <si>
    <t xml:space="preserve"> 영미!!! 영미!!!</t>
  </si>
  <si>
    <t xml:space="preserve"> 진주</t>
  </si>
  <si>
    <t xml:space="preserve"> 송편 빚기</t>
  </si>
  <si>
    <t xml:space="preserve"> 인천상륙작전</t>
  </si>
  <si>
    <t xml:space="preserve"> 六月</t>
  </si>
  <si>
    <t>미도리 사워</t>
  </si>
  <si>
    <t xml:space="preserve"> 오전 11시</t>
  </si>
  <si>
    <t xml:space="preserve"> 만 19세</t>
  </si>
  <si>
    <t xml:space="preserve"> 청명</t>
  </si>
  <si>
    <t xml:space="preserve"> 미국</t>
  </si>
  <si>
    <t xml:space="preserve"> 하지 지낸 두꺼비</t>
  </si>
  <si>
    <t xml:space="preserve"> 6월 14일 - 세계 헌혈의 날</t>
  </si>
  <si>
    <t xml:space="preserve"> PEYQ</t>
  </si>
  <si>
    <t xml:space="preserve"> 안영미</t>
  </si>
  <si>
    <t xml:space="preserve"> 프린세스메이커</t>
  </si>
  <si>
    <t xml:space="preserve"> 레드문</t>
  </si>
  <si>
    <t xml:space="preserve"> 열흘</t>
  </si>
  <si>
    <t xml:space="preserve"> 연사모종도</t>
  </si>
  <si>
    <t xml:space="preserve"> 설악산</t>
  </si>
  <si>
    <t xml:space="preserve"> 켄드릭 라마</t>
  </si>
  <si>
    <t xml:space="preserve"> 거예요</t>
  </si>
  <si>
    <t xml:space="preserve"> 체코 -코루나</t>
  </si>
  <si>
    <t xml:space="preserve"> 베타카로틴</t>
  </si>
  <si>
    <t xml:space="preserve"> 땀투성이</t>
  </si>
  <si>
    <t xml:space="preserve"> 캥거루족</t>
  </si>
  <si>
    <t xml:space="preserve"> 히포크라테스 선서</t>
  </si>
  <si>
    <t xml:space="preserve"> 과녁</t>
  </si>
  <si>
    <t xml:space="preserve"> 52시간</t>
  </si>
  <si>
    <t xml:space="preserve"> 총리</t>
  </si>
  <si>
    <t xml:space="preserve"> 누가 내 물건을 훔쳤어?</t>
  </si>
  <si>
    <t xml:space="preserve"> 노히트노런</t>
  </si>
  <si>
    <t xml:space="preserve"> 자유의 여신상</t>
  </si>
  <si>
    <t xml:space="preserve"> 셰익스피어</t>
  </si>
  <si>
    <t xml:space="preserve"> 대장</t>
  </si>
  <si>
    <t xml:space="preserve"> 위대한 영혼</t>
  </si>
  <si>
    <t>아미고</t>
  </si>
  <si>
    <t>페이코포인트</t>
  </si>
  <si>
    <t>담배</t>
  </si>
  <si>
    <t>오페라의 유령</t>
  </si>
  <si>
    <t>타임슬립</t>
  </si>
  <si>
    <t>분식회계</t>
  </si>
  <si>
    <t xml:space="preserve"> 포트거스 D. 에이스</t>
  </si>
  <si>
    <t xml:space="preserve"> 써니텐 원칙</t>
  </si>
  <si>
    <t>이그노벨 경제학상</t>
  </si>
  <si>
    <t>오버워치</t>
  </si>
  <si>
    <t>세네갈</t>
  </si>
  <si>
    <t>캘리포니아</t>
  </si>
  <si>
    <t>개망폭망</t>
  </si>
  <si>
    <t>신화</t>
  </si>
  <si>
    <t>통감자</t>
  </si>
  <si>
    <t>코리안 함무라비</t>
  </si>
  <si>
    <t>늙은 가지</t>
  </si>
  <si>
    <t>유니언 잭</t>
  </si>
  <si>
    <t>헤밍웨이</t>
  </si>
  <si>
    <t>해당 와인을 만든 포도를 수확한 해</t>
  </si>
  <si>
    <t>에디슨</t>
  </si>
  <si>
    <t xml:space="preserve"> 염소</t>
  </si>
  <si>
    <t xml:space="preserve"> 새끼</t>
  </si>
  <si>
    <t xml:space="preserve"> 버스운전사</t>
  </si>
  <si>
    <t xml:space="preserve"> 기린</t>
  </si>
  <si>
    <t>가스비</t>
  </si>
  <si>
    <t xml:space="preserve"> Victory</t>
  </si>
  <si>
    <t xml:space="preserve"> 양</t>
  </si>
  <si>
    <t xml:space="preserve"> 행복</t>
  </si>
  <si>
    <t xml:space="preserve"> 선미-보름달</t>
  </si>
  <si>
    <t xml:space="preserve"> 튤립 파동</t>
  </si>
  <si>
    <t xml:space="preserve"> 독일</t>
  </si>
  <si>
    <t xml:space="preserve"> 달리는 자</t>
  </si>
  <si>
    <t xml:space="preserve"> 느낌 아니까~</t>
  </si>
  <si>
    <t xml:space="preserve"> 루비</t>
  </si>
  <si>
    <t xml:space="preserve"> 엉덩이로 이름 쓰기</t>
  </si>
  <si>
    <t xml:space="preserve"> 연평해전</t>
  </si>
  <si>
    <t xml:space="preserve"> 九月</t>
  </si>
  <si>
    <t xml:space="preserve"> 피나콜라다</t>
  </si>
  <si>
    <t xml:space="preserve"> 오후 12시</t>
  </si>
  <si>
    <t xml:space="preserve"> 만 20세</t>
  </si>
  <si>
    <t xml:space="preserve"> 하지</t>
  </si>
  <si>
    <t xml:space="preserve"> 이집트</t>
  </si>
  <si>
    <t xml:space="preserve"> 하지 지낸 뜸부기</t>
  </si>
  <si>
    <t xml:space="preserve"> 6월 30일 - 세계 금연의 날</t>
  </si>
  <si>
    <t xml:space="preserve"> FAYQ</t>
  </si>
  <si>
    <t xml:space="preserve"> 안정환</t>
  </si>
  <si>
    <t xml:space="preserve"> 페이스메이커</t>
  </si>
  <si>
    <t xml:space="preserve"> 허니문</t>
  </si>
  <si>
    <t xml:space="preserve"> 입술</t>
  </si>
  <si>
    <t xml:space="preserve"> 적벽도</t>
  </si>
  <si>
    <t xml:space="preserve"> 지리산</t>
  </si>
  <si>
    <t xml:space="preserve"> 위즈 칼리파</t>
  </si>
  <si>
    <t xml:space="preserve"> 꺼예요</t>
  </si>
  <si>
    <t xml:space="preserve"> 말레이시아 - 링깃</t>
  </si>
  <si>
    <t xml:space="preserve"> 라이코펜</t>
  </si>
  <si>
    <t xml:space="preserve"> 상처투성이</t>
  </si>
  <si>
    <t xml:space="preserve"> 욜로족</t>
  </si>
  <si>
    <t xml:space="preserve"> 나이팅게일 선서</t>
  </si>
  <si>
    <t xml:space="preserve"> 관역</t>
  </si>
  <si>
    <t xml:space="preserve"> 72시간</t>
  </si>
  <si>
    <t xml:space="preserve"> 대통령</t>
  </si>
  <si>
    <t xml:space="preserve"> 누가 방귀 뀌었어?</t>
  </si>
  <si>
    <t xml:space="preserve"> 콜드게임</t>
  </si>
  <si>
    <t xml:space="preserve"> 만리장성</t>
  </si>
  <si>
    <t xml:space="preserve"> 조앤 K. 롤링</t>
  </si>
  <si>
    <t xml:space="preserve"> 비장</t>
  </si>
  <si>
    <t xml:space="preserve"> 빛나는 내일</t>
  </si>
  <si>
    <t>문재인 대통령도 언급한 '방탄소년단'의 공식 팬클럽 이름은?</t>
    <phoneticPr fontId="1" type="noConversion"/>
  </si>
  <si>
    <t>아가미</t>
    <phoneticPr fontId="1" type="noConversion"/>
  </si>
  <si>
    <t>아미</t>
    <phoneticPr fontId="1" type="noConversion"/>
  </si>
  <si>
    <t>아미고</t>
    <phoneticPr fontId="1" type="noConversion"/>
  </si>
  <si>
    <t xml:space="preserve"> 배틀그라운드에서 1등하면 받는 것은?</t>
    <phoneticPr fontId="1" type="noConversion"/>
  </si>
  <si>
    <t>메달</t>
    <phoneticPr fontId="1" type="noConversion"/>
  </si>
  <si>
    <t>치킨</t>
    <phoneticPr fontId="1" type="noConversion"/>
  </si>
  <si>
    <t>페이코포인트</t>
    <phoneticPr fontId="1" type="noConversion"/>
  </si>
  <si>
    <t xml:space="preserve"> &lt;방망이, 불, 공유&gt; 다음 단어로 연상되는 것은?</t>
    <phoneticPr fontId="1" type="noConversion"/>
  </si>
  <si>
    <t>솜</t>
    <phoneticPr fontId="1" type="noConversion"/>
  </si>
  <si>
    <t>도깨비</t>
    <phoneticPr fontId="1" type="noConversion"/>
  </si>
  <si>
    <t>담배</t>
    <phoneticPr fontId="1" type="noConversion"/>
  </si>
  <si>
    <t xml:space="preserve"> 흉측한 얼굴을 가면으로 가린 괴신사가 아름다운 프리마돈나를 짝사랑하는 내용의 뮤지컬은?</t>
    <phoneticPr fontId="1" type="noConversion"/>
  </si>
  <si>
    <t>복면가왕</t>
    <phoneticPr fontId="1" type="noConversion"/>
  </si>
  <si>
    <t>가면무도회</t>
    <phoneticPr fontId="1" type="noConversion"/>
  </si>
  <si>
    <t>오페라의 유령</t>
    <phoneticPr fontId="1" type="noConversion"/>
  </si>
  <si>
    <t xml:space="preserve"> 최초의 경험인데도 이미 보거나 경험한 적 있다고 느끼는 심리상태는?</t>
    <phoneticPr fontId="1" type="noConversion"/>
  </si>
  <si>
    <t>데뷔</t>
    <phoneticPr fontId="1" type="noConversion"/>
  </si>
  <si>
    <t>데자뷔</t>
    <phoneticPr fontId="1" type="noConversion"/>
  </si>
  <si>
    <t>타임슬립</t>
    <phoneticPr fontId="1" type="noConversion"/>
  </si>
  <si>
    <t xml:space="preserve"> 경영 실적이 좋은 것처럼 보이려고 장부를 조작하는 행위는?</t>
    <phoneticPr fontId="1" type="noConversion"/>
  </si>
  <si>
    <t>도둑이야</t>
    <phoneticPr fontId="1" type="noConversion"/>
  </si>
  <si>
    <t>액면분할</t>
    <phoneticPr fontId="1" type="noConversion"/>
  </si>
  <si>
    <t>분식회계</t>
    <phoneticPr fontId="1" type="noConversion"/>
  </si>
  <si>
    <t xml:space="preserve"> 만화 &lt;원피스&gt;에서 다른 종류의 악마의 열매를 먹은 사람은?</t>
    <phoneticPr fontId="1" type="noConversion"/>
  </si>
  <si>
    <t xml:space="preserve"> 몽키 D. 루피</t>
    <phoneticPr fontId="1" type="noConversion"/>
  </si>
  <si>
    <t xml:space="preserve"> 사보</t>
    <phoneticPr fontId="1" type="noConversion"/>
  </si>
  <si>
    <t xml:space="preserve"> 포트거스 D. 에이스</t>
    <phoneticPr fontId="1" type="noConversion"/>
  </si>
  <si>
    <t xml:space="preserve"> 수사기관이 범죄 용의자를 연행할 때 그 이유와 변호인의 도움을 받을 수 있는 권리, 진술거부 권리 등을 알려주는 원칙은?</t>
    <phoneticPr fontId="1" type="noConversion"/>
  </si>
  <si>
    <t>미란다 원칙</t>
    <phoneticPr fontId="1" type="noConversion"/>
  </si>
  <si>
    <t xml:space="preserve"> 오란씨 원칙</t>
    <phoneticPr fontId="1" type="noConversion"/>
  </si>
  <si>
    <t xml:space="preserve"> 써니텐 원칙</t>
    <phoneticPr fontId="1" type="noConversion"/>
  </si>
  <si>
    <t xml:space="preserve"> 2017년 편의점에서 가장 많이 팔린 수입 맥주 브랜드는?</t>
    <phoneticPr fontId="1" type="noConversion"/>
  </si>
  <si>
    <t>칭따오</t>
    <phoneticPr fontId="1" type="noConversion"/>
  </si>
  <si>
    <t>하이네켄</t>
    <phoneticPr fontId="1" type="noConversion"/>
  </si>
  <si>
    <t>아사히</t>
    <phoneticPr fontId="1" type="noConversion"/>
  </si>
  <si>
    <t xml:space="preserve"> 기발하고 엉뚱한 업적을 치하하는 '이그노벨상'이 '다마고치'에 수여한 상은?</t>
    <phoneticPr fontId="1" type="noConversion"/>
  </si>
  <si>
    <t>이그노벨 생물학상</t>
    <phoneticPr fontId="1" type="noConversion"/>
  </si>
  <si>
    <t>이그노벨 심리학상</t>
    <phoneticPr fontId="1" type="noConversion"/>
  </si>
  <si>
    <t>이그노벨 경제학상</t>
    <phoneticPr fontId="1" type="noConversion"/>
  </si>
  <si>
    <t>Q1 페이스북의 동영상 플랫폼 이름은?</t>
    <phoneticPr fontId="1" type="noConversion"/>
  </si>
  <si>
    <t>워치</t>
    <phoneticPr fontId="1" type="noConversion"/>
  </si>
  <si>
    <t>캐치</t>
    <phoneticPr fontId="1" type="noConversion"/>
  </si>
  <si>
    <t>오버워치</t>
    <phoneticPr fontId="1" type="noConversion"/>
  </si>
  <si>
    <t xml:space="preserve"> 국기에 별 문양이 들어가지 않는 나라는?</t>
    <phoneticPr fontId="1" type="noConversion"/>
  </si>
  <si>
    <t>터키</t>
    <phoneticPr fontId="1" type="noConversion"/>
  </si>
  <si>
    <t>루마니아</t>
    <phoneticPr fontId="1" type="noConversion"/>
  </si>
  <si>
    <t>세네갈</t>
    <phoneticPr fontId="1" type="noConversion"/>
  </si>
  <si>
    <t xml:space="preserve"> '손으로 그린 문자'라는 뜻으로, 아름답고 개성 있는 글자체는?</t>
    <phoneticPr fontId="1" type="noConversion"/>
  </si>
  <si>
    <t>캘로그</t>
    <phoneticPr fontId="1" type="noConversion"/>
  </si>
  <si>
    <t>캘리그라피</t>
    <phoneticPr fontId="1" type="noConversion"/>
  </si>
  <si>
    <t>캘리포니아</t>
    <phoneticPr fontId="1" type="noConversion"/>
  </si>
  <si>
    <t xml:space="preserve"> '집안을 망가뜨리고 자기 몸까지 망함'을 뜻하는 사자성어는?</t>
    <phoneticPr fontId="1" type="noConversion"/>
  </si>
  <si>
    <t>패가망신</t>
    <phoneticPr fontId="1" type="noConversion"/>
  </si>
  <si>
    <t>폐가망신</t>
    <phoneticPr fontId="1" type="noConversion"/>
  </si>
  <si>
    <t>개망폭망</t>
    <phoneticPr fontId="1" type="noConversion"/>
  </si>
  <si>
    <t xml:space="preserve"> 시인 '단테'의 대표작으로 지옥편, 연옥편, 천국편으로 이뤄진 서사시의 제목은?</t>
    <phoneticPr fontId="1" type="noConversion"/>
  </si>
  <si>
    <t>신과함께</t>
    <phoneticPr fontId="1" type="noConversion"/>
  </si>
  <si>
    <t>신곡</t>
    <phoneticPr fontId="1" type="noConversion"/>
  </si>
  <si>
    <t>신화</t>
    <phoneticPr fontId="1" type="noConversion"/>
  </si>
  <si>
    <t xml:space="preserve"> 다음 중 '통'의 의미가 다른 것은?</t>
    <phoneticPr fontId="1" type="noConversion"/>
  </si>
  <si>
    <t>통닭</t>
    <phoneticPr fontId="1" type="noConversion"/>
  </si>
  <si>
    <t>통기타</t>
    <phoneticPr fontId="1" type="noConversion"/>
  </si>
  <si>
    <t>통감자</t>
    <phoneticPr fontId="1" type="noConversion"/>
  </si>
  <si>
    <t xml:space="preserve"> 셰익스피어의 4대 비극이 아닌 것은?</t>
    <phoneticPr fontId="1" type="noConversion"/>
  </si>
  <si>
    <t>햄릿</t>
    <phoneticPr fontId="1" type="noConversion"/>
  </si>
  <si>
    <t>로미오와 줄리엣</t>
    <phoneticPr fontId="1" type="noConversion"/>
  </si>
  <si>
    <t>리어왕</t>
    <phoneticPr fontId="1" type="noConversion"/>
  </si>
  <si>
    <t xml:space="preserve"> 조선시대, '왕의 변'을 뜻하는 말은?</t>
    <phoneticPr fontId="1" type="noConversion"/>
  </si>
  <si>
    <t>장미</t>
    <phoneticPr fontId="1" type="noConversion"/>
  </si>
  <si>
    <t>매화</t>
    <phoneticPr fontId="1" type="noConversion"/>
  </si>
  <si>
    <t>국화</t>
    <phoneticPr fontId="1" type="noConversion"/>
  </si>
  <si>
    <t xml:space="preserve"> 힙합 레이블 &lt;AOMG&gt;에 합류한 종합 격투기 선수의 별명은?</t>
    <phoneticPr fontId="1" type="noConversion"/>
  </si>
  <si>
    <t>코리안 좀비</t>
    <phoneticPr fontId="1" type="noConversion"/>
  </si>
  <si>
    <t>코리안 개츠비</t>
    <phoneticPr fontId="1" type="noConversion"/>
  </si>
  <si>
    <t>코리안 함무라비</t>
    <phoneticPr fontId="1" type="noConversion"/>
  </si>
  <si>
    <t xml:space="preserve"> '노각'으로 불리는 채소는?</t>
    <phoneticPr fontId="1" type="noConversion"/>
  </si>
  <si>
    <t>늙은 호박</t>
    <phoneticPr fontId="1" type="noConversion"/>
  </si>
  <si>
    <t>늙은 오이</t>
    <phoneticPr fontId="1" type="noConversion"/>
  </si>
  <si>
    <t>늙은 가지</t>
    <phoneticPr fontId="1" type="noConversion"/>
  </si>
  <si>
    <t xml:space="preserve"> 영국 국기의 이름은?</t>
    <phoneticPr fontId="1" type="noConversion"/>
  </si>
  <si>
    <t>유니언 콜</t>
    <phoneticPr fontId="1" type="noConversion"/>
  </si>
  <si>
    <t>유니언 콤</t>
    <phoneticPr fontId="1" type="noConversion"/>
  </si>
  <si>
    <t>유니언 잭</t>
    <phoneticPr fontId="1" type="noConversion"/>
  </si>
  <si>
    <t xml:space="preserve"> '노벨문학상' 수상자가 아닌 사람은?</t>
    <phoneticPr fontId="1" type="noConversion"/>
  </si>
  <si>
    <t>도스토옙스키</t>
    <phoneticPr fontId="1" type="noConversion"/>
  </si>
  <si>
    <t>헤르만 헤세</t>
    <phoneticPr fontId="1" type="noConversion"/>
  </si>
  <si>
    <t>헤밍웨이</t>
    <phoneticPr fontId="1" type="noConversion"/>
  </si>
  <si>
    <t xml:space="preserve"> 와인에서 &lt;빈티지&gt;의 의미는?</t>
    <phoneticPr fontId="1" type="noConversion"/>
  </si>
  <si>
    <t>오래되어 가치있는 것</t>
    <phoneticPr fontId="1" type="noConversion"/>
  </si>
  <si>
    <t>와인 병을 모으는 취미</t>
    <phoneticPr fontId="1" type="noConversion"/>
  </si>
  <si>
    <t>해당 와인을 만든 포도를 수확한 해</t>
    <phoneticPr fontId="1" type="noConversion"/>
  </si>
  <si>
    <t xml:space="preserve"> 무지개를 빨주노초파남보 일곱 빛깔로 나눈 사람은?</t>
    <phoneticPr fontId="1" type="noConversion"/>
  </si>
  <si>
    <t>뉴턴</t>
    <phoneticPr fontId="1" type="noConversion"/>
  </si>
  <si>
    <t>아인슈타인</t>
    <phoneticPr fontId="1" type="noConversion"/>
  </si>
  <si>
    <t>에디슨</t>
    <phoneticPr fontId="1" type="noConversion"/>
  </si>
  <si>
    <t xml:space="preserve"> 과자 봉투가 부풀어 있는 것은 (   )를 이용해 포장을 했기 때문이다.</t>
    <phoneticPr fontId="1" type="noConversion"/>
  </si>
  <si>
    <t xml:space="preserve"> 공기반 소리반</t>
    <phoneticPr fontId="1" type="noConversion"/>
  </si>
  <si>
    <t xml:space="preserve"> 질소</t>
    <phoneticPr fontId="1" type="noConversion"/>
  </si>
  <si>
    <t xml:space="preserve"> 염소</t>
    <phoneticPr fontId="1" type="noConversion"/>
  </si>
  <si>
    <t xml:space="preserve"> 강아지, 송아지, 망아지에서 '아지'의 뜻은?</t>
    <phoneticPr fontId="1" type="noConversion"/>
  </si>
  <si>
    <t xml:space="preserve"> 아저씨</t>
    <phoneticPr fontId="1" type="noConversion"/>
  </si>
  <si>
    <t xml:space="preserve"> 닮은 것</t>
    <phoneticPr fontId="1" type="noConversion"/>
  </si>
  <si>
    <t xml:space="preserve"> 새끼</t>
    <phoneticPr fontId="1" type="noConversion"/>
  </si>
  <si>
    <t xml:space="preserve"> 유니폼에 의무적으로 혈액형을 표시해야 하는 직업은?</t>
    <phoneticPr fontId="1" type="noConversion"/>
  </si>
  <si>
    <t xml:space="preserve"> 공군조종사</t>
    <phoneticPr fontId="1" type="noConversion"/>
  </si>
  <si>
    <t xml:space="preserve"> 경찰</t>
    <phoneticPr fontId="1" type="noConversion"/>
  </si>
  <si>
    <t xml:space="preserve"> 버스운전사</t>
    <phoneticPr fontId="1" type="noConversion"/>
  </si>
  <si>
    <t xml:space="preserve"> &lt;피노키오, 김준현, 싸움&gt; 다음 단어로 연상되는 것은?</t>
    <phoneticPr fontId="1" type="noConversion"/>
  </si>
  <si>
    <t xml:space="preserve"> 오랑우탄</t>
    <phoneticPr fontId="1" type="noConversion"/>
  </si>
  <si>
    <t xml:space="preserve"> 고래</t>
    <phoneticPr fontId="1" type="noConversion"/>
  </si>
  <si>
    <t xml:space="preserve"> 기린</t>
    <phoneticPr fontId="1" type="noConversion"/>
  </si>
  <si>
    <t xml:space="preserve"> '가격 대비 마음의 만족도'를 뜻하는 말은?</t>
    <phoneticPr fontId="1" type="noConversion"/>
  </si>
  <si>
    <t>가심비</t>
    <phoneticPr fontId="1" type="noConversion"/>
  </si>
  <si>
    <t>가랑비</t>
    <phoneticPr fontId="1" type="noConversion"/>
  </si>
  <si>
    <t>가스비</t>
    <phoneticPr fontId="1" type="noConversion"/>
  </si>
  <si>
    <t xml:space="preserve"> 스포츠에서 최고의 선수를 가리키는 M.V.P.는 Most (   ) Player의 약자이다.</t>
    <phoneticPr fontId="1" type="noConversion"/>
  </si>
  <si>
    <t xml:space="preserve"> Very</t>
    <phoneticPr fontId="1" type="noConversion"/>
  </si>
  <si>
    <t>Valuable</t>
    <phoneticPr fontId="1" type="noConversion"/>
  </si>
  <si>
    <t xml:space="preserve"> Victory</t>
    <phoneticPr fontId="1" type="noConversion"/>
  </si>
  <si>
    <t xml:space="preserve"> 윷놀이에서 '걸'이 상징하는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</si>
  <si>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</si>
  <si>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</si>
  <si>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양</t>
    <phoneticPr fontId="1" type="noConversion"/>
  </si>
  <si>
    <t xml:space="preserve"> '멜로드라마'에서 '멜로'는 그리스어로 무슨 뜻일까?</t>
    <phoneticPr fontId="1" type="noConversion"/>
  </si>
  <si>
    <t xml:space="preserve"> 사랑</t>
    <phoneticPr fontId="1" type="noConversion"/>
  </si>
  <si>
    <t xml:space="preserve"> 노래</t>
    <phoneticPr fontId="1" type="noConversion"/>
  </si>
  <si>
    <t xml:space="preserve"> 행복</t>
    <phoneticPr fontId="1" type="noConversion"/>
  </si>
  <si>
    <t xml:space="preserve"> 다음 중 작사가가 다른 노래는?</t>
    <phoneticPr fontId="1" type="noConversion"/>
  </si>
  <si>
    <t xml:space="preserve"> 이선희-그 중에 그대를 만나</t>
    <phoneticPr fontId="1" type="noConversion"/>
  </si>
  <si>
    <t xml:space="preserve"> 아이유-좋은날</t>
    <phoneticPr fontId="1" type="noConversion"/>
  </si>
  <si>
    <t xml:space="preserve"> 선미-보름달</t>
    <phoneticPr fontId="1" type="noConversion"/>
  </si>
  <si>
    <t xml:space="preserve"> 17세기 네델란드에서 벌어진 '과열 투기 현상'을 뜻하는 말은?</t>
    <phoneticPr fontId="1" type="noConversion"/>
  </si>
  <si>
    <t xml:space="preserve"> 풍차 파동</t>
    <phoneticPr fontId="1" type="noConversion"/>
  </si>
  <si>
    <t xml:space="preserve"> 치즈 파동</t>
    <phoneticPr fontId="1" type="noConversion"/>
  </si>
  <si>
    <t xml:space="preserve"> 튤립 파동</t>
    <phoneticPr fontId="1" type="noConversion"/>
  </si>
  <si>
    <t xml:space="preserve"> 세계 최초롤 지하철을 개통한 나라는?</t>
    <phoneticPr fontId="1" type="noConversion"/>
  </si>
  <si>
    <t xml:space="preserve"> 영국</t>
    <phoneticPr fontId="1" type="noConversion"/>
  </si>
  <si>
    <t xml:space="preserve"> 프랑스</t>
    <phoneticPr fontId="1" type="noConversion"/>
  </si>
  <si>
    <t xml:space="preserve"> 독일</t>
    <phoneticPr fontId="1" type="noConversion"/>
  </si>
  <si>
    <t xml:space="preserve"> 라틴어에서 유래한 컴퓨터 마우스 '커서(cursor)'의 뜻은?</t>
    <phoneticPr fontId="1" type="noConversion"/>
  </si>
  <si>
    <t xml:space="preserve"> 숨 쉬는 자</t>
    <phoneticPr fontId="1" type="noConversion"/>
  </si>
  <si>
    <t xml:space="preserve"> 걷는 자</t>
    <phoneticPr fontId="1" type="noConversion"/>
  </si>
  <si>
    <t xml:space="preserve"> 달리는 자</t>
    <phoneticPr fontId="1" type="noConversion"/>
  </si>
  <si>
    <t xml:space="preserve"> 6월 1일 새롭게 합류한 페이큐의 새 MC 김지민의 유행어는?</t>
    <phoneticPr fontId="1" type="noConversion"/>
  </si>
  <si>
    <t xml:space="preserve"> 내 마음 속에 저장</t>
    <phoneticPr fontId="1" type="noConversion"/>
  </si>
  <si>
    <t xml:space="preserve"> 영미!!! 영미!!!</t>
    <phoneticPr fontId="1" type="noConversion"/>
  </si>
  <si>
    <t xml:space="preserve"> 느낌 아니까~</t>
    <phoneticPr fontId="1" type="noConversion"/>
  </si>
  <si>
    <t xml:space="preserve"> &lt;돼지 목, 6월 탄생석, ( )귀걸이를 한 소녀&gt;에서 연상되는 것은?</t>
    <phoneticPr fontId="1" type="noConversion"/>
  </si>
  <si>
    <t xml:space="preserve"> 블루 사파이어</t>
    <phoneticPr fontId="1" type="noConversion"/>
  </si>
  <si>
    <t xml:space="preserve"> 진주</t>
    <phoneticPr fontId="1" type="noConversion"/>
  </si>
  <si>
    <t xml:space="preserve"> 루비</t>
    <phoneticPr fontId="1" type="noConversion"/>
  </si>
  <si>
    <t xml:space="preserve"> '단오'에 하는 풍속인 것은?</t>
    <phoneticPr fontId="1" type="noConversion"/>
  </si>
  <si>
    <t xml:space="preserve"> 창포물에 머리 감기</t>
    <phoneticPr fontId="1" type="noConversion"/>
  </si>
  <si>
    <t xml:space="preserve"> 송편 빚기</t>
    <phoneticPr fontId="1" type="noConversion"/>
  </si>
  <si>
    <t xml:space="preserve"> 엉덩이로 이름 쓰기</t>
    <phoneticPr fontId="1" type="noConversion"/>
  </si>
  <si>
    <t xml:space="preserve"> 6.10 민주 항쟁의 기폭제가 된 박종철 고문 치사 사건을 다룬 영화는?</t>
    <phoneticPr fontId="1" type="noConversion"/>
  </si>
  <si>
    <t xml:space="preserve"> 인천상륙작전</t>
    <phoneticPr fontId="1" type="noConversion"/>
  </si>
  <si>
    <t xml:space="preserve"> 연평해전</t>
    <phoneticPr fontId="1" type="noConversion"/>
  </si>
  <si>
    <t xml:space="preserve"> 6월을 한자로 적었을 때 올바른  것은?</t>
    <phoneticPr fontId="1" type="noConversion"/>
  </si>
  <si>
    <t xml:space="preserve"> 八月</t>
    <phoneticPr fontId="1" type="noConversion"/>
  </si>
  <si>
    <t xml:space="preserve"> 六月</t>
    <phoneticPr fontId="1" type="noConversion"/>
  </si>
  <si>
    <t xml:space="preserve"> 九月</t>
    <phoneticPr fontId="1" type="noConversion"/>
  </si>
  <si>
    <t xml:space="preserve"> 다음 중 '6월'을 소재로 한 칵테일은?</t>
    <phoneticPr fontId="1" type="noConversion"/>
  </si>
  <si>
    <t xml:space="preserve"> 준벅</t>
    <phoneticPr fontId="1" type="noConversion"/>
  </si>
  <si>
    <t>미도리 사워</t>
    <phoneticPr fontId="1" type="noConversion"/>
  </si>
  <si>
    <t xml:space="preserve"> 피나콜라다</t>
    <phoneticPr fontId="1" type="noConversion"/>
  </si>
  <si>
    <t xml:space="preserve"> 현충일에는 묵념 사이렌이 울린다. 그 시간은?</t>
    <phoneticPr fontId="1" type="noConversion"/>
  </si>
  <si>
    <t xml:space="preserve"> 오전 10시</t>
    <phoneticPr fontId="1" type="noConversion"/>
  </si>
  <si>
    <t xml:space="preserve"> 오전 11시</t>
    <phoneticPr fontId="1" type="noConversion"/>
  </si>
  <si>
    <t xml:space="preserve"> 오후 12시</t>
    <phoneticPr fontId="1" type="noConversion"/>
  </si>
  <si>
    <t xml:space="preserve"> 현재 우리나라 선거권은 만( )세 이상의 국민에게 주어진다.</t>
    <phoneticPr fontId="1" type="noConversion"/>
  </si>
  <si>
    <t xml:space="preserve"> 만 18세</t>
    <phoneticPr fontId="1" type="noConversion"/>
  </si>
  <si>
    <t xml:space="preserve"> 만 19세</t>
    <phoneticPr fontId="1" type="noConversion"/>
  </si>
  <si>
    <t xml:space="preserve"> 만 20세</t>
    <phoneticPr fontId="1" type="noConversion"/>
  </si>
  <si>
    <t xml:space="preserve"> 6월에 있는 절기가 아닌 것은?</t>
    <phoneticPr fontId="1" type="noConversion"/>
  </si>
  <si>
    <t xml:space="preserve"> 망종</t>
    <phoneticPr fontId="1" type="noConversion"/>
  </si>
  <si>
    <t xml:space="preserve"> 청명</t>
    <phoneticPr fontId="1" type="noConversion"/>
  </si>
  <si>
    <t xml:space="preserve"> 하지</t>
    <phoneticPr fontId="1" type="noConversion"/>
  </si>
  <si>
    <t xml:space="preserve"> 다음 중 6월에 낮이 가장 '짧은' 나라는?</t>
    <phoneticPr fontId="1" type="noConversion"/>
  </si>
  <si>
    <t xml:space="preserve"> 뉴질랜드</t>
    <phoneticPr fontId="1" type="noConversion"/>
  </si>
  <si>
    <t xml:space="preserve"> 미국</t>
    <phoneticPr fontId="1" type="noConversion"/>
  </si>
  <si>
    <t xml:space="preserve"> 이집트</t>
    <phoneticPr fontId="1" type="noConversion"/>
  </si>
  <si>
    <t xml:space="preserve"> 힘이 왕성한 때가 지나 버린 사람을 빗대어 이르는 말은?</t>
    <phoneticPr fontId="1" type="noConversion"/>
  </si>
  <si>
    <t xml:space="preserve"> 하지 지낸 메뚜기</t>
    <phoneticPr fontId="1" type="noConversion"/>
  </si>
  <si>
    <t xml:space="preserve"> 하지 지낸 두꺼비</t>
    <phoneticPr fontId="1" type="noConversion"/>
  </si>
  <si>
    <t xml:space="preserve"> 하지 지낸 뜸부기</t>
    <phoneticPr fontId="1" type="noConversion"/>
  </si>
  <si>
    <t xml:space="preserve"> 6월에 있는 국제 기념일이 아닌 것은?</t>
    <phoneticPr fontId="1" type="noConversion"/>
  </si>
  <si>
    <t xml:space="preserve"> 6월5일 - 세계 환경의 날</t>
    <phoneticPr fontId="1" type="noConversion"/>
  </si>
  <si>
    <t xml:space="preserve"> 6월 14일 - 세계 헌혈의 날</t>
    <phoneticPr fontId="1" type="noConversion"/>
  </si>
  <si>
    <t xml:space="preserve"> 6월 30일 - 세계 금연의 날</t>
    <phoneticPr fontId="1" type="noConversion"/>
  </si>
  <si>
    <t xml:space="preserve"> '페이큐'를 영어로 바르게 표기한 것은?</t>
    <phoneticPr fontId="1" type="noConversion"/>
  </si>
  <si>
    <t xml:space="preserve"> PAYQ</t>
    <phoneticPr fontId="1" type="noConversion"/>
  </si>
  <si>
    <t xml:space="preserve"> PEYQ</t>
    <phoneticPr fontId="1" type="noConversion"/>
  </si>
  <si>
    <t xml:space="preserve"> FAYQ</t>
    <phoneticPr fontId="1" type="noConversion"/>
  </si>
  <si>
    <t xml:space="preserve"> &lt;하루라도 책을 읽지 않으면 입안에 가시가 돋는다&gt; 누구의 명언일까?</t>
    <phoneticPr fontId="1" type="noConversion"/>
  </si>
  <si>
    <t xml:space="preserve"> 안중근</t>
    <phoneticPr fontId="1" type="noConversion"/>
  </si>
  <si>
    <t xml:space="preserve"> 안영미</t>
    <phoneticPr fontId="1" type="noConversion"/>
  </si>
  <si>
    <t xml:space="preserve"> 안정환</t>
    <phoneticPr fontId="1" type="noConversion"/>
  </si>
  <si>
    <t xml:space="preserve"> 마라톤에서 선수와 함께 달리며 속도 유지를 돕는 사람은?</t>
    <phoneticPr fontId="1" type="noConversion"/>
  </si>
  <si>
    <t xml:space="preserve"> 커피메이커</t>
    <phoneticPr fontId="1" type="noConversion"/>
  </si>
  <si>
    <t xml:space="preserve"> 프린세스메이커</t>
    <phoneticPr fontId="1" type="noConversion"/>
  </si>
  <si>
    <t xml:space="preserve"> 페이스메이커</t>
    <phoneticPr fontId="1" type="noConversion"/>
  </si>
  <si>
    <t xml:space="preserve"> 한 달에 보름달이 두 번 뜨는 경우, 두 번째로 뜬 보름달은? (양력기준)</t>
    <phoneticPr fontId="1" type="noConversion"/>
  </si>
  <si>
    <t xml:space="preserve"> 블루문</t>
    <phoneticPr fontId="1" type="noConversion"/>
  </si>
  <si>
    <t xml:space="preserve"> 레드문</t>
    <phoneticPr fontId="1" type="noConversion"/>
  </si>
  <si>
    <t xml:space="preserve"> 허니문</t>
    <phoneticPr fontId="1" type="noConversion"/>
  </si>
  <si>
    <t xml:space="preserve"> '초순, 중순, 하순'에서 '순'의 의미는?</t>
    <phoneticPr fontId="1" type="noConversion"/>
  </si>
  <si>
    <t xml:space="preserve"> 순수하다</t>
    <phoneticPr fontId="1" type="noConversion"/>
  </si>
  <si>
    <t xml:space="preserve"> 열흘</t>
    <phoneticPr fontId="1" type="noConversion"/>
  </si>
  <si>
    <t xml:space="preserve"> 입술</t>
    <phoneticPr fontId="1" type="noConversion"/>
  </si>
  <si>
    <t xml:space="preserve"> 조선시대 화가 안견이 안평대군의 꿈을 듣고 그린 그림은/</t>
    <phoneticPr fontId="1" type="noConversion"/>
  </si>
  <si>
    <t xml:space="preserve"> 몽유도원도</t>
    <phoneticPr fontId="1" type="noConversion"/>
  </si>
  <si>
    <t xml:space="preserve"> 연사모종도</t>
    <phoneticPr fontId="1" type="noConversion"/>
  </si>
  <si>
    <t xml:space="preserve"> 적벽도</t>
    <phoneticPr fontId="1" type="noConversion"/>
  </si>
  <si>
    <t xml:space="preserve"> '어리석은 사람이 머물면 지혜로운 사람으로 달라진다'는 뜻의 산은?</t>
    <phoneticPr fontId="1" type="noConversion"/>
  </si>
  <si>
    <t xml:space="preserve"> 태백산</t>
    <phoneticPr fontId="1" type="noConversion"/>
  </si>
  <si>
    <t xml:space="preserve"> 설악산</t>
    <phoneticPr fontId="1" type="noConversion"/>
  </si>
  <si>
    <t xml:space="preserve"> 지리산</t>
    <phoneticPr fontId="1" type="noConversion"/>
  </si>
  <si>
    <t xml:space="preserve"> 거문고의 줄의 수는?</t>
    <phoneticPr fontId="1" type="noConversion"/>
  </si>
  <si>
    <t xml:space="preserve"> 올해 7월 첫 내한공연이 확정된 'Humble'을 부른 힙합 가수는?</t>
    <phoneticPr fontId="1" type="noConversion"/>
  </si>
  <si>
    <t xml:space="preserve"> 카니예 웨스트</t>
    <phoneticPr fontId="1" type="noConversion"/>
  </si>
  <si>
    <t xml:space="preserve"> 켄드릭 라마</t>
    <phoneticPr fontId="1" type="noConversion"/>
  </si>
  <si>
    <t xml:space="preserve"> 위즈 칼리파</t>
    <phoneticPr fontId="1" type="noConversion"/>
  </si>
  <si>
    <t xml:space="preserve"> &lt;오느은 1등할 __&gt; 빈칸에 알맞은 말은?</t>
    <phoneticPr fontId="1" type="noConversion"/>
  </si>
  <si>
    <t xml:space="preserve"> 거에요</t>
    <phoneticPr fontId="1" type="noConversion"/>
  </si>
  <si>
    <t xml:space="preserve"> 거예요</t>
    <phoneticPr fontId="1" type="noConversion"/>
  </si>
  <si>
    <t xml:space="preserve"> 꺼예요</t>
    <phoneticPr fontId="1" type="noConversion"/>
  </si>
  <si>
    <t xml:space="preserve"> 국가와 통화 명칭이 잘못 연결된 것은?</t>
    <phoneticPr fontId="1" type="noConversion"/>
  </si>
  <si>
    <t xml:space="preserve"> 헝가리 - 유로</t>
    <phoneticPr fontId="1" type="noConversion"/>
  </si>
  <si>
    <t xml:space="preserve"> 체코 -코루나</t>
    <phoneticPr fontId="1" type="noConversion"/>
  </si>
  <si>
    <t xml:space="preserve"> 말레이시아 - 링깃</t>
    <phoneticPr fontId="1" type="noConversion"/>
  </si>
  <si>
    <t xml:space="preserve"> 수박 속이 붉은색인 이유는 (이것)때문이다. 이것은?</t>
    <phoneticPr fontId="1" type="noConversion"/>
  </si>
  <si>
    <t xml:space="preserve"> 안토시아닌</t>
    <phoneticPr fontId="1" type="noConversion"/>
  </si>
  <si>
    <t xml:space="preserve"> 베타카로틴</t>
    <phoneticPr fontId="1" type="noConversion"/>
  </si>
  <si>
    <t xml:space="preserve"> 라이코펜</t>
    <phoneticPr fontId="1" type="noConversion"/>
  </si>
  <si>
    <t xml:space="preserve"> 동화 속 주인공 '신데렐라'의 뜻은?</t>
    <phoneticPr fontId="1" type="noConversion"/>
  </si>
  <si>
    <t xml:space="preserve"> 재투성이</t>
    <phoneticPr fontId="1" type="noConversion"/>
  </si>
  <si>
    <t xml:space="preserve"> 땀투성이</t>
    <phoneticPr fontId="1" type="noConversion"/>
  </si>
  <si>
    <t xml:space="preserve"> 상처투성이</t>
    <phoneticPr fontId="1" type="noConversion"/>
  </si>
  <si>
    <t xml:space="preserve"> 독립하지 않고 부모에게 의존해 사는 성인을 뜻하는 말은?</t>
    <phoneticPr fontId="1" type="noConversion"/>
  </si>
  <si>
    <t xml:space="preserve"> 혼밥족</t>
    <phoneticPr fontId="1" type="noConversion"/>
  </si>
  <si>
    <t xml:space="preserve"> 캥거루족</t>
    <phoneticPr fontId="1" type="noConversion"/>
  </si>
  <si>
    <t xml:space="preserve"> 욜로족</t>
    <phoneticPr fontId="1" type="noConversion"/>
  </si>
  <si>
    <t xml:space="preserve"> 간호학도들이 간호사로서의 윤리와 원칙을 맹세하는 의식은?</t>
    <phoneticPr fontId="1" type="noConversion"/>
  </si>
  <si>
    <t xml:space="preserve"> 국기에 대한 맹세</t>
    <phoneticPr fontId="1" type="noConversion"/>
  </si>
  <si>
    <t xml:space="preserve"> 히포크라테스 선서</t>
    <phoneticPr fontId="1" type="noConversion"/>
  </si>
  <si>
    <t xml:space="preserve"> 나이팅게일 선서</t>
    <phoneticPr fontId="1" type="noConversion"/>
  </si>
  <si>
    <t xml:space="preserve"> 다음 중 맞는 표기는?</t>
    <phoneticPr fontId="1" type="noConversion"/>
  </si>
  <si>
    <t xml:space="preserve"> 과녘</t>
    <phoneticPr fontId="1" type="noConversion"/>
  </si>
  <si>
    <t xml:space="preserve"> 과녁</t>
    <phoneticPr fontId="1" type="noConversion"/>
  </si>
  <si>
    <t xml:space="preserve"> 관역</t>
    <phoneticPr fontId="1" type="noConversion"/>
  </si>
  <si>
    <t xml:space="preserve"> 올 7월부터 변경 예정인 주 최대 근로시간은? (300인 이상 사업장 기준)</t>
    <phoneticPr fontId="1" type="noConversion"/>
  </si>
  <si>
    <t xml:space="preserve"> 42시간</t>
    <phoneticPr fontId="1" type="noConversion"/>
  </si>
  <si>
    <t xml:space="preserve"> 52시간</t>
    <phoneticPr fontId="1" type="noConversion"/>
  </si>
  <si>
    <t xml:space="preserve"> 72시간</t>
    <phoneticPr fontId="1" type="noConversion"/>
  </si>
  <si>
    <t xml:space="preserve"> 우리나라에서 모든 국군을 지휘통제 할 수 있는 '국군통수권'을 가진 사람은?</t>
    <phoneticPr fontId="1" type="noConversion"/>
  </si>
  <si>
    <t>국방부장관</t>
    <phoneticPr fontId="1" type="noConversion"/>
  </si>
  <si>
    <t xml:space="preserve"> 총리</t>
    <phoneticPr fontId="1" type="noConversion"/>
  </si>
  <si>
    <t xml:space="preserve"> 대통령</t>
    <phoneticPr fontId="1" type="noConversion"/>
  </si>
  <si>
    <t xml:space="preserve"> 영어 관용표현 중 "Who cut the cheese?"의 뜻은?</t>
    <phoneticPr fontId="1" type="noConversion"/>
  </si>
  <si>
    <t xml:space="preserve"> 누가 내 물건을 망가뜨렸어?</t>
    <phoneticPr fontId="1" type="noConversion"/>
  </si>
  <si>
    <t xml:space="preserve"> 누가 내 물건을 훔쳤어?</t>
    <phoneticPr fontId="1" type="noConversion"/>
  </si>
  <si>
    <t xml:space="preserve"> 누가 방귀 뀌었어?</t>
    <phoneticPr fontId="1" type="noConversion"/>
  </si>
  <si>
    <t xml:space="preserve"> 야구 경기에서 투수가 무안타, 무실점으로 상대팀에 승리하는 것은?</t>
    <phoneticPr fontId="1" type="noConversion"/>
  </si>
  <si>
    <t xml:space="preserve"> 퍼펙트 게임</t>
    <phoneticPr fontId="1" type="noConversion"/>
  </si>
  <si>
    <t xml:space="preserve"> 노히트노런</t>
    <phoneticPr fontId="1" type="noConversion"/>
  </si>
  <si>
    <t xml:space="preserve"> 콜드게임</t>
    <phoneticPr fontId="1" type="noConversion"/>
  </si>
  <si>
    <t xml:space="preserve"> 다음 중 해당 국가의 수도에서 볼 수 없는 것은?</t>
    <phoneticPr fontId="1" type="noConversion"/>
  </si>
  <si>
    <t xml:space="preserve"> 에펠탑</t>
    <phoneticPr fontId="1" type="noConversion"/>
  </si>
  <si>
    <t xml:space="preserve"> 자유의 여신상</t>
    <phoneticPr fontId="1" type="noConversion"/>
  </si>
  <si>
    <t xml:space="preserve"> 만리장성</t>
    <phoneticPr fontId="1" type="noConversion"/>
  </si>
  <si>
    <t xml:space="preserve"> 소설 &lt;크리스마스 캐럴&gt;, &lt;올리버 트위스트&gt;를 쓴 19세기 영국 소설가는?</t>
    <phoneticPr fontId="1" type="noConversion"/>
  </si>
  <si>
    <t xml:space="preserve"> 찰스 디킨스</t>
    <phoneticPr fontId="1" type="noConversion"/>
  </si>
  <si>
    <t xml:space="preserve"> 셰익스피어</t>
    <phoneticPr fontId="1" type="noConversion"/>
  </si>
  <si>
    <t xml:space="preserve"> 조앤 K. 롤링</t>
    <phoneticPr fontId="1" type="noConversion"/>
  </si>
  <si>
    <t xml:space="preserve"> '오장육부'에서 '오장'이 아닌 것은?</t>
    <phoneticPr fontId="1" type="noConversion"/>
  </si>
  <si>
    <t xml:space="preserve"> 간장</t>
    <phoneticPr fontId="1" type="noConversion"/>
  </si>
  <si>
    <t xml:space="preserve"> 대장</t>
    <phoneticPr fontId="1" type="noConversion"/>
  </si>
  <si>
    <t xml:space="preserve"> 비장</t>
    <phoneticPr fontId="1" type="noConversion"/>
  </si>
  <si>
    <t xml:space="preserve"> 인도의 정치가이자 사상가인 마하트마 간디. 여기서 '마하트마'의 뜻은?</t>
    <phoneticPr fontId="1" type="noConversion"/>
  </si>
  <si>
    <t xml:space="preserve"> 평화의 걸음</t>
    <phoneticPr fontId="1" type="noConversion"/>
  </si>
  <si>
    <t xml:space="preserve"> 위대한 영혼</t>
    <phoneticPr fontId="1" type="noConversion"/>
  </si>
  <si>
    <t xml:space="preserve"> 빛나는 내일</t>
    <phoneticPr fontId="1" type="noConversion"/>
  </si>
  <si>
    <t>999</t>
    <phoneticPr fontId="1" type="noConversion"/>
  </si>
  <si>
    <t xml:space="preserve"> 방탄소년단이 한국 최초로 1위에 오른 미국 음반 판매량 차트의 이름은?</t>
  </si>
  <si>
    <t xml:space="preserve"> 화이트보드 100</t>
  </si>
  <si>
    <t xml:space="preserve"> 빌보드 200</t>
  </si>
  <si>
    <t xml:space="preserve"> 킥보드 300</t>
  </si>
  <si>
    <t xml:space="preserve"> 이슬람교에서 행하는 약 한 달간의 금식기간으로, 이슬람력에서의 9번째 달(月)은?</t>
  </si>
  <si>
    <t xml:space="preserve"> 라마단</t>
  </si>
  <si>
    <t xml:space="preserve"> 라미란</t>
  </si>
  <si>
    <t xml:space="preserve"> 람바다</t>
  </si>
  <si>
    <t xml:space="preserve"> 이탈리아에서는 달팽이, 노르웨이에서는 돼지 꼬리, 터키에서는 귀로 통하는 이 기호는?</t>
  </si>
  <si>
    <t xml:space="preserve"> #</t>
  </si>
  <si>
    <t xml:space="preserve"> *</t>
  </si>
  <si>
    <t xml:space="preserve"> @</t>
  </si>
  <si>
    <t xml:space="preserve"> 어물전 망신은 꼴뚜기가 시키고, 과일전 망신은 ( )가 시킨다.</t>
  </si>
  <si>
    <t xml:space="preserve"> 앵두</t>
  </si>
  <si>
    <t xml:space="preserve"> 무화과</t>
  </si>
  <si>
    <t xml:space="preserve"> 모과</t>
  </si>
  <si>
    <t xml:space="preserve"> 위에서 던진 사과가 아래로 떨어지는 것이 중력 때문이라면, 비행기가 하늘로 날아오르는 것은?</t>
  </si>
  <si>
    <t xml:space="preserve"> 양력</t>
  </si>
  <si>
    <t xml:space="preserve"> 음력</t>
  </si>
  <si>
    <t xml:space="preserve"> 차력</t>
  </si>
  <si>
    <t xml:space="preserve"> 딸이 아버지의 애정을 갈망해 어머니를 증오하게 되는 심리상태는?</t>
  </si>
  <si>
    <t xml:space="preserve"> 오이디푸스 콤플렉스</t>
  </si>
  <si>
    <t xml:space="preserve"> 엘렉트라 콤플렉스</t>
  </si>
  <si>
    <t xml:space="preserve"> 바비인형 콤플레스</t>
  </si>
  <si>
    <t xml:space="preserve"> &lt;야식증후군 : 저녁 __시 이후의 식사량이 하루 전체의 50%이상을 차지하는 증상&gt;</t>
  </si>
  <si>
    <t xml:space="preserve"> 6시</t>
  </si>
  <si>
    <t xml:space="preserve"> 7시</t>
  </si>
  <si>
    <t xml:space="preserve"> 9시</t>
  </si>
  <si>
    <t xml:space="preserve"> </t>
    <phoneticPr fontId="1" type="noConversion"/>
  </si>
  <si>
    <t xml:space="preserve"> 빵</t>
  </si>
  <si>
    <t xml:space="preserve"> 심</t>
  </si>
  <si>
    <t xml:space="preserve"> 에필로그</t>
  </si>
  <si>
    <t xml:space="preserve"> 공동묘지</t>
  </si>
  <si>
    <t xml:space="preserve"> 안데르센</t>
  </si>
  <si>
    <t xml:space="preserve"> 거울</t>
  </si>
  <si>
    <t xml:space="preserve"> 1월</t>
  </si>
  <si>
    <t xml:space="preserve"> 부레옥잠</t>
  </si>
  <si>
    <t xml:space="preserve"> 가슴</t>
  </si>
  <si>
    <t xml:space="preserve"> 동백꽃</t>
  </si>
  <si>
    <t xml:space="preserve"> 자라</t>
  </si>
  <si>
    <t xml:space="preserve"> 블랙스완</t>
  </si>
  <si>
    <t xml:space="preserve"> 볼링</t>
  </si>
  <si>
    <t xml:space="preserve"> 거짓말</t>
  </si>
  <si>
    <t xml:space="preserve"> 팜므파탈</t>
  </si>
  <si>
    <t xml:space="preserve"> 전라도</t>
  </si>
  <si>
    <t xml:space="preserve"> 멀리 멀리</t>
  </si>
  <si>
    <t xml:space="preserve"> 엄마는 외계인</t>
  </si>
  <si>
    <t xml:space="preserve"> 들창고</t>
  </si>
  <si>
    <t xml:space="preserve"> 맛세이 - 찍어치기</t>
  </si>
  <si>
    <t xml:space="preserve"> 어줍잔케</t>
  </si>
  <si>
    <t xml:space="preserve"> 올리비아 핫세</t>
  </si>
  <si>
    <t xml:space="preserve"> 인형의 집</t>
  </si>
  <si>
    <t xml:space="preserve"> 아테나(지혜와 전쟁의 여신)</t>
  </si>
  <si>
    <t xml:space="preserve"> 사탕</t>
  </si>
  <si>
    <t xml:space="preserve"> 신맛</t>
  </si>
  <si>
    <t xml:space="preserve"> 꿀- 물-식용유</t>
  </si>
  <si>
    <t xml:space="preserve"> 닭고기</t>
  </si>
  <si>
    <t xml:space="preserve"> 캐러멜</t>
  </si>
  <si>
    <t xml:space="preserve"> 시리얼</t>
  </si>
  <si>
    <t xml:space="preserve"> 달걀</t>
  </si>
  <si>
    <t xml:space="preserve"> 포도</t>
  </si>
  <si>
    <t xml:space="preserve"> 괴산 - 고추</t>
  </si>
  <si>
    <t xml:space="preserve"> 칭타오</t>
  </si>
  <si>
    <t xml:space="preserve"> 내 차는 신제품이야</t>
  </si>
  <si>
    <t xml:space="preserve"> 브로콜리</t>
  </si>
  <si>
    <t xml:space="preserve"> 사회적</t>
  </si>
  <si>
    <t xml:space="preserve"> 눈</t>
  </si>
  <si>
    <t xml:space="preserve"> 창</t>
  </si>
  <si>
    <t xml:space="preserve"> 워크 아웃</t>
  </si>
  <si>
    <t xml:space="preserve"> 소금</t>
  </si>
  <si>
    <t xml:space="preserve"> 참치마요 효과</t>
  </si>
  <si>
    <t xml:space="preserve"> 무릅쓰고</t>
  </si>
  <si>
    <t xml:space="preserve"> 양산</t>
  </si>
  <si>
    <t xml:space="preserve"> 호미걸이</t>
  </si>
  <si>
    <t xml:space="preserve"> 풍악산</t>
  </si>
  <si>
    <t xml:space="preserve"> 아이다</t>
  </si>
  <si>
    <t xml:space="preserve"> 엿</t>
  </si>
  <si>
    <t xml:space="preserve"> 변</t>
  </si>
  <si>
    <t xml:space="preserve"> 프롤로그</t>
  </si>
  <si>
    <t xml:space="preserve"> 시장</t>
  </si>
  <si>
    <t xml:space="preserve"> 그림 형제</t>
  </si>
  <si>
    <t xml:space="preserve"> 립스틱</t>
  </si>
  <si>
    <t xml:space="preserve"> 7월</t>
  </si>
  <si>
    <t xml:space="preserve"> 빈대잠</t>
  </si>
  <si>
    <t xml:space="preserve"> 허벅지</t>
  </si>
  <si>
    <t xml:space="preserve"> 석류꽃</t>
  </si>
  <si>
    <t xml:space="preserve"> 나방</t>
  </si>
  <si>
    <t xml:space="preserve"> 회색코뿔소</t>
  </si>
  <si>
    <t xml:space="preserve"> 당구</t>
  </si>
  <si>
    <t xml:space="preserve"> 태양</t>
  </si>
  <si>
    <t xml:space="preserve"> 옴므파탈</t>
  </si>
  <si>
    <t xml:space="preserve"> 서울</t>
  </si>
  <si>
    <t xml:space="preserve"> 높이 높이</t>
  </si>
  <si>
    <t xml:space="preserve"> 아몬드 봉봉</t>
  </si>
  <si>
    <t xml:space="preserve"> 주먹코</t>
  </si>
  <si>
    <t xml:space="preserve"> 시네루 - 회전</t>
  </si>
  <si>
    <t xml:space="preserve"> 어줍잖게</t>
  </si>
  <si>
    <t xml:space="preserve"> 소피아 로렌</t>
  </si>
  <si>
    <t xml:space="preserve"> 이갈리아의 딸들</t>
  </si>
  <si>
    <t xml:space="preserve"> 잔다르크</t>
  </si>
  <si>
    <t xml:space="preserve"> 초콜릿</t>
  </si>
  <si>
    <t xml:space="preserve"> 감칠맛</t>
  </si>
  <si>
    <t xml:space="preserve"> 꿀-식용유-물</t>
  </si>
  <si>
    <t xml:space="preserve"> 돼지고기</t>
  </si>
  <si>
    <t xml:space="preserve"> 솜사탕</t>
  </si>
  <si>
    <t xml:space="preserve"> 팬케이크</t>
  </si>
  <si>
    <t xml:space="preserve"> 감자</t>
  </si>
  <si>
    <t xml:space="preserve"> 파인애플</t>
  </si>
  <si>
    <t xml:space="preserve"> 무안 - 수박</t>
  </si>
  <si>
    <t xml:space="preserve"> 카스</t>
  </si>
  <si>
    <t xml:space="preserve"> 내 차는 불량품이야</t>
  </si>
  <si>
    <t xml:space="preserve"> 양배추</t>
  </si>
  <si>
    <t xml:space="preserve"> 문제적</t>
  </si>
  <si>
    <t xml:space="preserve"> 코</t>
  </si>
  <si>
    <t xml:space="preserve"> 도끼</t>
  </si>
  <si>
    <t xml:space="preserve"> 브레이크 아웃</t>
  </si>
  <si>
    <t xml:space="preserve"> 설탕</t>
  </si>
  <si>
    <t xml:space="preserve"> 연어 효과</t>
  </si>
  <si>
    <t xml:space="preserve"> 무릎쓰고</t>
  </si>
  <si>
    <t xml:space="preserve"> 안경</t>
  </si>
  <si>
    <t xml:space="preserve"> 덧걸이</t>
  </si>
  <si>
    <t xml:space="preserve"> 개골산</t>
  </si>
  <si>
    <t xml:space="preserve"> 눈물</t>
  </si>
  <si>
    <t xml:space="preserve"> 리골레토</t>
  </si>
  <si>
    <t xml:space="preserve"> 껌</t>
  </si>
  <si>
    <t xml:space="preserve"> 성</t>
  </si>
  <si>
    <t xml:space="preserve"> 브이로그</t>
  </si>
  <si>
    <t xml:space="preserve"> 대중목욕탕</t>
  </si>
  <si>
    <t xml:space="preserve"> 생텍쥐페리</t>
  </si>
  <si>
    <t xml:space="preserve"> 머리띠</t>
  </si>
  <si>
    <t xml:space="preserve"> 11월</t>
  </si>
  <si>
    <t xml:space="preserve"> 벼룩잠</t>
  </si>
  <si>
    <t xml:space="preserve"> 무릎</t>
  </si>
  <si>
    <t xml:space="preserve"> 장미</t>
  </si>
  <si>
    <t xml:space="preserve"> 물귀신</t>
  </si>
  <si>
    <t xml:space="preserve"> 붉은 독수리</t>
  </si>
  <si>
    <t xml:space="preserve"> 봅슬레이</t>
  </si>
  <si>
    <t xml:space="preserve"> 빅뱅</t>
  </si>
  <si>
    <t xml:space="preserve"> 하회탈</t>
  </si>
  <si>
    <t xml:space="preserve"> 경상도</t>
  </si>
  <si>
    <t xml:space="preserve"> 빨리 빨리</t>
  </si>
  <si>
    <t xml:space="preserve"> 미니미니 미니언즈</t>
  </si>
  <si>
    <t xml:space="preserve"> 싸이코</t>
  </si>
  <si>
    <t xml:space="preserve"> 다마 - 양파</t>
  </si>
  <si>
    <t xml:space="preserve"> 어쭙잖게</t>
  </si>
  <si>
    <t xml:space="preserve"> 엘리자베스 테일러</t>
  </si>
  <si>
    <t xml:space="preserve"> 댈러웨이 부인</t>
  </si>
  <si>
    <t xml:space="preserve"> 클레오파트라</t>
  </si>
  <si>
    <t xml:space="preserve"> 아이스크림</t>
  </si>
  <si>
    <t xml:space="preserve"> 쓴맛</t>
  </si>
  <si>
    <t xml:space="preserve"> 식용유-꿀-물</t>
  </si>
  <si>
    <t xml:space="preserve"> 볶다</t>
  </si>
  <si>
    <t xml:space="preserve"> 파스타</t>
  </si>
  <si>
    <t xml:space="preserve"> 고구마</t>
  </si>
  <si>
    <t xml:space="preserve"> 바나나</t>
  </si>
  <si>
    <t xml:space="preserve"> 고흥 - 유자</t>
  </si>
  <si>
    <t xml:space="preserve"> 호가든</t>
  </si>
  <si>
    <t xml:space="preserve"> 내 차는 노란색이야</t>
  </si>
  <si>
    <t xml:space="preserve"> 파프리카</t>
  </si>
  <si>
    <t xml:space="preserve"> 공공의 적</t>
  </si>
  <si>
    <t xml:space="preserve"> 입</t>
  </si>
  <si>
    <t xml:space="preserve"> 방패</t>
  </si>
  <si>
    <t xml:space="preserve"> 삼진 아웃</t>
  </si>
  <si>
    <t xml:space="preserve"> 밀가루</t>
  </si>
  <si>
    <t xml:space="preserve"> 메기 효과</t>
  </si>
  <si>
    <t xml:space="preserve"> 무릆쓰고</t>
  </si>
  <si>
    <t xml:space="preserve"> 장화</t>
  </si>
  <si>
    <t xml:space="preserve"> 마수걸이</t>
  </si>
  <si>
    <t xml:space="preserve"> 봉래산</t>
  </si>
  <si>
    <t xml:space="preserve"> 기도</t>
  </si>
  <si>
    <t xml:space="preserve"> 마술피리</t>
  </si>
  <si>
    <t xml:space="preserve">  &lt;&lt;호박,합격기원,가락&gt;&gt; 다음 단어로 연상되는 것은 ? </t>
  </si>
  <si>
    <t xml:space="preserve"> 효녀 심청의 성씨(姓氏)는?</t>
  </si>
  <si>
    <t xml:space="preserve"> 시나 소설에서 맺음 부분을 가리키는 말은?</t>
  </si>
  <si>
    <t xml:space="preserve"> 맹모삼천지교(盟母三遷之敎)과 관련이 없는 장소는?</t>
  </si>
  <si>
    <t xml:space="preserve"> &lt;&lt;인어공주,미운오리새끼,빨간구두&gt;&gt; 다음 작품이의 지은이는?</t>
  </si>
  <si>
    <t xml:space="preserve"> 여성을 상징하는' '은 미의 여신 아프로디테가 들고있는 이것을 나타낸것이다. 이것은?</t>
  </si>
  <si>
    <t xml:space="preserve"> 알파벳 'R'자가 들어가지 않는 달은?</t>
  </si>
  <si>
    <t xml:space="preserve"> '깊이 잠들지 못하고 자다가 자꾸 깨는 잠'은?</t>
  </si>
  <si>
    <t xml:space="preserve"> "슬하에 자녀는 몇 명입니까?"에서 '슬하'는 신체의 어디 아래를 가르키는가?</t>
  </si>
  <si>
    <t xml:space="preserve"> '홍일점'은 어떤 꽃을 비유한 말일까?</t>
  </si>
  <si>
    <t xml:space="preserve"> &lt;서유기&gt;에 등장하는 손오공은 원숭이, 저팔계, 돼지, 사오정은 __이다.</t>
  </si>
  <si>
    <t xml:space="preserve"> 개연성이 높고 파급력이 크지만 사람들이 간과하는 위험을 뜻하는 용어는?</t>
  </si>
  <si>
    <t xml:space="preserve"> 도아가 방송했던 스포츠종목은?</t>
  </si>
  <si>
    <t xml:space="preserve"> &lt;&lt;피노키오, 4월 1일, 양치기 소년&gt;&gt; 다음단어로 연상되는 것은?</t>
  </si>
  <si>
    <t xml:space="preserve"> '치명적인 남자'를 가리키는 말은?</t>
  </si>
  <si>
    <t xml:space="preserve"> 도아의 억양으로 알 수 있는 그녀의 고향은?</t>
  </si>
  <si>
    <t xml:space="preserve"> 동요 &lt;&lt;비행기&gt;&gt;중 "떴다 떴다 비행기 날아라 날아라 ( ) 날아라 우리 비행기"</t>
  </si>
  <si>
    <t xml:space="preserve"> &lt;&lt;3가지 맛 초콜릿에서 달콤 바삭 초코볼&gt;&gt; 이것이 설명하는 배스킨라빈스 아이스크림은?</t>
  </si>
  <si>
    <t xml:space="preserve"> 볼품없이 몽툭하게 생긴 큰 코는?</t>
  </si>
  <si>
    <t xml:space="preserve"> 다음 중 잘못 쓰는 당구 용어를 우리말로 했을 때 바르지 않는 것은?</t>
  </si>
  <si>
    <t xml:space="preserve"> 어려운 요가동작을 ( ) 따라하다간 다친다.</t>
  </si>
  <si>
    <t xml:space="preserve"> 파스타 책을 직접 쓸 정도로 파스타 마니아였던 세계젹인 여배우는?</t>
  </si>
  <si>
    <t xml:space="preserve"> '헨리크 입센'의 대표작으로 새로운 시대의 여성상을 선보인 이 작품은?</t>
  </si>
  <si>
    <t xml:space="preserve"> 트럼프에서 4장의 퀸(Q)카드 중 '스페이드 퀸'의 모델은 누구일까?</t>
  </si>
  <si>
    <t xml:space="preserve"> &lt;&lt;트와이스 - WHAT IS LOVE?&gt;&gt;에서 '__처럼 달콤하다는데'에 들어갈 가사는?</t>
  </si>
  <si>
    <t xml:space="preserve"> 아리스토텔레스가 &lt;영혼론&gt;에서 말한 네 가지의 기본 맛이 아닌 것은?</t>
  </si>
  <si>
    <t xml:space="preserve"> &lt;물, 식용유, 꿀&gt; 가장 아래부터 순서는?</t>
  </si>
  <si>
    <t xml:space="preserve"> 중국요리 깐풍기, 라조기에서 '기'가 의미하는 것은?</t>
  </si>
  <si>
    <t xml:space="preserve"> 이 동요의 제목은?</t>
  </si>
  <si>
    <t xml:space="preserve"> 곡물의 여신'케레스(Ceres)'의 이름에서 유래한 것은?</t>
  </si>
  <si>
    <t xml:space="preserve"> &lt;사랑손님과 어머니&gt;에서 선생님에 대한 어머니의 마음이 드러나는 소재는?</t>
  </si>
  <si>
    <t xml:space="preserve"> 민상이 만든 것은 무엇일까요?</t>
  </si>
  <si>
    <t xml:space="preserve"> 지역 특산물로 올바르지 않은 것은?</t>
  </si>
  <si>
    <t xml:space="preserve"> 다음 브랜드 중 저온에서 숙성한 '라거'맥주가 아닌 것은?</t>
  </si>
  <si>
    <t xml:space="preserve"> 영어 표현 중 'My car is a lemon"의 뜻은?</t>
  </si>
  <si>
    <t xml:space="preserve"> 수학지 피타고라스가 '인간을 밝고 원기있게 하며 마음을 가라앉히는 채소'라고 극찬한 이 채소는?</t>
  </si>
  <si>
    <t xml:space="preserve"> &lt;&lt;인간은 ( ) 동물이다&gt;&gt; - 아리스토텔레스</t>
  </si>
  <si>
    <t xml:space="preserve"> '화룡점정(畵龍點睛)' 과 관련있는 신체부위는?</t>
  </si>
  <si>
    <t xml:space="preserve"> 앞뒤가 서로 맞지 않는 말이나 행동을 뜻하는 '모순'과 관계없는 것은?</t>
  </si>
  <si>
    <t xml:space="preserve"> 벽돌깨기로 알려져 있으며, 1976년 아타리 사에서 스티븐잡스가 개발한 게임이름은?</t>
  </si>
  <si>
    <t xml:space="preserve"> 고대 로마에서 병사들의 급료로 지급한 것은?</t>
  </si>
  <si>
    <t xml:space="preserve"> 막강한 경쟁자의 존재가 다른 경쟁자들의 잠재력을 끌오일리는 효과는?</t>
  </si>
  <si>
    <t xml:space="preserve"> 민상은 배고픔을 ( ) 마라톤을 했다.</t>
  </si>
  <si>
    <t xml:space="preserve"> 조선시대 때 '애체'라 불린 이것은?</t>
  </si>
  <si>
    <t xml:space="preserve"> 다음 중 씨름 기술과 관계가 없는 것은?</t>
  </si>
  <si>
    <t xml:space="preserve"> 금강산은 계절에 따라 이름이 다른데, 여름 이름은?</t>
  </si>
  <si>
    <t xml:space="preserve"> 몸을 닦는 것은 비누고, 마음을 닦아내는 것은 __이다. - 탈무드</t>
  </si>
  <si>
    <t xml:space="preserve"> 이탈리아 작곡가 베르디의 작품이 아닌 것은?</t>
  </si>
  <si>
    <t xml:space="preserve"> 현재 절찬 방송 중인 SBS월화드라마 &lt;기름진멜로&gt;에서 홍윤화의 역할은?</t>
  </si>
  <si>
    <t xml:space="preserve"> 다음 중 열매를 맺지 못하는 나무는?</t>
  </si>
  <si>
    <t xml:space="preserve"> 김춘수 시인의 ,꽃.에 등장하지 않는 단어는?</t>
  </si>
  <si>
    <t xml:space="preserve"> 영화에서 감독 자신의 분신이자 특정 상징을 표현하는 배우를 지칭하는 말은?</t>
  </si>
  <si>
    <t xml:space="preserve"> 남의 환심을 사려고 아첨하는 사람을 낮춰 이르는 말은?</t>
  </si>
  <si>
    <t xml:space="preserve"> 인질범이 포로나 인질 상태에 동화되어 동정심을 가지고 공격적 태도를 거두는 현상을?</t>
  </si>
  <si>
    <t xml:space="preserve"> 건축계 노벨상이라고 불리는 이 상의 이름은?</t>
  </si>
  <si>
    <t xml:space="preserve"> 다음 중 보겸의 유튜브 구독자 수로 올바른 것은?</t>
  </si>
  <si>
    <t xml:space="preserve"> 다음 신조어 중 줄임말이 아닌 것은?</t>
  </si>
  <si>
    <t xml:space="preserve"> 보겸이 들은 노래의 제목은?</t>
  </si>
  <si>
    <t xml:space="preserve"> 다음 중 고리가 있는 행성은?</t>
  </si>
  <si>
    <t xml:space="preserve"> 지명(地名)이 들어가지 않은 것은?</t>
  </si>
  <si>
    <t xml:space="preserve"> 다음중 □ 안에 들어갈 단어가 다른 것은?</t>
  </si>
  <si>
    <t xml:space="preserve"> &lt;금문교, 케이블카, 리바이스&gt; 다음 단어로 연상되는 도시는?</t>
  </si>
  <si>
    <t xml:space="preserve"> 다음 중 보겸의 고향으로 올바른 것은?</t>
  </si>
  <si>
    <t xml:space="preserve"> &lt;슈하스코, 이구아수 폭포, 축구&gt; 다음 단어로 연상되는 나라는?</t>
  </si>
  <si>
    <t xml:space="preserve"> 보겸이 연주한 동요의 제목은?</t>
  </si>
  <si>
    <t xml:space="preserve"> 새의 부리는?</t>
  </si>
  <si>
    <t xml:space="preserve"> 가장 큰 숫자는?</t>
  </si>
  <si>
    <t xml:space="preserve"> 대중화된 명품을 의미하는 이 말은?</t>
  </si>
  <si>
    <t xml:space="preserve"> 다음 중 보겸이 태어난 년도의 띠로 올바른 것은?</t>
  </si>
  <si>
    <t xml:space="preserve"> 보겸이 성대모사하는 사람은 누구일까요?</t>
  </si>
  <si>
    <t xml:space="preserve"> 리코더의 뒷면에는 몇 개의 구멍이 있을까?</t>
  </si>
  <si>
    <t xml:space="preserve"> 보겸이 만든 것은 무엇일까요?</t>
  </si>
  <si>
    <t xml:space="preserve"> 바위나 나무의 거친 면에 종이를 대고 연필로 문질러 이미지를 얻는 기법을?</t>
  </si>
  <si>
    <t xml:space="preserve"> 프로축구 리그와 국가가 잘못 연결된 것은?</t>
  </si>
  <si>
    <t xml:space="preserve"> 문자의 순서를 바꿔 다른 단어나 문장을 만드는 것은?</t>
  </si>
  <si>
    <t xml:space="preserve"> 가전 제품 회사와 그 본사 국가가 잘못 연결된 것은?</t>
  </si>
  <si>
    <t xml:space="preserve"> 마블 코믹스의 설립 당시 이름은?</t>
  </si>
  <si>
    <t xml:space="preserve"> 세계 최초의 인터넷 서점은?</t>
  </si>
  <si>
    <t xml:space="preserve"> &lt;컴퓨터, 뉴욕, 파이&gt; 다음 단어로 연상되는 것은?</t>
  </si>
  <si>
    <t xml:space="preserve"> 민상이 미국에 편지를 보낼 때 사용가능한 우표는?</t>
  </si>
  <si>
    <t xml:space="preserve"> 뿌리가 다른 나뭇가지가 서로 엉켜 마치 하나의 나무처럼 자라는 현상은?</t>
  </si>
  <si>
    <t xml:space="preserve"> 가장 높은 곳은?</t>
  </si>
  <si>
    <t xml:space="preserve"> &lt;애국가&gt;를 작곡한 사람은?</t>
  </si>
  <si>
    <t>혈액 구성 요소 중 혈액의 응고와 지혈에 중요한 역할을 하는 것은?</t>
  </si>
  <si>
    <t xml:space="preserve"> 요즘 MC민상의 불면증을 유발하는 호르몬은?</t>
  </si>
  <si>
    <t xml:space="preserve"> 속담 &lt;□ 썩은 것은 딸 주고 □ 썩은 것은 며느리 준다&gt;</t>
  </si>
  <si>
    <t xml:space="preserve"> 요리사</t>
  </si>
  <si>
    <t xml:space="preserve"> 포니테일</t>
  </si>
  <si>
    <t xml:space="preserve"> 물푸레나무</t>
  </si>
  <si>
    <t xml:space="preserve"> 승리</t>
  </si>
  <si>
    <t xml:space="preserve"> 몸짓</t>
  </si>
  <si>
    <t xml:space="preserve"> 눈썹</t>
  </si>
  <si>
    <t xml:space="preserve"> 오마주</t>
  </si>
  <si>
    <t xml:space="preserve"> 굴렁쇠</t>
  </si>
  <si>
    <t xml:space="preserve"> 인도의 지명</t>
  </si>
  <si>
    <t xml:space="preserve"> 스톡홀름 신드롬</t>
  </si>
  <si>
    <t xml:space="preserve"> 프리츠커상</t>
  </si>
  <si>
    <t xml:space="preserve"> 20만</t>
  </si>
  <si>
    <t xml:space="preserve"> 법블레스유</t>
  </si>
  <si>
    <t xml:space="preserve"> 레드벨벳-빨간맛</t>
  </si>
  <si>
    <t xml:space="preserve"> 수성</t>
  </si>
  <si>
    <t xml:space="preserve"> 진돗개</t>
  </si>
  <si>
    <t xml:space="preserve"> 니벨룽겐의 □</t>
  </si>
  <si>
    <t xml:space="preserve"> LA</t>
  </si>
  <si>
    <t xml:space="preserve"> 충남 서천</t>
  </si>
  <si>
    <t xml:space="preserve"> 페루</t>
  </si>
  <si>
    <t xml:space="preserve"> 푸른 하늘 은하수</t>
  </si>
  <si>
    <t xml:space="preserve"> 피부</t>
  </si>
  <si>
    <t xml:space="preserve"> ( )년이면 강산도 변한다</t>
  </si>
  <si>
    <t xml:space="preserve"> 스몰럭셔리</t>
  </si>
  <si>
    <t xml:space="preserve"> 라곰(lagom)</t>
  </si>
  <si>
    <t xml:space="preserve"> 용띠</t>
  </si>
  <si>
    <t xml:space="preserve"> 윤문식</t>
  </si>
  <si>
    <t xml:space="preserve"> 1개</t>
  </si>
  <si>
    <t xml:space="preserve"> 도라에몽</t>
  </si>
  <si>
    <t xml:space="preserve"> 타이포그래피</t>
  </si>
  <si>
    <t xml:space="preserve"> 세리에A - 이탈리아</t>
  </si>
  <si>
    <t xml:space="preserve"> 칼</t>
  </si>
  <si>
    <t xml:space="preserve"> 애너그램</t>
  </si>
  <si>
    <t xml:space="preserve"> 샤오미-중국</t>
  </si>
  <si>
    <t xml:space="preserve"> 에이스 코믹스</t>
  </si>
  <si>
    <t xml:space="preserve"> 로이킴</t>
  </si>
  <si>
    <t xml:space="preserve"> 아마존</t>
  </si>
  <si>
    <t xml:space="preserve"> 배</t>
  </si>
  <si>
    <t xml:space="preserve"> 우리나라 우표</t>
  </si>
  <si>
    <t xml:space="preserve"> 연리지</t>
  </si>
  <si>
    <t xml:space="preserve"> ( )에서 용 난다</t>
  </si>
  <si>
    <t xml:space="preserve"> 윤극영</t>
  </si>
  <si>
    <t xml:space="preserve"> 적혈구</t>
  </si>
  <si>
    <t xml:space="preserve"> 입 구(口)</t>
  </si>
  <si>
    <t xml:space="preserve"> 윙크</t>
  </si>
  <si>
    <t xml:space="preserve"> 멜라토닌</t>
  </si>
  <si>
    <t xml:space="preserve"> 배-밤</t>
  </si>
  <si>
    <t xml:space="preserve"> 변호사</t>
  </si>
  <si>
    <t xml:space="preserve"> 피그테일</t>
  </si>
  <si>
    <t xml:space="preserve"> 물구나무</t>
  </si>
  <si>
    <t xml:space="preserve"> 행운</t>
  </si>
  <si>
    <t xml:space="preserve"> 눈짓</t>
  </si>
  <si>
    <t xml:space="preserve"> 미장센</t>
  </si>
  <si>
    <t xml:space="preserve"> 얼렁쇠</t>
  </si>
  <si>
    <t xml:space="preserve"> 화덕</t>
  </si>
  <si>
    <t xml:space="preserve"> 리마 신드롬</t>
  </si>
  <si>
    <t xml:space="preserve"> 하얏트상</t>
  </si>
  <si>
    <t xml:space="preserve"> 200만</t>
  </si>
  <si>
    <t xml:space="preserve"> 갑분싸</t>
  </si>
  <si>
    <t xml:space="preserve"> 여자친구-밤</t>
  </si>
  <si>
    <t xml:space="preserve"> 금성</t>
  </si>
  <si>
    <t xml:space="preserve"> 풍산개</t>
  </si>
  <si>
    <t xml:space="preserve"> □의 제왕</t>
  </si>
  <si>
    <t xml:space="preserve"> 시애틀</t>
  </si>
  <si>
    <t xml:space="preserve"> 개마고원</t>
  </si>
  <si>
    <t xml:space="preserve"> 브라질</t>
  </si>
  <si>
    <t xml:space="preserve"> 쪽배</t>
  </si>
  <si>
    <t xml:space="preserve"> 뼈</t>
  </si>
  <si>
    <t xml:space="preserve"> ( )리 길도 한 걸음부터</t>
  </si>
  <si>
    <t xml:space="preserve"> 매스티지</t>
  </si>
  <si>
    <t xml:space="preserve"> 케렌시아(Querencia)</t>
  </si>
  <si>
    <t xml:space="preserve"> 기모띠</t>
  </si>
  <si>
    <t xml:space="preserve"> 한석규</t>
  </si>
  <si>
    <t xml:space="preserve"> 2개</t>
  </si>
  <si>
    <t xml:space="preserve"> 피카츄</t>
  </si>
  <si>
    <t xml:space="preserve"> 프로타쥬</t>
  </si>
  <si>
    <t xml:space="preserve"> 라리가 - 스페인</t>
  </si>
  <si>
    <t xml:space="preserve"> 법전</t>
  </si>
  <si>
    <t xml:space="preserve"> 에그니마</t>
  </si>
  <si>
    <t xml:space="preserve"> 스메그-이탈리아</t>
  </si>
  <si>
    <t xml:space="preserve"> 타임워너 코믹스</t>
  </si>
  <si>
    <t xml:space="preserve"> 박봄</t>
  </si>
  <si>
    <t xml:space="preserve"> 버뮤다</t>
  </si>
  <si>
    <t xml:space="preserve"> 사과</t>
  </si>
  <si>
    <t xml:space="preserve"> 미국 우표</t>
  </si>
  <si>
    <t xml:space="preserve"> 단무지</t>
  </si>
  <si>
    <t xml:space="preserve"> ( )도 식후경</t>
  </si>
  <si>
    <t xml:space="preserve"> 안익태</t>
  </si>
  <si>
    <t xml:space="preserve"> 백혈구</t>
  </si>
  <si>
    <t xml:space="preserve"> 아홉 구(九)</t>
  </si>
  <si>
    <t xml:space="preserve"> 덧니</t>
  </si>
  <si>
    <t xml:space="preserve"> 세로토닌</t>
  </si>
  <si>
    <t xml:space="preserve"> 귤-감</t>
  </si>
  <si>
    <t xml:space="preserve"> 용</t>
  </si>
  <si>
    <t xml:space="preserve"> 엘사</t>
  </si>
  <si>
    <t xml:space="preserve"> 이어머프</t>
  </si>
  <si>
    <t xml:space="preserve"> 벚나무</t>
  </si>
  <si>
    <t xml:space="preserve"> 손짓</t>
  </si>
  <si>
    <t xml:space="preserve"> 치아</t>
  </si>
  <si>
    <t xml:space="preserve"> 페르소나</t>
  </si>
  <si>
    <t xml:space="preserve"> 딸랑쇠</t>
  </si>
  <si>
    <t xml:space="preserve"> 향신로</t>
  </si>
  <si>
    <t xml:space="preserve"> 타조 신드롬</t>
  </si>
  <si>
    <t xml:space="preserve"> 발크리슈나상</t>
  </si>
  <si>
    <t xml:space="preserve"> 2,000만</t>
  </si>
  <si>
    <t xml:space="preserve"> 사바사</t>
  </si>
  <si>
    <t xml:space="preserve"> 트와이스-하트셰이커</t>
  </si>
  <si>
    <t xml:space="preserve"> 토성</t>
  </si>
  <si>
    <t xml:space="preserve"> 삽살개</t>
  </si>
  <si>
    <t xml:space="preserve"> □ 행진곡</t>
  </si>
  <si>
    <t xml:space="preserve"> 샌프란시스코</t>
  </si>
  <si>
    <t xml:space="preserve"> 와칸다</t>
  </si>
  <si>
    <t xml:space="preserve"> 멕시코</t>
  </si>
  <si>
    <t xml:space="preserve"> 반달</t>
  </si>
  <si>
    <t xml:space="preserve"> 피</t>
  </si>
  <si>
    <t xml:space="preserve"> ( )번 찍어 안 넘어가는 나무 없다</t>
  </si>
  <si>
    <t xml:space="preserve"> SSM</t>
  </si>
  <si>
    <t xml:space="preserve"> 미닝아웃(Meaning out)</t>
  </si>
  <si>
    <t xml:space="preserve"> 갑분띠</t>
  </si>
  <si>
    <t xml:space="preserve"> 장첸(윤계상)</t>
  </si>
  <si>
    <t xml:space="preserve"> 3개</t>
  </si>
  <si>
    <t xml:space="preserve"> 뽀로로</t>
  </si>
  <si>
    <t xml:space="preserve"> 스크래치</t>
  </si>
  <si>
    <t xml:space="preserve"> 에레디비시 - 프랑스</t>
  </si>
  <si>
    <t xml:space="preserve"> 저울</t>
  </si>
  <si>
    <t xml:space="preserve"> 마그마</t>
  </si>
  <si>
    <t xml:space="preserve"> 발뮤다-독일</t>
  </si>
  <si>
    <t xml:space="preserve"> 타임리 코믹스</t>
  </si>
  <si>
    <t xml:space="preserve"> 비발디</t>
  </si>
  <si>
    <t xml:space="preserve"> 알라딘</t>
  </si>
  <si>
    <t xml:space="preserve"> 복숭아</t>
  </si>
  <si>
    <t xml:space="preserve"> 우리나라/미국 우표 둘 다 가능</t>
  </si>
  <si>
    <t xml:space="preserve"> 병목현상</t>
  </si>
  <si>
    <t xml:space="preserve"> ( )의 별 따기</t>
  </si>
  <si>
    <t xml:space="preserve"> 홍난파</t>
  </si>
  <si>
    <t xml:space="preserve"> 혈소판</t>
  </si>
  <si>
    <t xml:space="preserve"> 구할 구(求)</t>
  </si>
  <si>
    <t xml:space="preserve"> 보조개</t>
  </si>
  <si>
    <t xml:space="preserve"> 코르티솔</t>
  </si>
  <si>
    <t xml:space="preserve"> 굴-뱀</t>
  </si>
  <si>
    <t xml:space="preserve"> 암행어사가 들고 다니던 "마패"에 새겨진 동물은?</t>
  </si>
  <si>
    <t xml:space="preserve"> "새끼말의 꼬리"라는 뜻으로 뒤로 묶어 드리우는 머리 스타일은?</t>
  </si>
  <si>
    <t xml:space="preserve"> "로또"의 뜻은?</t>
  </si>
  <si>
    <t xml:space="preserve"> "아름다운 여인의 얼굴"을 뜻하는 "단순호치"에 포함되지 않는 것은?</t>
  </si>
  <si>
    <t xml:space="preserve"> 인도의 대표 음식 "탄두리 치킨" 중 "탄두리"는 이것에서 유래했다. 이것은?</t>
  </si>
  <si>
    <t xml:space="preserve"> "피난처", "안식처"를 뜻하며, 2018년 소비 트렌드로 떠오른 이것은?</t>
  </si>
  <si>
    <t xml:space="preserve"> 우리나라 대법원에 있는 "정의의 여신상"이 오른손에 들고 있는 것은?</t>
  </si>
  <si>
    <t xml:space="preserve"> 봄하면 생각나는 클래식, 사계의 "봄"작곡가 는?</t>
  </si>
  <si>
    <t xml:space="preserve"> "구관조"의 "구"는?</t>
  </si>
  <si>
    <t xml:space="preserve"> 아일랜드 시인 윌리엄 예이츠가 "천사의 실수"라 표현한 이것은?</t>
  </si>
  <si>
    <t xml:space="preserve"> 암행어사가 들고 다니던 "마패"에 새겨진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</si>
  <si>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</si>
  <si>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</si>
  <si>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용</t>
    <phoneticPr fontId="1" type="noConversion"/>
  </si>
  <si>
    <t xml:space="preserve"> 현재 절찬 방송 중인 SBS월화드라마 &lt;기름진멜로&gt;에서 홍윤화의 역할은?</t>
    <phoneticPr fontId="1" type="noConversion"/>
  </si>
  <si>
    <t xml:space="preserve"> 요리사</t>
    <phoneticPr fontId="1" type="noConversion"/>
  </si>
  <si>
    <t xml:space="preserve"> 변호사</t>
    <phoneticPr fontId="1" type="noConversion"/>
  </si>
  <si>
    <t xml:space="preserve"> 엘사</t>
    <phoneticPr fontId="1" type="noConversion"/>
  </si>
  <si>
    <t xml:space="preserve"> "새끼말의 꼬리"라는 뜻으로 뒤로 묶어 드리우는 머리 스타일은?</t>
    <phoneticPr fontId="1" type="noConversion"/>
  </si>
  <si>
    <t xml:space="preserve"> 포니테일</t>
    <phoneticPr fontId="1" type="noConversion"/>
  </si>
  <si>
    <t xml:space="preserve"> 피그테일</t>
    <phoneticPr fontId="1" type="noConversion"/>
  </si>
  <si>
    <t xml:space="preserve"> 이어머프</t>
    <phoneticPr fontId="1" type="noConversion"/>
  </si>
  <si>
    <t xml:space="preserve"> 다음 중 열매를 맺지 못하는 나무는?</t>
    <phoneticPr fontId="1" type="noConversion"/>
  </si>
  <si>
    <t xml:space="preserve"> 물푸레나무</t>
    <phoneticPr fontId="1" type="noConversion"/>
  </si>
  <si>
    <t xml:space="preserve"> 물구나무</t>
    <phoneticPr fontId="1" type="noConversion"/>
  </si>
  <si>
    <t xml:space="preserve"> 벚나무</t>
    <phoneticPr fontId="1" type="noConversion"/>
  </si>
  <si>
    <t xml:space="preserve"> "로또"의 뜻은?</t>
    <phoneticPr fontId="1" type="noConversion"/>
  </si>
  <si>
    <t xml:space="preserve"> 승리</t>
    <phoneticPr fontId="1" type="noConversion"/>
  </si>
  <si>
    <t xml:space="preserve"> 행운</t>
    <phoneticPr fontId="1" type="noConversion"/>
  </si>
  <si>
    <t xml:space="preserve"> 김춘수 시인의 ,꽃.에 등장하지 않는 단어는?</t>
    <phoneticPr fontId="1" type="noConversion"/>
  </si>
  <si>
    <t xml:space="preserve"> 몸짓</t>
    <phoneticPr fontId="1" type="noConversion"/>
  </si>
  <si>
    <t xml:space="preserve"> 눈짓</t>
    <phoneticPr fontId="1" type="noConversion"/>
  </si>
  <si>
    <t xml:space="preserve"> 손짓</t>
    <phoneticPr fontId="1" type="noConversion"/>
  </si>
  <si>
    <t xml:space="preserve"> "아름다운 여인의 얼굴"을 뜻하는 "단순호치"에 포함되지 않는 것은?</t>
    <phoneticPr fontId="1" type="noConversion"/>
  </si>
  <si>
    <t xml:space="preserve"> 눈썹</t>
    <phoneticPr fontId="1" type="noConversion"/>
  </si>
  <si>
    <t xml:space="preserve"> 입술</t>
    <phoneticPr fontId="1" type="noConversion"/>
  </si>
  <si>
    <t xml:space="preserve"> 치아</t>
    <phoneticPr fontId="1" type="noConversion"/>
  </si>
  <si>
    <t xml:space="preserve"> 영화에서 감독 자신의 분신이자 특정 상징을 표현하는 배우를 지칭하는 말은?</t>
    <phoneticPr fontId="1" type="noConversion"/>
  </si>
  <si>
    <t xml:space="preserve"> 오마주</t>
    <phoneticPr fontId="1" type="noConversion"/>
  </si>
  <si>
    <t xml:space="preserve"> 미장센</t>
    <phoneticPr fontId="1" type="noConversion"/>
  </si>
  <si>
    <t xml:space="preserve"> 페르소나</t>
    <phoneticPr fontId="1" type="noConversion"/>
  </si>
  <si>
    <t xml:space="preserve"> 남의 환심을 사려고 아첨하는 사람을 낮춰 이르는 말은?</t>
    <phoneticPr fontId="1" type="noConversion"/>
  </si>
  <si>
    <t xml:space="preserve"> 굴렁쇠</t>
    <phoneticPr fontId="1" type="noConversion"/>
  </si>
  <si>
    <t xml:space="preserve"> 얼렁쇠</t>
    <phoneticPr fontId="1" type="noConversion"/>
  </si>
  <si>
    <t xml:space="preserve"> 딸랑쇠</t>
    <phoneticPr fontId="1" type="noConversion"/>
  </si>
  <si>
    <t xml:space="preserve"> 인도의 대표 음식 "탄두리 치킨" 중 "탄두리"는 이것에서 유래했다. 이것은?</t>
    <phoneticPr fontId="1" type="noConversion"/>
  </si>
  <si>
    <t xml:space="preserve"> 인도의 지명</t>
    <phoneticPr fontId="1" type="noConversion"/>
  </si>
  <si>
    <t xml:space="preserve"> 화덕</t>
    <phoneticPr fontId="1" type="noConversion"/>
  </si>
  <si>
    <t xml:space="preserve"> 향신로</t>
    <phoneticPr fontId="1" type="noConversion"/>
  </si>
  <si>
    <t xml:space="preserve"> 인질범이 포로나 인질 상태에 동화되어 동정심을 가지고 공격적 태도를 거두는 현상을?</t>
    <phoneticPr fontId="1" type="noConversion"/>
  </si>
  <si>
    <t xml:space="preserve"> 스톡홀름 신드롬</t>
    <phoneticPr fontId="1" type="noConversion"/>
  </si>
  <si>
    <t xml:space="preserve"> 리마 신드롬</t>
    <phoneticPr fontId="1" type="noConversion"/>
  </si>
  <si>
    <t xml:space="preserve"> 타조 신드롬</t>
    <phoneticPr fontId="1" type="noConversion"/>
  </si>
  <si>
    <t xml:space="preserve"> 건축계 노벨상이라고 불리는 이 상의 이름은?</t>
    <phoneticPr fontId="1" type="noConversion"/>
  </si>
  <si>
    <t xml:space="preserve"> 프리츠커상</t>
    <phoneticPr fontId="1" type="noConversion"/>
  </si>
  <si>
    <t xml:space="preserve"> 하얏트상</t>
    <phoneticPr fontId="1" type="noConversion"/>
  </si>
  <si>
    <t xml:space="preserve"> 발크리슈나상</t>
    <phoneticPr fontId="1" type="noConversion"/>
  </si>
  <si>
    <t xml:space="preserve"> 다음 중 보겸의 유튜브 구독자 수로 올바른 것은?</t>
    <phoneticPr fontId="1" type="noConversion"/>
  </si>
  <si>
    <t xml:space="preserve"> 20만</t>
    <phoneticPr fontId="1" type="noConversion"/>
  </si>
  <si>
    <t xml:space="preserve"> 200만</t>
    <phoneticPr fontId="1" type="noConversion"/>
  </si>
  <si>
    <t xml:space="preserve"> 2,000만</t>
    <phoneticPr fontId="1" type="noConversion"/>
  </si>
  <si>
    <t xml:space="preserve"> 다음 신조어 중 줄임말이 아닌 것은?</t>
    <phoneticPr fontId="1" type="noConversion"/>
  </si>
  <si>
    <t xml:space="preserve"> 법블레스유</t>
    <phoneticPr fontId="1" type="noConversion"/>
  </si>
  <si>
    <t xml:space="preserve"> 갑분싸</t>
    <phoneticPr fontId="1" type="noConversion"/>
  </si>
  <si>
    <t xml:space="preserve"> 사바사</t>
    <phoneticPr fontId="1" type="noConversion"/>
  </si>
  <si>
    <t xml:space="preserve"> 보겸이 들은 노래의 제목은?</t>
    <phoneticPr fontId="1" type="noConversion"/>
  </si>
  <si>
    <t xml:space="preserve"> 레드벨벳-빨간맛</t>
    <phoneticPr fontId="1" type="noConversion"/>
  </si>
  <si>
    <t xml:space="preserve"> 여자친구-밤</t>
    <phoneticPr fontId="1" type="noConversion"/>
  </si>
  <si>
    <t xml:space="preserve"> 트와이스-하트셰이커</t>
    <phoneticPr fontId="1" type="noConversion"/>
  </si>
  <si>
    <t xml:space="preserve"> 다음 중 고리가 있는 행성은?</t>
    <phoneticPr fontId="1" type="noConversion"/>
  </si>
  <si>
    <t xml:space="preserve"> 수성</t>
    <phoneticPr fontId="1" type="noConversion"/>
  </si>
  <si>
    <t xml:space="preserve"> 금성</t>
    <phoneticPr fontId="1" type="noConversion"/>
  </si>
  <si>
    <t xml:space="preserve"> 토성</t>
    <phoneticPr fontId="1" type="noConversion"/>
  </si>
  <si>
    <t xml:space="preserve"> 지명(地名)이 들어가지 않은 것은?</t>
    <phoneticPr fontId="1" type="noConversion"/>
  </si>
  <si>
    <t xml:space="preserve"> 진돗개</t>
    <phoneticPr fontId="1" type="noConversion"/>
  </si>
  <si>
    <t xml:space="preserve"> 풍산개</t>
    <phoneticPr fontId="1" type="noConversion"/>
  </si>
  <si>
    <t xml:space="preserve"> 삽살개</t>
    <phoneticPr fontId="1" type="noConversion"/>
  </si>
  <si>
    <t xml:space="preserve"> 다음중 □ 안에 들어갈 단어가 다른 것은?</t>
    <phoneticPr fontId="1" type="noConversion"/>
  </si>
  <si>
    <t xml:space="preserve"> 니벨룽겐의 □</t>
    <phoneticPr fontId="1" type="noConversion"/>
  </si>
  <si>
    <t xml:space="preserve"> □의 제왕</t>
    <phoneticPr fontId="1" type="noConversion"/>
  </si>
  <si>
    <t xml:space="preserve"> □ 행진곡</t>
    <phoneticPr fontId="1" type="noConversion"/>
  </si>
  <si>
    <t xml:space="preserve"> &lt;금문교, 케이블카, 리바이스&gt; 다음 단어로 연상되는 도시는?</t>
    <phoneticPr fontId="1" type="noConversion"/>
  </si>
  <si>
    <t xml:space="preserve"> LA</t>
    <phoneticPr fontId="1" type="noConversion"/>
  </si>
  <si>
    <t xml:space="preserve"> 시애틀</t>
    <phoneticPr fontId="1" type="noConversion"/>
  </si>
  <si>
    <t xml:space="preserve"> 샌프란시스코</t>
    <phoneticPr fontId="1" type="noConversion"/>
  </si>
  <si>
    <t xml:space="preserve"> 다음 중 보겸의 고향으로 올바른 것은?</t>
    <phoneticPr fontId="1" type="noConversion"/>
  </si>
  <si>
    <t xml:space="preserve"> 충남 서천</t>
    <phoneticPr fontId="1" type="noConversion"/>
  </si>
  <si>
    <t xml:space="preserve"> 개마고원</t>
    <phoneticPr fontId="1" type="noConversion"/>
  </si>
  <si>
    <t xml:space="preserve"> 와칸다</t>
    <phoneticPr fontId="1" type="noConversion"/>
  </si>
  <si>
    <t xml:space="preserve"> &lt;슈하스코, 이구아수 폭포, 축구&gt; 다음 단어로 연상되는 나라는?</t>
    <phoneticPr fontId="1" type="noConversion"/>
  </si>
  <si>
    <t xml:space="preserve"> 페루</t>
    <phoneticPr fontId="1" type="noConversion"/>
  </si>
  <si>
    <t xml:space="preserve"> 브라질</t>
    <phoneticPr fontId="1" type="noConversion"/>
  </si>
  <si>
    <t xml:space="preserve"> 멕시코</t>
    <phoneticPr fontId="1" type="noConversion"/>
  </si>
  <si>
    <t xml:space="preserve"> 보겸이 연주한 동요의 제목은?</t>
    <phoneticPr fontId="1" type="noConversion"/>
  </si>
  <si>
    <t xml:space="preserve"> 푸른 하늘 은하수</t>
    <phoneticPr fontId="1" type="noConversion"/>
  </si>
  <si>
    <t xml:space="preserve"> 쪽배</t>
    <phoneticPr fontId="1" type="noConversion"/>
  </si>
  <si>
    <t xml:space="preserve"> 반달</t>
    <phoneticPr fontId="1" type="noConversion"/>
  </si>
  <si>
    <t xml:space="preserve"> 새의 부리는?</t>
    <phoneticPr fontId="1" type="noConversion"/>
  </si>
  <si>
    <t xml:space="preserve"> 피부</t>
    <phoneticPr fontId="1" type="noConversion"/>
  </si>
  <si>
    <t xml:space="preserve"> 뼈</t>
    <phoneticPr fontId="1" type="noConversion"/>
  </si>
  <si>
    <t xml:space="preserve"> 피</t>
    <phoneticPr fontId="1" type="noConversion"/>
  </si>
  <si>
    <t xml:space="preserve"> 가장 큰 숫자는?</t>
    <phoneticPr fontId="1" type="noConversion"/>
  </si>
  <si>
    <t xml:space="preserve"> ( )년이면 강산도 변한다</t>
    <phoneticPr fontId="1" type="noConversion"/>
  </si>
  <si>
    <t xml:space="preserve"> ( )리 길도 한 걸음부터</t>
    <phoneticPr fontId="1" type="noConversion"/>
  </si>
  <si>
    <t xml:space="preserve"> ( )번 찍어 안 넘어가는 나무 없다</t>
    <phoneticPr fontId="1" type="noConversion"/>
  </si>
  <si>
    <t xml:space="preserve"> 대중화된 명품을 의미하는 이 말은?</t>
    <phoneticPr fontId="1" type="noConversion"/>
  </si>
  <si>
    <t xml:space="preserve"> 스몰럭셔리</t>
    <phoneticPr fontId="1" type="noConversion"/>
  </si>
  <si>
    <t xml:space="preserve"> 매스티지</t>
    <phoneticPr fontId="1" type="noConversion"/>
  </si>
  <si>
    <t xml:space="preserve"> SSM</t>
    <phoneticPr fontId="1" type="noConversion"/>
  </si>
  <si>
    <t xml:space="preserve"> "피난처", "안식처"를 뜻하며, 2018년 소비 트렌드로 떠오른 이것은?</t>
    <phoneticPr fontId="1" type="noConversion"/>
  </si>
  <si>
    <t xml:space="preserve"> 라곰(lagom)</t>
    <phoneticPr fontId="1" type="noConversion"/>
  </si>
  <si>
    <t xml:space="preserve"> 케렌시아(Querencia)</t>
    <phoneticPr fontId="1" type="noConversion"/>
  </si>
  <si>
    <t xml:space="preserve"> 미닝아웃(Meaning out)</t>
    <phoneticPr fontId="1" type="noConversion"/>
  </si>
  <si>
    <t xml:space="preserve"> 다음 중 보겸이 태어난 년도의 띠로 올바른 것은?</t>
    <phoneticPr fontId="1" type="noConversion"/>
  </si>
  <si>
    <t xml:space="preserve"> 용띠</t>
    <phoneticPr fontId="1" type="noConversion"/>
  </si>
  <si>
    <t xml:space="preserve"> 기모띠</t>
    <phoneticPr fontId="1" type="noConversion"/>
  </si>
  <si>
    <t xml:space="preserve"> 갑분띠</t>
    <phoneticPr fontId="1" type="noConversion"/>
  </si>
  <si>
    <t xml:space="preserve"> 보겸이 성대모사하는 사람은 누구일까요?</t>
    <phoneticPr fontId="1" type="noConversion"/>
  </si>
  <si>
    <t xml:space="preserve"> 윤문식</t>
    <phoneticPr fontId="1" type="noConversion"/>
  </si>
  <si>
    <t xml:space="preserve"> 한석규</t>
    <phoneticPr fontId="1" type="noConversion"/>
  </si>
  <si>
    <t xml:space="preserve"> 장첸(윤계상)</t>
    <phoneticPr fontId="1" type="noConversion"/>
  </si>
  <si>
    <t xml:space="preserve"> 리코더의 뒷면에는 몇 개의 구멍이 있을까?</t>
    <phoneticPr fontId="1" type="noConversion"/>
  </si>
  <si>
    <t xml:space="preserve"> 1개</t>
    <phoneticPr fontId="1" type="noConversion"/>
  </si>
  <si>
    <t xml:space="preserve"> 2개</t>
    <phoneticPr fontId="1" type="noConversion"/>
  </si>
  <si>
    <t xml:space="preserve"> 3개</t>
    <phoneticPr fontId="1" type="noConversion"/>
  </si>
  <si>
    <t xml:space="preserve"> 보겸이 만든 것은 무엇일까요?</t>
    <phoneticPr fontId="1" type="noConversion"/>
  </si>
  <si>
    <t xml:space="preserve"> 도라에몽</t>
    <phoneticPr fontId="1" type="noConversion"/>
  </si>
  <si>
    <t xml:space="preserve"> 피카츄</t>
    <phoneticPr fontId="1" type="noConversion"/>
  </si>
  <si>
    <t xml:space="preserve"> 뽀로로</t>
    <phoneticPr fontId="1" type="noConversion"/>
  </si>
  <si>
    <t xml:space="preserve"> 바위나 나무의 거친 면에 종이를 대고 연필로 문질러 이미지를 얻는 기법을?</t>
    <phoneticPr fontId="1" type="noConversion"/>
  </si>
  <si>
    <t xml:space="preserve"> 타이포그래피</t>
    <phoneticPr fontId="1" type="noConversion"/>
  </si>
  <si>
    <t xml:space="preserve"> 프로타쥬</t>
    <phoneticPr fontId="1" type="noConversion"/>
  </si>
  <si>
    <t xml:space="preserve"> 스크래치</t>
    <phoneticPr fontId="1" type="noConversion"/>
  </si>
  <si>
    <t xml:space="preserve"> 프로축구 리그와 국가가 잘못 연결된 것은?</t>
    <phoneticPr fontId="1" type="noConversion"/>
  </si>
  <si>
    <t xml:space="preserve"> 세리에A - 이탈리아</t>
    <phoneticPr fontId="1" type="noConversion"/>
  </si>
  <si>
    <t xml:space="preserve"> 라리가 - 스페인</t>
    <phoneticPr fontId="1" type="noConversion"/>
  </si>
  <si>
    <t xml:space="preserve"> 에레디비시 - 프랑스</t>
    <phoneticPr fontId="1" type="noConversion"/>
  </si>
  <si>
    <t xml:space="preserve"> 우리나라 대법원에 있는 "정의의 여신상"이 오른손에 들고 있는 것은?</t>
    <phoneticPr fontId="1" type="noConversion"/>
  </si>
  <si>
    <t xml:space="preserve"> 칼</t>
    <phoneticPr fontId="1" type="noConversion"/>
  </si>
  <si>
    <t xml:space="preserve"> 법전</t>
    <phoneticPr fontId="1" type="noConversion"/>
  </si>
  <si>
    <t xml:space="preserve"> 저울</t>
    <phoneticPr fontId="1" type="noConversion"/>
  </si>
  <si>
    <t xml:space="preserve"> 문자의 순서를 바꿔 다른 단어나 문장을 만드는 것은?</t>
    <phoneticPr fontId="1" type="noConversion"/>
  </si>
  <si>
    <t xml:space="preserve"> 애너그램</t>
    <phoneticPr fontId="1" type="noConversion"/>
  </si>
  <si>
    <t xml:space="preserve"> 에그니마</t>
    <phoneticPr fontId="1" type="noConversion"/>
  </si>
  <si>
    <t xml:space="preserve"> 마그마</t>
    <phoneticPr fontId="1" type="noConversion"/>
  </si>
  <si>
    <t xml:space="preserve"> 가전 제품 회사와 그 본사 국가가 잘못 연결된 것은?</t>
    <phoneticPr fontId="1" type="noConversion"/>
  </si>
  <si>
    <t xml:space="preserve"> 샤오미-중국</t>
    <phoneticPr fontId="1" type="noConversion"/>
  </si>
  <si>
    <t xml:space="preserve"> 스메그-이탈리아</t>
    <phoneticPr fontId="1" type="noConversion"/>
  </si>
  <si>
    <t xml:space="preserve"> 발뮤다-독일</t>
    <phoneticPr fontId="1" type="noConversion"/>
  </si>
  <si>
    <t xml:space="preserve"> 마블 코믹스의 설립 당시 이름은?</t>
    <phoneticPr fontId="1" type="noConversion"/>
  </si>
  <si>
    <t xml:space="preserve"> 에이스 코믹스</t>
    <phoneticPr fontId="1" type="noConversion"/>
  </si>
  <si>
    <t xml:space="preserve"> 타임워너 코믹스</t>
    <phoneticPr fontId="1" type="noConversion"/>
  </si>
  <si>
    <t xml:space="preserve"> 타임리 코믹스</t>
    <phoneticPr fontId="1" type="noConversion"/>
  </si>
  <si>
    <t xml:space="preserve"> 봄하면 생각나는 클래식, 사계의 "봄"작곡가 는?</t>
    <phoneticPr fontId="1" type="noConversion"/>
  </si>
  <si>
    <t xml:space="preserve"> 로이킴</t>
    <phoneticPr fontId="1" type="noConversion"/>
  </si>
  <si>
    <t xml:space="preserve"> 박봄</t>
    <phoneticPr fontId="1" type="noConversion"/>
  </si>
  <si>
    <t xml:space="preserve"> 비발디</t>
    <phoneticPr fontId="1" type="noConversion"/>
  </si>
  <si>
    <t xml:space="preserve"> 세계 최초의 인터넷 서점은?</t>
    <phoneticPr fontId="1" type="noConversion"/>
  </si>
  <si>
    <t xml:space="preserve"> 아마존</t>
    <phoneticPr fontId="1" type="noConversion"/>
  </si>
  <si>
    <t xml:space="preserve"> 버뮤다</t>
    <phoneticPr fontId="1" type="noConversion"/>
  </si>
  <si>
    <t xml:space="preserve"> 알라딘</t>
    <phoneticPr fontId="1" type="noConversion"/>
  </si>
  <si>
    <t xml:space="preserve"> &lt;컴퓨터, 뉴욕, 파이&gt; 다음 단어로 연상되는 것은?</t>
    <phoneticPr fontId="1" type="noConversion"/>
  </si>
  <si>
    <t xml:space="preserve"> 배</t>
    <phoneticPr fontId="1" type="noConversion"/>
  </si>
  <si>
    <t xml:space="preserve"> 사과</t>
    <phoneticPr fontId="1" type="noConversion"/>
  </si>
  <si>
    <t xml:space="preserve"> 복숭아</t>
    <phoneticPr fontId="1" type="noConversion"/>
  </si>
  <si>
    <t xml:space="preserve"> 민상이 미국에 편지를 보낼 때 사용가능한 우표는?</t>
    <phoneticPr fontId="1" type="noConversion"/>
  </si>
  <si>
    <t xml:space="preserve"> 우리나라 우표</t>
    <phoneticPr fontId="1" type="noConversion"/>
  </si>
  <si>
    <t xml:space="preserve"> 미국 우표</t>
    <phoneticPr fontId="1" type="noConversion"/>
  </si>
  <si>
    <t xml:space="preserve"> 우리나라/미국 우표 둘 다 가능</t>
    <phoneticPr fontId="1" type="noConversion"/>
  </si>
  <si>
    <t xml:space="preserve"> 뿌리가 다른 나뭇가지가 서로 엉켜 마치 하나의 나무처럼 자라는 현상은?</t>
    <phoneticPr fontId="1" type="noConversion"/>
  </si>
  <si>
    <t xml:space="preserve"> 연리지</t>
    <phoneticPr fontId="1" type="noConversion"/>
  </si>
  <si>
    <t xml:space="preserve"> 단무지</t>
    <phoneticPr fontId="1" type="noConversion"/>
  </si>
  <si>
    <t xml:space="preserve"> 병목현상</t>
    <phoneticPr fontId="1" type="noConversion"/>
  </si>
  <si>
    <t xml:space="preserve"> 가장 높은 곳은?</t>
    <phoneticPr fontId="1" type="noConversion"/>
  </si>
  <si>
    <t xml:space="preserve"> ( )에서 용 난다</t>
    <phoneticPr fontId="1" type="noConversion"/>
  </si>
  <si>
    <t xml:space="preserve"> ( )도 식후경</t>
    <phoneticPr fontId="1" type="noConversion"/>
  </si>
  <si>
    <t xml:space="preserve"> ( )의 별 따기</t>
    <phoneticPr fontId="1" type="noConversion"/>
  </si>
  <si>
    <t xml:space="preserve"> &lt;애국가&gt;를 작곡한 사람은?</t>
    <phoneticPr fontId="1" type="noConversion"/>
  </si>
  <si>
    <t xml:space="preserve"> 윤극영</t>
    <phoneticPr fontId="1" type="noConversion"/>
  </si>
  <si>
    <t xml:space="preserve"> 안익태</t>
    <phoneticPr fontId="1" type="noConversion"/>
  </si>
  <si>
    <t xml:space="preserve"> 홍난파</t>
    <phoneticPr fontId="1" type="noConversion"/>
  </si>
  <si>
    <t>혈액 구성 요소 중 혈액의 응고와 지혈에 중요한 역할을 하는 것은?</t>
    <phoneticPr fontId="1" type="noConversion"/>
  </si>
  <si>
    <t xml:space="preserve"> 적혈구</t>
    <phoneticPr fontId="1" type="noConversion"/>
  </si>
  <si>
    <t xml:space="preserve"> 백혈구</t>
    <phoneticPr fontId="1" type="noConversion"/>
  </si>
  <si>
    <t xml:space="preserve"> 혈소판</t>
    <phoneticPr fontId="1" type="noConversion"/>
  </si>
  <si>
    <t xml:space="preserve"> "구관조"의 "구"는?</t>
    <phoneticPr fontId="1" type="noConversion"/>
  </si>
  <si>
    <t xml:space="preserve"> 입 구(口)</t>
    <phoneticPr fontId="1" type="noConversion"/>
  </si>
  <si>
    <t xml:space="preserve"> 아홉 구(九)</t>
    <phoneticPr fontId="1" type="noConversion"/>
  </si>
  <si>
    <t xml:space="preserve"> 구할 구(求)</t>
    <phoneticPr fontId="1" type="noConversion"/>
  </si>
  <si>
    <t xml:space="preserve"> 아일랜드 시인 윌리엄 예이츠가 "천사의 실수"라 표현한 이것은?</t>
    <phoneticPr fontId="1" type="noConversion"/>
  </si>
  <si>
    <t xml:space="preserve"> 윙크</t>
    <phoneticPr fontId="1" type="noConversion"/>
  </si>
  <si>
    <t xml:space="preserve"> 덧니</t>
    <phoneticPr fontId="1" type="noConversion"/>
  </si>
  <si>
    <t xml:space="preserve"> 보조개</t>
    <phoneticPr fontId="1" type="noConversion"/>
  </si>
  <si>
    <t xml:space="preserve"> 요즘 MC민상의 불면증을 유발하는 호르몬은?</t>
    <phoneticPr fontId="1" type="noConversion"/>
  </si>
  <si>
    <t xml:space="preserve"> 멜라토닌</t>
    <phoneticPr fontId="1" type="noConversion"/>
  </si>
  <si>
    <t xml:space="preserve"> 세로토닌</t>
    <phoneticPr fontId="1" type="noConversion"/>
  </si>
  <si>
    <t xml:space="preserve"> 코르티솔</t>
    <phoneticPr fontId="1" type="noConversion"/>
  </si>
  <si>
    <t xml:space="preserve"> 속담 &lt;□ 썩은 것은 딸 주고 □ 썩은 것은 며느리 준다&gt;</t>
    <phoneticPr fontId="1" type="noConversion"/>
  </si>
  <si>
    <t xml:space="preserve"> 배-밤</t>
    <phoneticPr fontId="1" type="noConversion"/>
  </si>
  <si>
    <t xml:space="preserve"> 귤-감</t>
    <phoneticPr fontId="1" type="noConversion"/>
  </si>
  <si>
    <t xml:space="preserve"> 굴-뱀</t>
    <phoneticPr fontId="1" type="noConversion"/>
  </si>
  <si>
    <t xml:space="preserve"> 영화 《아저씨》에 나오는 명대사는? </t>
  </si>
  <si>
    <t xml:space="preserve"> "( )라도 잡고 싶은 심정이다." 에서 빈칸에 알맞은 말은? </t>
  </si>
  <si>
    <t xml:space="preserve"> 노래 가사 중 다른 색은? </t>
  </si>
  <si>
    <t xml:space="preserve"> 민주당원 댓글 조작 의혹의 당사자 김모씨의 필명은? </t>
  </si>
  <si>
    <t xml:space="preserve"> 다음 중 갑질 사례가 아닌 것은? </t>
  </si>
  <si>
    <t xml:space="preserve"> 다음 중 의성어가 아닌 것은? </t>
  </si>
  <si>
    <t xml:space="preserve"> 양궁 과녁에서 가장 점수가 높은 색은? </t>
  </si>
  <si>
    <t xml:space="preserve"> 민간에서 서민들이 그린 그림으로, 우리 민족의 생활과 문화가 고스란히 담겨있는 것은? </t>
  </si>
  <si>
    <t xml:space="preserve"> 우리나라 최초의 국산자동차 이름은? </t>
  </si>
  <si>
    <t xml:space="preserve"> ♪ + ♪ + ♪ = ? </t>
  </si>
  <si>
    <t xml:space="preserve"> 고전소설 《장화홍련전》의 장화와 홍련의 성(姓)은? </t>
  </si>
  <si>
    <t xml:space="preserve"> 이거 방탄소년단거야 이 XX야! </t>
  </si>
  <si>
    <t xml:space="preserve"> 집푸라기</t>
  </si>
  <si>
    <t xml:space="preserve"> ( ) 마후라는 하늘의 사나이 ~ ♪ </t>
  </si>
  <si>
    <t xml:space="preserve"> 드루와 </t>
  </si>
  <si>
    <t xml:space="preserve"> 땅콩회항 </t>
  </si>
  <si>
    <t xml:space="preserve"> 쌕쌕 </t>
  </si>
  <si>
    <t xml:space="preserve"> 빨강</t>
  </si>
  <si>
    <t xml:space="preserve"> 민화 </t>
  </si>
  <si>
    <t xml:space="preserve"> 시발 </t>
  </si>
  <si>
    <t xml:space="preserve"> 제주도</t>
  </si>
  <si>
    <t xml:space="preserve"> 정4분음표</t>
  </si>
  <si>
    <t xml:space="preserve"> 한 </t>
  </si>
  <si>
    <t xml:space="preserve"> 이거 방탄조끼야 이 XX야! </t>
  </si>
  <si>
    <t xml:space="preserve"> 지푸라기 </t>
  </si>
  <si>
    <t xml:space="preserve"> ( ) 샤스 입은 말없는 그 사람이 ~ ♪</t>
  </si>
  <si>
    <t xml:space="preserve"> 드루킹 </t>
  </si>
  <si>
    <t xml:space="preserve"> 물벼락 </t>
  </si>
  <si>
    <t xml:space="preserve"> 우당탕 </t>
  </si>
  <si>
    <t xml:space="preserve"> 노랑</t>
  </si>
  <si>
    <t xml:space="preserve"> 만화 </t>
  </si>
  <si>
    <t xml:space="preserve"> 새나라 </t>
  </si>
  <si>
    <t xml:space="preserve"> 전라도 </t>
  </si>
  <si>
    <t xml:space="preserve"> 점8분음표</t>
  </si>
  <si>
    <t xml:space="preserve"> 최</t>
  </si>
  <si>
    <t xml:space="preserve"> 이거 방탄유리야 이 XX야! </t>
  </si>
  <si>
    <t xml:space="preserve"> 미꾸라지 </t>
  </si>
  <si>
    <t xml:space="preserve"> ( ) 맛 궁금해 Honey ~ ♪ </t>
  </si>
  <si>
    <t xml:space="preserve"> 드러워 </t>
  </si>
  <si>
    <t xml:space="preserve"> 아나바다 </t>
  </si>
  <si>
    <t xml:space="preserve"> 엉금엉금 </t>
  </si>
  <si>
    <t xml:space="preserve"> 파랑 </t>
  </si>
  <si>
    <t xml:space="preserve"> 산수화 </t>
  </si>
  <si>
    <t xml:space="preserve"> 포니 </t>
  </si>
  <si>
    <t xml:space="preserve"> 여의도 </t>
  </si>
  <si>
    <t xml:space="preserve"> 4분음표 </t>
  </si>
  <si>
    <t xml:space="preserve"> 배 </t>
  </si>
  <si>
    <t xml:space="preserve"> 지푸라기 </t>
    <phoneticPr fontId="1" type="noConversion"/>
  </si>
  <si>
    <t xml:space="preserve"> ( ) 샤스 입은 말없는 그 사람이 ~ ♪</t>
    <phoneticPr fontId="1" type="noConversion"/>
  </si>
  <si>
    <t xml:space="preserve"> ( ) 맛 궁금해 Honey ~ ♪ </t>
    <phoneticPr fontId="1" type="noConversion"/>
  </si>
  <si>
    <t xml:space="preserve"> 드루와 </t>
    <phoneticPr fontId="1" type="noConversion"/>
  </si>
  <si>
    <t xml:space="preserve"> 드러워 </t>
    <phoneticPr fontId="1" type="noConversion"/>
  </si>
  <si>
    <t xml:space="preserve"> 물벼락 </t>
    <phoneticPr fontId="1" type="noConversion"/>
  </si>
  <si>
    <t xml:space="preserve"> 아나바다 </t>
    <phoneticPr fontId="1" type="noConversion"/>
  </si>
  <si>
    <t xml:space="preserve"> 우당탕 </t>
    <phoneticPr fontId="1" type="noConversion"/>
  </si>
  <si>
    <t xml:space="preserve"> 엉금엉금 </t>
    <phoneticPr fontId="1" type="noConversion"/>
  </si>
  <si>
    <t xml:space="preserve"> 빨강</t>
    <phoneticPr fontId="1" type="noConversion"/>
  </si>
  <si>
    <t xml:space="preserve"> 파랑 </t>
    <phoneticPr fontId="1" type="noConversion"/>
  </si>
  <si>
    <t xml:space="preserve"> 민간에서 서민들이 그린 그림으로, 우리 민족의 생활과 문화가 고스란히 담겨있는 것은? </t>
    <phoneticPr fontId="1" type="noConversion"/>
  </si>
  <si>
    <t xml:space="preserve"> 우리나라 최초의 국산자동차 이름은? </t>
    <phoneticPr fontId="1" type="noConversion"/>
  </si>
  <si>
    <t xml:space="preserve"> 시발 </t>
    <phoneticPr fontId="1" type="noConversion"/>
  </si>
  <si>
    <t xml:space="preserve"> 전라도 </t>
    <phoneticPr fontId="1" type="noConversion"/>
  </si>
  <si>
    <t xml:space="preserve"> 4분음표 </t>
    <phoneticPr fontId="1" type="noConversion"/>
  </si>
  <si>
    <t xml:space="preserve"> 한 </t>
    <phoneticPr fontId="1" type="noConversion"/>
  </si>
  <si>
    <t xml:space="preserve"> 스크래치</t>
    <phoneticPr fontId="1" type="noConversion"/>
  </si>
  <si>
    <t xml:space="preserve"> 동화 《콩쥐팥쥐》 에서 콩쥐를 돕는 동물이 아닌 것은? </t>
  </si>
  <si>
    <t xml:space="preserve"> 세상에서 가장 매운 고추는? </t>
  </si>
  <si>
    <t xml:space="preserve"> 기네스북을 최초로 발행한 기관은? </t>
  </si>
  <si>
    <t xml:space="preserve"> 세계적인 자동차 회사 "BMW" 에서 만들지 않는 것은? </t>
  </si>
  <si>
    <t xml:space="preserve"> 둘리, 도우너, 마이콜 등이 가요제에 참가해 부른 노래 제목은? </t>
  </si>
  <si>
    <t xml:space="preserve"> 성년의 날은? </t>
  </si>
  <si>
    <t xml:space="preserve"> 1968년 5월 6일에 태어난 가수 故신해철의 별명은? </t>
  </si>
  <si>
    <t xml:space="preserve"> 우리나라에서 일 년 내내 볼 수 있는 별은? </t>
  </si>
  <si>
    <t xml:space="preserve"> 지구에서 120kg인 MC민상이 달에 가서 몸무게를 재면 몇 kg? </t>
  </si>
  <si>
    <t xml:space="preserve"> 우리나라 10대 성씨(姓氏)에 들어가지 않는 것은? (#통계청, 2015인구주택총조사)</t>
  </si>
  <si>
    <t xml:space="preserve"> 제주어로 숲과 덤불을 의미하는 말은? </t>
  </si>
  <si>
    <t xml:space="preserve"> 다음 중 가장 큰 것은?</t>
  </si>
  <si>
    <t xml:space="preserve"> 다음 중 율곡 이이의 어머니는? </t>
  </si>
  <si>
    <t xml:space="preserve"> 아버지를 아버지라 부르지 못하는 주인공이 나오는 작품은?</t>
  </si>
  <si>
    <t xml:space="preserve"> 대한민국 대표 어머니 캐릭터 배우 김혜자와 연관이 없는 것은? </t>
  </si>
  <si>
    <t xml:space="preserve"> 누구를 성대모사 한 것일까? </t>
  </si>
  <si>
    <t xml:space="preserve"> 다음 중 동화 제목과 주인공 이름이 다른 것은?</t>
  </si>
  <si>
    <t xml:space="preserve"> 한류스타 방탄소년단의 맴버가 아닌 사람은?</t>
  </si>
  <si>
    <t xml:space="preserve"> 유니폼의 등번호가 없는 종목은?</t>
  </si>
  <si>
    <t xml:space="preserve"> 성모 마리아가 죽은 그리스도를 안고 있는 모습을 표현한 그림이나 조각상을 가리키는 말은? </t>
  </si>
  <si>
    <t xml:space="preserve"> 쥘 베른의 《□일간의 세계일주》 + 무라카미 하루키의 《1Q□4》에서, □ 안의 숫자를 더하면?  </t>
  </si>
  <si>
    <t xml:space="preserve"> 경마에서 결승선 통과 기준은 무엇일까? </t>
  </si>
  <si>
    <t xml:space="preserve"> 하버드대학교의 유머과학잡지사에서 기발한 연구나 업적에 대해 주는 상으로 노벨상을 풍자해 만든 이것은? </t>
  </si>
  <si>
    <t xml:space="preserve"> 재밌고 기발한 연구에 상을 주는 "이그노벨상"에서 노래방 기계가 받은 상은? </t>
  </si>
  <si>
    <t xml:space="preserve"> "도"의 의미가 다른 것은? </t>
  </si>
  <si>
    <t xml:space="preserve"> 두꺼비</t>
  </si>
  <si>
    <t xml:space="preserve"> 작은 고추 </t>
  </si>
  <si>
    <t xml:space="preserve"> 런던 기인 협회 </t>
  </si>
  <si>
    <t xml:space="preserve"> 자전거 </t>
  </si>
  <si>
    <t xml:space="preserve"> 맛좋은 라면</t>
  </si>
  <si>
    <t xml:space="preserve"> 매년 5월 둘째 주 월요일 </t>
  </si>
  <si>
    <t xml:space="preserve"> 마왕</t>
  </si>
  <si>
    <t xml:space="preserve"> 남십자성</t>
  </si>
  <si>
    <t xml:space="preserve"> 240kg</t>
  </si>
  <si>
    <t xml:space="preserve"> 윤 </t>
  </si>
  <si>
    <t xml:space="preserve"> 곶자왈</t>
  </si>
  <si>
    <t xml:space="preserve"> 1센티미터(cm)</t>
  </si>
  <si>
    <t xml:space="preserve"> 황진이</t>
  </si>
  <si>
    <t xml:space="preserve"> 고길동전</t>
  </si>
  <si>
    <t xml:space="preserve"> 영화 "마더" </t>
  </si>
  <si>
    <t xml:space="preserve"> 김혜정</t>
  </si>
  <si>
    <t xml:space="preserve"> 알프스의 소녀 하이디</t>
  </si>
  <si>
    <t xml:space="preserve"> 지민</t>
  </si>
  <si>
    <t xml:space="preserve"> 하키</t>
  </si>
  <si>
    <t xml:space="preserve"> 피에타 </t>
  </si>
  <si>
    <t xml:space="preserve"> 말의 코끝</t>
  </si>
  <si>
    <t xml:space="preserve"> 이그노벨상 </t>
  </si>
  <si>
    <t xml:space="preserve"> 이그노벨 물리학상</t>
  </si>
  <si>
    <t xml:space="preserve"> 참새 </t>
  </si>
  <si>
    <t xml:space="preserve"> 패퍼 X</t>
  </si>
  <si>
    <t xml:space="preserve"> 맥주 양조 회사 </t>
  </si>
  <si>
    <t xml:space="preserve"> 모터사이클</t>
  </si>
  <si>
    <t xml:space="preserve"> 라면과 구공탄</t>
  </si>
  <si>
    <t xml:space="preserve"> 매년 5월 셋째 주 월요일 </t>
  </si>
  <si>
    <t xml:space="preserve"> 황제 </t>
  </si>
  <si>
    <t xml:space="preserve"> 북극성</t>
  </si>
  <si>
    <t xml:space="preserve"> 60kg </t>
  </si>
  <si>
    <t xml:space="preserve"> 정</t>
  </si>
  <si>
    <t xml:space="preserve"> 곳자왈</t>
  </si>
  <si>
    <t xml:space="preserve"> 0.01미터(m)</t>
  </si>
  <si>
    <t xml:space="preserve"> 신사임당</t>
  </si>
  <si>
    <t xml:space="preserve"> 홍길동전</t>
  </si>
  <si>
    <t xml:space="preserve"> 편의점 도시락 </t>
  </si>
  <si>
    <t xml:space="preserve"> 이혜정</t>
  </si>
  <si>
    <t xml:space="preserve"> 플랜더스의 개 </t>
  </si>
  <si>
    <t xml:space="preserve"> 슈가 </t>
  </si>
  <si>
    <t xml:space="preserve"> 유도 </t>
  </si>
  <si>
    <t xml:space="preserve"> 피에스타 </t>
  </si>
  <si>
    <t xml:space="preserve"> 말의 엉덩이</t>
  </si>
  <si>
    <t xml:space="preserve"> 세미노벨상 </t>
  </si>
  <si>
    <t xml:space="preserve"> 이그노벨 경제학상</t>
  </si>
  <si>
    <t xml:space="preserve"> 장모 치와와 </t>
  </si>
  <si>
    <t xml:space="preserve"> 청양고추 </t>
  </si>
  <si>
    <t xml:space="preserve"> 유네스코 </t>
  </si>
  <si>
    <t xml:space="preserve"> 인라인 스케이트 </t>
  </si>
  <si>
    <t xml:space="preserve"> 꼬불꼬불 라면 </t>
  </si>
  <si>
    <t xml:space="preserve"> 매년 5월 셋째 주 일요일 </t>
  </si>
  <si>
    <t xml:space="preserve"> 왕자 </t>
  </si>
  <si>
    <t xml:space="preserve"> 가화만사성 </t>
  </si>
  <si>
    <t xml:space="preserve"> 20kg </t>
  </si>
  <si>
    <t xml:space="preserve"> 홍 </t>
  </si>
  <si>
    <t xml:space="preserve"> 곧자왈</t>
  </si>
  <si>
    <t xml:space="preserve"> 100밀리미터(mm)</t>
  </si>
  <si>
    <t xml:space="preserve"> 선덕여왕 </t>
  </si>
  <si>
    <t xml:space="preserve"> 해물파전 </t>
  </si>
  <si>
    <t xml:space="preserve"> 전원일기 "복길 엄마" </t>
  </si>
  <si>
    <t xml:space="preserve"> 박혜정</t>
  </si>
  <si>
    <t xml:space="preserve"> 이상한 나라의 앨리스 </t>
  </si>
  <si>
    <t xml:space="preserve"> 로이킴 </t>
  </si>
  <si>
    <t xml:space="preserve"> 핸드볼 </t>
  </si>
  <si>
    <t xml:space="preserve"> 피에로 </t>
  </si>
  <si>
    <t xml:space="preserve"> 말의 앞발 </t>
  </si>
  <si>
    <t xml:space="preserve"> 카피노벨상 </t>
  </si>
  <si>
    <t xml:space="preserve"> 이그노벨 평화상 </t>
  </si>
  <si>
    <t xml:space="preserve"> 동화 《콩쥐팥쥐》 에서 콩쥐를 돕는 동물이 아닌 것은? </t>
    <phoneticPr fontId="1" type="noConversion"/>
  </si>
  <si>
    <t xml:space="preserve"> 두꺼비</t>
    <phoneticPr fontId="1" type="noConversion"/>
  </si>
  <si>
    <t xml:space="preserve"> 참새 </t>
    <phoneticPr fontId="1" type="noConversion"/>
  </si>
  <si>
    <t xml:space="preserve"> 장모 치와와 </t>
    <phoneticPr fontId="1" type="noConversion"/>
  </si>
  <si>
    <t xml:space="preserve"> 세상에서 가장 매운 고추는? </t>
    <phoneticPr fontId="1" type="noConversion"/>
  </si>
  <si>
    <t xml:space="preserve"> 작은 고추 </t>
    <phoneticPr fontId="1" type="noConversion"/>
  </si>
  <si>
    <t xml:space="preserve"> 패퍼 X</t>
    <phoneticPr fontId="1" type="noConversion"/>
  </si>
  <si>
    <t xml:space="preserve"> 청양고추 </t>
    <phoneticPr fontId="1" type="noConversion"/>
  </si>
  <si>
    <t xml:space="preserve"> 기네스북을 최초로 발행한 기관은? </t>
    <phoneticPr fontId="1" type="noConversion"/>
  </si>
  <si>
    <t xml:space="preserve"> 런던 기인 협회 </t>
    <phoneticPr fontId="1" type="noConversion"/>
  </si>
  <si>
    <t xml:space="preserve"> 맥주 양조 회사 </t>
    <phoneticPr fontId="1" type="noConversion"/>
  </si>
  <si>
    <t xml:space="preserve"> 유네스코 </t>
    <phoneticPr fontId="1" type="noConversion"/>
  </si>
  <si>
    <t xml:space="preserve"> 세계적인 자동차 회사 "BMW" 에서 만들지 않는 것은? </t>
    <phoneticPr fontId="1" type="noConversion"/>
  </si>
  <si>
    <t xml:space="preserve"> 자전거 </t>
    <phoneticPr fontId="1" type="noConversion"/>
  </si>
  <si>
    <t xml:space="preserve"> 모터사이클</t>
    <phoneticPr fontId="1" type="noConversion"/>
  </si>
  <si>
    <t xml:space="preserve"> 인라인 스케이트 </t>
    <phoneticPr fontId="1" type="noConversion"/>
  </si>
  <si>
    <t xml:space="preserve"> 둘리, 도우너, 마이콜 등이 가요제에 참가해 부른 노래 제목은? </t>
    <phoneticPr fontId="1" type="noConversion"/>
  </si>
  <si>
    <t xml:space="preserve"> 맛좋은 라면</t>
    <phoneticPr fontId="1" type="noConversion"/>
  </si>
  <si>
    <t xml:space="preserve"> 라면과 구공탄</t>
    <phoneticPr fontId="1" type="noConversion"/>
  </si>
  <si>
    <t xml:space="preserve"> 꼬불꼬불 라면 </t>
    <phoneticPr fontId="1" type="noConversion"/>
  </si>
  <si>
    <t xml:space="preserve"> 성년의 날은? </t>
    <phoneticPr fontId="1" type="noConversion"/>
  </si>
  <si>
    <t xml:space="preserve"> 매년 5월 둘째 주 월요일 </t>
    <phoneticPr fontId="1" type="noConversion"/>
  </si>
  <si>
    <t xml:space="preserve"> 매년 5월 셋째 주 월요일 </t>
    <phoneticPr fontId="1" type="noConversion"/>
  </si>
  <si>
    <t xml:space="preserve"> 매년 5월 셋째 주 일요일 </t>
    <phoneticPr fontId="1" type="noConversion"/>
  </si>
  <si>
    <t xml:space="preserve"> 1968년 5월 6일에 태어난 가수 故신해철의 별명은? </t>
    <phoneticPr fontId="1" type="noConversion"/>
  </si>
  <si>
    <t xml:space="preserve"> 마왕</t>
    <phoneticPr fontId="1" type="noConversion"/>
  </si>
  <si>
    <t xml:space="preserve"> 황제 </t>
    <phoneticPr fontId="1" type="noConversion"/>
  </si>
  <si>
    <t xml:space="preserve"> 왕자 </t>
    <phoneticPr fontId="1" type="noConversion"/>
  </si>
  <si>
    <t xml:space="preserve"> 우리나라에서 일 년 내내 볼 수 있는 별은? </t>
    <phoneticPr fontId="1" type="noConversion"/>
  </si>
  <si>
    <t xml:space="preserve"> 남십자성</t>
    <phoneticPr fontId="1" type="noConversion"/>
  </si>
  <si>
    <t xml:space="preserve"> 북극성</t>
    <phoneticPr fontId="1" type="noConversion"/>
  </si>
  <si>
    <t xml:space="preserve"> 가화만사성 </t>
    <phoneticPr fontId="1" type="noConversion"/>
  </si>
  <si>
    <t xml:space="preserve"> 지구에서 120kg인 MC민상이 달에 가서 몸무게를 재면 몇 kg? </t>
    <phoneticPr fontId="1" type="noConversion"/>
  </si>
  <si>
    <t xml:space="preserve"> 240kg</t>
    <phoneticPr fontId="1" type="noConversion"/>
  </si>
  <si>
    <t xml:space="preserve"> 60kg </t>
    <phoneticPr fontId="1" type="noConversion"/>
  </si>
  <si>
    <t xml:space="preserve"> 20kg </t>
    <phoneticPr fontId="1" type="noConversion"/>
  </si>
  <si>
    <t xml:space="preserve"> 우리나라 10대 성씨(姓氏)에 들어가지 않는 것은? (#통계청, 2015인구주택총조사)</t>
    <phoneticPr fontId="1" type="noConversion"/>
  </si>
  <si>
    <t xml:space="preserve"> 윤 </t>
    <phoneticPr fontId="1" type="noConversion"/>
  </si>
  <si>
    <t xml:space="preserve"> 정</t>
    <phoneticPr fontId="1" type="noConversion"/>
  </si>
  <si>
    <t xml:space="preserve"> 홍 </t>
    <phoneticPr fontId="1" type="noConversion"/>
  </si>
  <si>
    <t xml:space="preserve"> 제주어로 숲과 덤불을 의미하는 말은? </t>
    <phoneticPr fontId="1" type="noConversion"/>
  </si>
  <si>
    <t xml:space="preserve"> 곶자왈</t>
    <phoneticPr fontId="1" type="noConversion"/>
  </si>
  <si>
    <t xml:space="preserve"> 곳자왈</t>
    <phoneticPr fontId="1" type="noConversion"/>
  </si>
  <si>
    <t xml:space="preserve"> 곧자왈</t>
    <phoneticPr fontId="1" type="noConversion"/>
  </si>
  <si>
    <t xml:space="preserve"> 다음 중 가장 큰 것은?</t>
    <phoneticPr fontId="1" type="noConversion"/>
  </si>
  <si>
    <t xml:space="preserve"> 1센티미터(cm)</t>
    <phoneticPr fontId="1" type="noConversion"/>
  </si>
  <si>
    <t xml:space="preserve"> 0.01미터(m)</t>
    <phoneticPr fontId="1" type="noConversion"/>
  </si>
  <si>
    <t xml:space="preserve"> 100밀리미터(mm)</t>
    <phoneticPr fontId="1" type="noConversion"/>
  </si>
  <si>
    <t xml:space="preserve"> 다음 중 율곡 이이의 어머니는? </t>
    <phoneticPr fontId="1" type="noConversion"/>
  </si>
  <si>
    <t xml:space="preserve"> 황진이</t>
    <phoneticPr fontId="1" type="noConversion"/>
  </si>
  <si>
    <t xml:space="preserve"> 신사임당</t>
    <phoneticPr fontId="1" type="noConversion"/>
  </si>
  <si>
    <t xml:space="preserve"> 선덕여왕 </t>
    <phoneticPr fontId="1" type="noConversion"/>
  </si>
  <si>
    <t xml:space="preserve"> 아버지를 아버지라 부르지 못하는 주인공이 나오는 작품은?</t>
    <phoneticPr fontId="1" type="noConversion"/>
  </si>
  <si>
    <t xml:space="preserve"> 고길동전</t>
    <phoneticPr fontId="1" type="noConversion"/>
  </si>
  <si>
    <t xml:space="preserve"> 홍길동전</t>
    <phoneticPr fontId="1" type="noConversion"/>
  </si>
  <si>
    <t xml:space="preserve"> 해물파전 </t>
    <phoneticPr fontId="1" type="noConversion"/>
  </si>
  <si>
    <t xml:space="preserve"> 대한민국 대표 어머니 캐릭터 배우 김혜자와 연관이 없는 것은? </t>
    <phoneticPr fontId="1" type="noConversion"/>
  </si>
  <si>
    <t xml:space="preserve"> 영화 "마더" </t>
    <phoneticPr fontId="1" type="noConversion"/>
  </si>
  <si>
    <t xml:space="preserve"> 편의점 도시락 </t>
    <phoneticPr fontId="1" type="noConversion"/>
  </si>
  <si>
    <t xml:space="preserve"> 전원일기 "복길 엄마" </t>
    <phoneticPr fontId="1" type="noConversion"/>
  </si>
  <si>
    <t xml:space="preserve"> 누구를 성대모사 한 것일까? </t>
    <phoneticPr fontId="1" type="noConversion"/>
  </si>
  <si>
    <t xml:space="preserve"> 김혜정</t>
    <phoneticPr fontId="1" type="noConversion"/>
  </si>
  <si>
    <t xml:space="preserve"> 이혜정</t>
    <phoneticPr fontId="1" type="noConversion"/>
  </si>
  <si>
    <t xml:space="preserve"> 박혜정</t>
    <phoneticPr fontId="1" type="noConversion"/>
  </si>
  <si>
    <t xml:space="preserve"> 다음 중 동화 제목과 주인공 이름이 다른 것은?</t>
    <phoneticPr fontId="1" type="noConversion"/>
  </si>
  <si>
    <t xml:space="preserve"> 알프스의 소녀 하이디</t>
    <phoneticPr fontId="1" type="noConversion"/>
  </si>
  <si>
    <t xml:space="preserve"> 플랜더스의 개 </t>
    <phoneticPr fontId="1" type="noConversion"/>
  </si>
  <si>
    <t xml:space="preserve"> 이상한 나라의 앨리스 </t>
    <phoneticPr fontId="1" type="noConversion"/>
  </si>
  <si>
    <t xml:space="preserve"> 한류스타 방탄소년단의 맴버가 아닌 사람은?</t>
    <phoneticPr fontId="1" type="noConversion"/>
  </si>
  <si>
    <t xml:space="preserve"> 지민</t>
    <phoneticPr fontId="1" type="noConversion"/>
  </si>
  <si>
    <t xml:space="preserve"> 슈가 </t>
    <phoneticPr fontId="1" type="noConversion"/>
  </si>
  <si>
    <t xml:space="preserve"> 로이킴 </t>
    <phoneticPr fontId="1" type="noConversion"/>
  </si>
  <si>
    <t xml:space="preserve"> 유니폼의 등번호가 없는 종목은?</t>
    <phoneticPr fontId="1" type="noConversion"/>
  </si>
  <si>
    <t xml:space="preserve"> 하키</t>
    <phoneticPr fontId="1" type="noConversion"/>
  </si>
  <si>
    <t xml:space="preserve"> 유도 </t>
    <phoneticPr fontId="1" type="noConversion"/>
  </si>
  <si>
    <t xml:space="preserve"> 핸드볼 </t>
    <phoneticPr fontId="1" type="noConversion"/>
  </si>
  <si>
    <t xml:space="preserve"> 성모 마리아가 죽은 그리스도를 안고 있는 모습을 표현한 그림이나 조각상을 가리키는 말은? </t>
    <phoneticPr fontId="1" type="noConversion"/>
  </si>
  <si>
    <t xml:space="preserve"> 피에타 </t>
    <phoneticPr fontId="1" type="noConversion"/>
  </si>
  <si>
    <t xml:space="preserve"> 피에스타 </t>
    <phoneticPr fontId="1" type="noConversion"/>
  </si>
  <si>
    <t xml:space="preserve"> 피에로 </t>
    <phoneticPr fontId="1" type="noConversion"/>
  </si>
  <si>
    <t xml:space="preserve"> 쥘 베른의 《□일간의 세계일주》 + 무라카미 하루키의 《1Q□4》에서, □ 안의 숫자를 더하면?  </t>
    <phoneticPr fontId="1" type="noConversion"/>
  </si>
  <si>
    <t xml:space="preserve"> 경마에서 결승선 통과 기준은 무엇일까? </t>
    <phoneticPr fontId="1" type="noConversion"/>
  </si>
  <si>
    <t xml:space="preserve"> 말의 코끝</t>
    <phoneticPr fontId="1" type="noConversion"/>
  </si>
  <si>
    <t xml:space="preserve"> 말의 엉덩이</t>
    <phoneticPr fontId="1" type="noConversion"/>
  </si>
  <si>
    <t xml:space="preserve"> 말의 앞발 </t>
    <phoneticPr fontId="1" type="noConversion"/>
  </si>
  <si>
    <t xml:space="preserve"> 하버드대학교의 유머과학잡지사에서 기발한 연구나 업적에 대해 주는 상으로 노벨상을 풍자해 만든 이것은? </t>
    <phoneticPr fontId="1" type="noConversion"/>
  </si>
  <si>
    <t xml:space="preserve"> 이그노벨상 </t>
    <phoneticPr fontId="1" type="noConversion"/>
  </si>
  <si>
    <t xml:space="preserve"> 세미노벨상 </t>
    <phoneticPr fontId="1" type="noConversion"/>
  </si>
  <si>
    <t xml:space="preserve"> 카피노벨상 </t>
    <phoneticPr fontId="1" type="noConversion"/>
  </si>
  <si>
    <t xml:space="preserve"> 재밌고 기발한 연구에 상을 주는 "이그노벨상"에서 노래방 기계가 받은 상은? </t>
    <phoneticPr fontId="1" type="noConversion"/>
  </si>
  <si>
    <t xml:space="preserve"> 이그노벨 물리학상</t>
    <phoneticPr fontId="1" type="noConversion"/>
  </si>
  <si>
    <t xml:space="preserve"> 이그노벨 경제학상</t>
    <phoneticPr fontId="1" type="noConversion"/>
  </si>
  <si>
    <t xml:space="preserve"> 이그노벨 평화상 </t>
    <phoneticPr fontId="1" type="noConversion"/>
  </si>
  <si>
    <t xml:space="preserve"> 영화 《아저씨》에 나오는 명대사는? </t>
    <phoneticPr fontId="1" type="noConversion"/>
  </si>
  <si>
    <t xml:space="preserve"> 이거 방탄소년단거야 이 XX야! </t>
    <phoneticPr fontId="1" type="noConversion"/>
  </si>
  <si>
    <t xml:space="preserve"> 이거 방탄조끼야 이 XX야! </t>
    <phoneticPr fontId="1" type="noConversion"/>
  </si>
  <si>
    <t xml:space="preserve"> 이거 방탄유리야 이 XX야! </t>
    <phoneticPr fontId="1" type="noConversion"/>
  </si>
  <si>
    <t xml:space="preserve"> "( )라도 잡고 싶은 심정이다." 에서 빈칸에 알맞은 말은? </t>
    <phoneticPr fontId="1" type="noConversion"/>
  </si>
  <si>
    <t xml:space="preserve"> 집푸라기</t>
    <phoneticPr fontId="1" type="noConversion"/>
  </si>
  <si>
    <t xml:space="preserve"> 미꾸라지 </t>
    <phoneticPr fontId="1" type="noConversion"/>
  </si>
  <si>
    <t xml:space="preserve"> 노래 가사 중 다른 색은? </t>
    <phoneticPr fontId="1" type="noConversion"/>
  </si>
  <si>
    <t xml:space="preserve"> ( ) 마후라는 하늘의 사나이 ~ ♪ </t>
    <phoneticPr fontId="1" type="noConversion"/>
  </si>
  <si>
    <t xml:space="preserve"> 민주당원 댓글 조작 의혹의 당사자 김모씨의 필명은? </t>
    <phoneticPr fontId="1" type="noConversion"/>
  </si>
  <si>
    <t xml:space="preserve"> 드루킹 </t>
    <phoneticPr fontId="1" type="noConversion"/>
  </si>
  <si>
    <t xml:space="preserve"> 다음 중 갑질 사례가 아닌 것은? </t>
    <phoneticPr fontId="1" type="noConversion"/>
  </si>
  <si>
    <t xml:space="preserve"> 땅콩회항 </t>
    <phoneticPr fontId="1" type="noConversion"/>
  </si>
  <si>
    <t xml:space="preserve"> 다음 중 의성어가 아닌 것은? </t>
    <phoneticPr fontId="1" type="noConversion"/>
  </si>
  <si>
    <t xml:space="preserve"> 쌕쌕 </t>
    <phoneticPr fontId="1" type="noConversion"/>
  </si>
  <si>
    <t xml:space="preserve"> 양궁 과녁에서 가장 점수가 높은 색은? </t>
    <phoneticPr fontId="1" type="noConversion"/>
  </si>
  <si>
    <t xml:space="preserve"> 노랑</t>
    <phoneticPr fontId="1" type="noConversion"/>
  </si>
  <si>
    <t xml:space="preserve"> 민화 </t>
    <phoneticPr fontId="1" type="noConversion"/>
  </si>
  <si>
    <t xml:space="preserve"> 만화 </t>
    <phoneticPr fontId="1" type="noConversion"/>
  </si>
  <si>
    <t xml:space="preserve"> 산수화 </t>
    <phoneticPr fontId="1" type="noConversion"/>
  </si>
  <si>
    <t xml:space="preserve"> 새나라 </t>
    <phoneticPr fontId="1" type="noConversion"/>
  </si>
  <si>
    <t xml:space="preserve"> 포니 </t>
    <phoneticPr fontId="1" type="noConversion"/>
  </si>
  <si>
    <t xml:space="preserve"> "도"의 의미가 다른 것은? </t>
    <phoneticPr fontId="1" type="noConversion"/>
  </si>
  <si>
    <t xml:space="preserve"> 제주도</t>
    <phoneticPr fontId="1" type="noConversion"/>
  </si>
  <si>
    <t xml:space="preserve"> 여의도 </t>
    <phoneticPr fontId="1" type="noConversion"/>
  </si>
  <si>
    <t xml:space="preserve"> ♪ + ♪ + ♪ = ? </t>
    <phoneticPr fontId="1" type="noConversion"/>
  </si>
  <si>
    <t xml:space="preserve"> 정4분음표</t>
    <phoneticPr fontId="1" type="noConversion"/>
  </si>
  <si>
    <t xml:space="preserve"> 점8분음표</t>
    <phoneticPr fontId="1" type="noConversion"/>
  </si>
  <si>
    <t xml:space="preserve"> 고전소설 《장화홍련전》의 장화와 홍련의 성(姓)은? </t>
    <phoneticPr fontId="1" type="noConversion"/>
  </si>
  <si>
    <t xml:space="preserve"> 최</t>
    <phoneticPr fontId="1" type="noConversion"/>
  </si>
  <si>
    <t xml:space="preserve"> 배 </t>
    <phoneticPr fontId="1" type="noConversion"/>
  </si>
  <si>
    <t xml:space="preserve"> 다음 중 색의 이름이 한글인 것은?</t>
    <phoneticPr fontId="1" type="noConversion"/>
  </si>
  <si>
    <t>국회의사당</t>
    <phoneticPr fontId="1" type="noConversion"/>
  </si>
  <si>
    <t xml:space="preserve"> 뽕나무의 열매는?</t>
    <phoneticPr fontId="1" type="noConversion"/>
  </si>
  <si>
    <t xml:space="preserve">고슴도치 </t>
    <phoneticPr fontId="1" type="noConversion"/>
  </si>
  <si>
    <t>중국</t>
    <phoneticPr fontId="1" type="noConversion"/>
  </si>
  <si>
    <t>프랑스</t>
    <phoneticPr fontId="1" type="noConversion"/>
  </si>
  <si>
    <t>구글</t>
    <phoneticPr fontId="1" type="noConversion"/>
  </si>
  <si>
    <t xml:space="preserve"> 고양이와 친해지는 방법이 아닌 것은?</t>
    <phoneticPr fontId="1" type="noConversion"/>
  </si>
  <si>
    <t>귤</t>
    <phoneticPr fontId="1" type="noConversion"/>
  </si>
  <si>
    <t>우루과이</t>
    <phoneticPr fontId="1" type="noConversion"/>
  </si>
  <si>
    <t>골든골(Golden goal)</t>
    <phoneticPr fontId="1" type="noConversion"/>
  </si>
  <si>
    <t>미국</t>
    <phoneticPr fontId="1" type="noConversion"/>
  </si>
  <si>
    <t xml:space="preserve"> 우리나라 멸종 위기의 야생동물이 아닌 것은?</t>
    <phoneticPr fontId="1" type="noConversion"/>
  </si>
  <si>
    <t>B형</t>
    <phoneticPr fontId="1" type="noConversion"/>
  </si>
  <si>
    <t xml:space="preserve"> 필요할 때는 쓰고 필요 없을 때는 버린다는 뜻의 ‘토사구팽’에 등장하지 않는 동물은?</t>
    <phoneticPr fontId="1" type="noConversion"/>
  </si>
  <si>
    <t>한식</t>
    <phoneticPr fontId="1" type="noConversion"/>
  </si>
  <si>
    <t>입</t>
    <phoneticPr fontId="1" type="noConversion"/>
  </si>
  <si>
    <t>더듬이</t>
    <phoneticPr fontId="1" type="noConversion"/>
  </si>
  <si>
    <t>양부일구</t>
    <phoneticPr fontId="1" type="noConversion"/>
  </si>
  <si>
    <t>매스티지</t>
    <phoneticPr fontId="1" type="noConversion"/>
  </si>
  <si>
    <t xml:space="preserve"> 고대 그리스에 살았던 이솝 우화의 작가 이름은?</t>
    <phoneticPr fontId="1" type="noConversion"/>
  </si>
  <si>
    <t>우중충</t>
    <phoneticPr fontId="1" type="noConversion"/>
  </si>
  <si>
    <t>괴로우나 즐거우나</t>
    <phoneticPr fontId="1" type="noConversion"/>
  </si>
  <si>
    <t>USS 로널드 레이건</t>
    <phoneticPr fontId="1" type="noConversion"/>
  </si>
  <si>
    <t>비일비재</t>
    <phoneticPr fontId="1" type="noConversion"/>
  </si>
  <si>
    <t>경제재</t>
    <phoneticPr fontId="1" type="noConversion"/>
  </si>
  <si>
    <t>질량</t>
    <phoneticPr fontId="1" type="noConversion"/>
  </si>
  <si>
    <t>노트에 이름이 적히면 죽는다</t>
    <phoneticPr fontId="1" type="noConversion"/>
  </si>
  <si>
    <t xml:space="preserve"> 다음 중 가장 큰 점수는?</t>
    <phoneticPr fontId="1" type="noConversion"/>
  </si>
  <si>
    <t>왕만두</t>
    <phoneticPr fontId="1" type="noConversion"/>
  </si>
  <si>
    <t>드래곤볼의 손오공</t>
    <phoneticPr fontId="1" type="noConversion"/>
  </si>
  <si>
    <t xml:space="preserve"> 고구려 소수림왕이 설립한 우리나라 최초의 국립 교육기관은?</t>
    <phoneticPr fontId="1" type="noConversion"/>
  </si>
  <si>
    <t>대구오름</t>
    <phoneticPr fontId="1" type="noConversion"/>
  </si>
  <si>
    <t>딤플</t>
    <phoneticPr fontId="1" type="noConversion"/>
  </si>
  <si>
    <t>핌플</t>
    <phoneticPr fontId="1" type="noConversion"/>
  </si>
  <si>
    <t>파인애플</t>
    <phoneticPr fontId="1" type="noConversion"/>
  </si>
  <si>
    <t>벽</t>
    <phoneticPr fontId="1" type="noConversion"/>
  </si>
  <si>
    <t>바이킹</t>
    <phoneticPr fontId="1" type="noConversion"/>
  </si>
  <si>
    <t xml:space="preserve"> 예전에 아이가 오줌을 싸면 키를 씌운 후 모을/를 얻어오게 했다. 모는?</t>
    <phoneticPr fontId="1" type="noConversion"/>
  </si>
  <si>
    <t>소금</t>
    <phoneticPr fontId="1" type="noConversion"/>
  </si>
  <si>
    <t>유럽시트</t>
    <phoneticPr fontId="1" type="noConversion"/>
  </si>
  <si>
    <t>VAR</t>
    <phoneticPr fontId="1" type="noConversion"/>
  </si>
  <si>
    <t>사슴</t>
    <phoneticPr fontId="1" type="noConversion"/>
  </si>
  <si>
    <t>보그(Vogue)</t>
    <phoneticPr fontId="1" type="noConversion"/>
  </si>
  <si>
    <t>피너츠</t>
    <phoneticPr fontId="1" type="noConversion"/>
  </si>
  <si>
    <t>예그리나</t>
    <phoneticPr fontId="1" type="noConversion"/>
  </si>
  <si>
    <t xml:space="preserve"> 다음 중 국민훈장 등급을 나타내는 단어가 아닌 것은?</t>
    <phoneticPr fontId="1" type="noConversion"/>
  </si>
  <si>
    <t>개나리장</t>
    <phoneticPr fontId="1" type="noConversion"/>
  </si>
  <si>
    <t>모란장</t>
    <phoneticPr fontId="1" type="noConversion"/>
  </si>
  <si>
    <t>어반자카파</t>
    <phoneticPr fontId="1" type="noConversion"/>
  </si>
  <si>
    <t>어닝쇼크</t>
    <phoneticPr fontId="1" type="noConversion"/>
  </si>
  <si>
    <t xml:space="preserve"> 아이스 하키의 총 경기시간은 몇 분?</t>
    <phoneticPr fontId="1" type="noConversion"/>
  </si>
  <si>
    <t xml:space="preserve"> 다음 중 남아메리카 대륙에 속하지 않는 나라는?</t>
    <phoneticPr fontId="1" type="noConversion"/>
  </si>
  <si>
    <t xml:space="preserve"> 서로 편을 나누어 모형총이나 페인트총을 쏘는 레저 스포츠는?</t>
    <phoneticPr fontId="1" type="noConversion"/>
  </si>
  <si>
    <t>민방위 훈련</t>
    <phoneticPr fontId="1" type="noConversion"/>
  </si>
  <si>
    <t xml:space="preserve"> 2018 러시아월드컵의 폐막식이 열리는 도시는?</t>
    <phoneticPr fontId="1" type="noConversion"/>
  </si>
  <si>
    <t>동점골</t>
    <phoneticPr fontId="1" type="noConversion"/>
  </si>
  <si>
    <t>키예프</t>
    <phoneticPr fontId="1" type="noConversion"/>
  </si>
  <si>
    <t xml:space="preserve"> 호날두가 5번이나 받은 상으로, 매년 세계에서 가장 뛰어나게 활약한 축구선수에게 주는 상은?</t>
    <phoneticPr fontId="1" type="noConversion"/>
  </si>
  <si>
    <t>슈퍼 슬래미상</t>
    <phoneticPr fontId="1" type="noConversion"/>
  </si>
  <si>
    <t>13m</t>
    <phoneticPr fontId="1" type="noConversion"/>
  </si>
  <si>
    <t>대동법</t>
    <phoneticPr fontId="1" type="noConversion"/>
  </si>
  <si>
    <t>조현우</t>
    <phoneticPr fontId="1" type="noConversion"/>
  </si>
  <si>
    <t>캡틴박지성</t>
    <phoneticPr fontId="1" type="noConversion"/>
  </si>
  <si>
    <t xml:space="preserve"> 다음 중 소비지출 관련 용어는?</t>
    <phoneticPr fontId="1" type="noConversion"/>
  </si>
  <si>
    <t xml:space="preserve"> 다음 중 가장 높은 온도는?</t>
    <phoneticPr fontId="1" type="noConversion"/>
  </si>
  <si>
    <t xml:space="preserve"> 겨우 먼지나 날리지 않을 정도로 조금 내리는 비는?</t>
    <phoneticPr fontId="1" type="noConversion"/>
  </si>
  <si>
    <t>배진영</t>
    <phoneticPr fontId="1" type="noConversion"/>
  </si>
  <si>
    <t xml:space="preserve">박지훈 </t>
    <phoneticPr fontId="1" type="noConversion"/>
  </si>
  <si>
    <t>토트넘 - 웸블리</t>
    <phoneticPr fontId="1" type="noConversion"/>
  </si>
  <si>
    <t>무거운 물체를 들고 방문 손잡이를 돌릴 때 통증이 느껴졌다. 이때 사용한 손목의 관절가동범위는?</t>
    <phoneticPr fontId="1" type="noConversion"/>
  </si>
  <si>
    <t>ITQ-대한상공회의소</t>
    <phoneticPr fontId="1" type="noConversion"/>
  </si>
  <si>
    <t>KBO 삼성</t>
    <phoneticPr fontId="1" type="noConversion"/>
  </si>
  <si>
    <t>MLB 디트로이트</t>
    <phoneticPr fontId="1" type="noConversion"/>
  </si>
  <si>
    <t>승룡</t>
    <phoneticPr fontId="1" type="noConversion"/>
  </si>
  <si>
    <t xml:space="preserve">도림천역 </t>
    <phoneticPr fontId="1" type="noConversion"/>
  </si>
  <si>
    <t>서울 지하철 1~9호선이 맞는 역은?</t>
    <phoneticPr fontId="1" type="noConversion"/>
  </si>
  <si>
    <t xml:space="preserve">대모산입구역 </t>
    <phoneticPr fontId="1" type="noConversion"/>
  </si>
  <si>
    <t>골드칼라</t>
    <phoneticPr fontId="1" type="noConversion"/>
  </si>
  <si>
    <t>화금동</t>
    <phoneticPr fontId="1" type="noConversion"/>
  </si>
  <si>
    <t xml:space="preserve">다음중 프로듀스101 시즌2 최종 4위는? </t>
    <phoneticPr fontId="1" type="noConversion"/>
  </si>
  <si>
    <t>옹성우</t>
    <phoneticPr fontId="1" type="noConversion"/>
  </si>
  <si>
    <t>사자성어 의 &lt;사&gt;와 다른 한자는</t>
    <phoneticPr fontId="1" type="noConversion"/>
  </si>
  <si>
    <t>크루아상은 무엇읓 본 따 만든 빵인가</t>
    <phoneticPr fontId="1" type="noConversion"/>
  </si>
  <si>
    <t>흰나비</t>
    <phoneticPr fontId="1" type="noConversion"/>
  </si>
  <si>
    <t>우리나라 여름 날씨에 영향을 주는 기단은?</t>
    <phoneticPr fontId="1" type="noConversion"/>
  </si>
  <si>
    <t>문영주 아이돌그룹 아스트로의 뜻은?</t>
    <phoneticPr fontId="1" type="noConversion"/>
  </si>
  <si>
    <t>해</t>
    <phoneticPr fontId="1" type="noConversion"/>
  </si>
  <si>
    <t>3번</t>
    <phoneticPr fontId="1" type="noConversion"/>
  </si>
  <si>
    <t xml:space="preserve">골든볼(Golden ball) </t>
    <phoneticPr fontId="1" type="noConversion"/>
  </si>
  <si>
    <t>미국 본토 동쪽 서쪽 가로길이</t>
    <phoneticPr fontId="1" type="noConversion"/>
  </si>
  <si>
    <t>춘추관</t>
    <phoneticPr fontId="1" type="noConversion"/>
  </si>
  <si>
    <t>다음 중 한자 &lt;초&gt;가 다른 하나는?</t>
    <phoneticPr fontId="1" type="noConversion"/>
  </si>
  <si>
    <t>삼고초려</t>
    <phoneticPr fontId="1" type="noConversion"/>
  </si>
  <si>
    <t>기사회생</t>
    <phoneticPr fontId="1" type="noConversion"/>
  </si>
  <si>
    <t>천차만별</t>
    <phoneticPr fontId="1" type="noConversion"/>
  </si>
  <si>
    <t>팔 도마뱀'이라는 뜻을 가진 온순한 성격의 초식 공룡에 해당하는 것은?</t>
    <phoneticPr fontId="1" type="noConversion"/>
  </si>
  <si>
    <t>통가</t>
    <phoneticPr fontId="1" type="noConversion"/>
  </si>
  <si>
    <t>미국항공우주국(NASA)의 A는 무엇의 약자일까?</t>
    <phoneticPr fontId="1" type="noConversion"/>
  </si>
  <si>
    <t>Airplane</t>
    <phoneticPr fontId="1" type="noConversion"/>
  </si>
  <si>
    <t>스위스</t>
    <phoneticPr fontId="1" type="noConversion"/>
  </si>
  <si>
    <t>자유의 여신상을 미국에게 선물한 나라는?</t>
    <phoneticPr fontId="1" type="noConversion"/>
  </si>
  <si>
    <t>다음중 한자어인 것은?</t>
    <phoneticPr fontId="1" type="noConversion"/>
  </si>
  <si>
    <t>지로</t>
    <phoneticPr fontId="1" type="noConversion"/>
  </si>
  <si>
    <t>검정색</t>
    <phoneticPr fontId="1" type="noConversion"/>
  </si>
  <si>
    <t xml:space="preserve">칠레를 3W의 나라라고 하는데 여기에 해당하는 것은? </t>
    <phoneticPr fontId="1" type="noConversion"/>
  </si>
  <si>
    <t>이승도 다음중 한자어가 아닌것은?</t>
    <phoneticPr fontId="1" type="noConversion"/>
  </si>
  <si>
    <t>호랑이</t>
    <phoneticPr fontId="1" type="noConversion"/>
  </si>
  <si>
    <t>오이지, 단무지에서 '지'가 의미하는 것은?</t>
    <phoneticPr fontId="1" type="noConversion"/>
  </si>
  <si>
    <t>긴 막대</t>
    <phoneticPr fontId="1" type="noConversion"/>
  </si>
  <si>
    <t xml:space="preserve">보드랍고 화창한 바람을 의미하는 것은? </t>
    <phoneticPr fontId="1" type="noConversion"/>
  </si>
  <si>
    <t>김연자씨의 히트곡 아모르 파티(Amor fati)의 뜻은?</t>
    <phoneticPr fontId="1" type="noConversion"/>
  </si>
  <si>
    <t>잠자는 숲속의 공주는 몇살에 결혼했을까?</t>
    <phoneticPr fontId="1" type="noConversion"/>
  </si>
  <si>
    <t>20살</t>
    <phoneticPr fontId="1" type="noConversion"/>
  </si>
  <si>
    <t>120살</t>
    <phoneticPr fontId="1" type="noConversion"/>
  </si>
  <si>
    <t>BBQ</t>
    <phoneticPr fontId="1" type="noConversion"/>
  </si>
  <si>
    <t>파리 오르세 미술관이 소장한 백곰 조각을 만든 조각가의 이름은?</t>
    <phoneticPr fontId="1" type="noConversion"/>
  </si>
  <si>
    <t>전경진 역대 월드컵에서 2회이상 우승한 나라는?</t>
    <phoneticPr fontId="1" type="noConversion"/>
  </si>
  <si>
    <t>보퍼트의 풍력 계급 중 가장 약한 바람은?</t>
    <phoneticPr fontId="1" type="noConversion"/>
  </si>
  <si>
    <t>큰바람</t>
    <phoneticPr fontId="1" type="noConversion"/>
  </si>
  <si>
    <t>3시간</t>
  </si>
  <si>
    <t>3루수</t>
  </si>
  <si>
    <t>2루수</t>
  </si>
  <si>
    <t>현재 대한민국에서 3번째로 인구가 많은 도시는?</t>
  </si>
  <si>
    <t>다음 빛의 혼합으로 하얀색이 되는 조합은?</t>
  </si>
  <si>
    <t>심한 서릿발 속에서도 굴하지 않고 외로이 절개를 지킨다는 뜻인 "오상고절"이 가리키는 것은?</t>
  </si>
  <si>
    <t>2017.이후 출고된 190ml 이상 400ml 미만인 제품의 빈병 보증금은?</t>
  </si>
  <si>
    <t xml:space="preserve"> 70원</t>
  </si>
  <si>
    <t xml:space="preserve">세계 환경의 날의 슬로건이 아닌 것은 ? </t>
  </si>
  <si>
    <t>인구가 많은 나라는</t>
  </si>
  <si>
    <t>다음 중 섬이 아닌 것은?</t>
  </si>
  <si>
    <t xml:space="preserve">봉황의 꼬리 모양으로 만들어 의장(儀仗)으로 쓰던 부채를 뜻하는 것은? </t>
  </si>
  <si>
    <t>보편적으로 적용되는 성격 특성을 자신의 성격과 일치한다고 믿으려는 현상이 아닌 것은?</t>
  </si>
  <si>
    <t>피자헛의 로고 위에있는 모양은?</t>
  </si>
  <si>
    <t>다음 청소년증에 지원하지 않은 카드사는?</t>
  </si>
  <si>
    <t>민상이가 100m 달리기를 했다 그럼 1분 40초가 걸렸다. 그럼 평균 속도는 얼마? (?/s기준)</t>
  </si>
  <si>
    <t>나이가 꽤 들어서 어떤것을 시작하거나 성공한 사람을 이르는 말은?</t>
  </si>
  <si>
    <t xml:space="preserve"> 부산에서 가장 긴 다리는? </t>
    <phoneticPr fontId="1" type="noConversion"/>
  </si>
  <si>
    <t xml:space="preserve">몬더 그린 </t>
    <phoneticPr fontId="1" type="noConversion"/>
  </si>
  <si>
    <t>제노글로시</t>
    <phoneticPr fontId="1" type="noConversion"/>
  </si>
  <si>
    <t xml:space="preserve"> 다음 중 우리나라 특별자치도는 어디일까?</t>
    <phoneticPr fontId="1" type="noConversion"/>
  </si>
  <si>
    <t xml:space="preserve">서울 </t>
    <phoneticPr fontId="1" type="noConversion"/>
  </si>
  <si>
    <t>    허균</t>
    <phoneticPr fontId="1" type="noConversion"/>
  </si>
  <si>
    <t>    나뭇잎</t>
    <phoneticPr fontId="1" type="noConversion"/>
  </si>
  <si>
    <t>    종탑</t>
    <phoneticPr fontId="1" type="noConversion"/>
  </si>
  <si>
    <t>6개</t>
    <phoneticPr fontId="1" type="noConversion"/>
  </si>
  <si>
    <t>사이클론</t>
    <phoneticPr fontId="1" type="noConversion"/>
  </si>
  <si>
    <t xml:space="preserve"> 세계에서 가장 황당하고 어리석게 죽은 사람에게 주는 상은?</t>
    <phoneticPr fontId="1" type="noConversion"/>
  </si>
  <si>
    <t>눈</t>
    <phoneticPr fontId="1" type="noConversion"/>
  </si>
  <si>
    <t>맥주</t>
    <phoneticPr fontId="1" type="noConversion"/>
  </si>
  <si>
    <t>한용운</t>
    <phoneticPr fontId="1" type="noConversion"/>
  </si>
  <si>
    <t xml:space="preserve"> 고양이가 코 외에 냄새를 맡을 수 있는 기관은?</t>
    <phoneticPr fontId="1" type="noConversion"/>
  </si>
  <si>
    <t>입</t>
    <phoneticPr fontId="1" type="noConversion"/>
  </si>
  <si>
    <t>제주</t>
    <phoneticPr fontId="1" type="noConversion"/>
  </si>
  <si>
    <t>박수근</t>
    <phoneticPr fontId="1" type="noConversion"/>
  </si>
  <si>
    <t>황희 – 지봉</t>
    <phoneticPr fontId="1" type="noConversion"/>
  </si>
  <si>
    <t>참매미 1호</t>
    <phoneticPr fontId="1" type="noConversion"/>
  </si>
  <si>
    <t>월요일</t>
    <phoneticPr fontId="1" type="noConversion"/>
  </si>
  <si>
    <t>진달래꽃</t>
    <phoneticPr fontId="1" type="noConversion"/>
  </si>
  <si>
    <t xml:space="preserve"> 이스라엘의 위대한 왕 ‘솔로몬’의 이름 뜻은?</t>
    <phoneticPr fontId="1" type="noConversion"/>
  </si>
  <si>
    <t>평화</t>
    <phoneticPr fontId="1" type="noConversion"/>
  </si>
  <si>
    <t>평등</t>
    <phoneticPr fontId="1" type="noConversion"/>
  </si>
  <si>
    <t xml:space="preserve"> 삶의 질과 건강관리에 대한 관심으로 이에 관련된 소비가 증가하는 것을 일컫는 용어는?</t>
    <phoneticPr fontId="1" type="noConversion"/>
  </si>
  <si>
    <t xml:space="preserve"> 《구세군, 라면, 전골》 다음에서 연상되는 것은?</t>
    <phoneticPr fontId="1" type="noConversion"/>
  </si>
  <si>
    <t>빌 게이츠</t>
    <phoneticPr fontId="1" type="noConversion"/>
  </si>
  <si>
    <t>측우기</t>
    <phoneticPr fontId="1" type="noConversion"/>
  </si>
  <si>
    <t>화요일</t>
    <phoneticPr fontId="1" type="noConversion"/>
  </si>
  <si>
    <t>금요일</t>
    <phoneticPr fontId="1" type="noConversion"/>
  </si>
  <si>
    <t xml:space="preserve"> 올바른 우리말로 대체된 것이 아닌 것은?</t>
    <phoneticPr fontId="1" type="noConversion"/>
  </si>
  <si>
    <t>마카롱</t>
    <phoneticPr fontId="1" type="noConversion"/>
  </si>
  <si>
    <t>동의보감 – 허균</t>
    <phoneticPr fontId="1" type="noConversion"/>
  </si>
  <si>
    <t>홍역</t>
    <phoneticPr fontId="1" type="noConversion"/>
  </si>
  <si>
    <t xml:space="preserve"> 해리포터에서 호그와트 기숙사이름과 기숙사를 상징하는 동물이 일치하지 않는 것은?</t>
    <phoneticPr fontId="1" type="noConversion"/>
  </si>
  <si>
    <t xml:space="preserve"> ‘삶은 문제 해결의 연속이다’라고 말한 철학자는?</t>
    <phoneticPr fontId="1" type="noConversion"/>
  </si>
  <si>
    <t>삼고초려</t>
    <phoneticPr fontId="1" type="noConversion"/>
  </si>
  <si>
    <t xml:space="preserve"> 소설 ‘셜록홈즈’의 작가는?</t>
    <phoneticPr fontId="1" type="noConversion"/>
  </si>
  <si>
    <t>김도일</t>
    <phoneticPr fontId="1" type="noConversion"/>
  </si>
  <si>
    <t>파쿠르</t>
    <phoneticPr fontId="1" type="noConversion"/>
  </si>
  <si>
    <t>한화</t>
    <phoneticPr fontId="1" type="noConversion"/>
  </si>
  <si>
    <t>한해</t>
    <phoneticPr fontId="1" type="noConversion"/>
  </si>
  <si>
    <t xml:space="preserve">네팔 구르카족 </t>
    <phoneticPr fontId="1" type="noConversion"/>
  </si>
  <si>
    <t xml:space="preserve"> 우리나라에서 우표를 제조하는 곳은?</t>
    <phoneticPr fontId="1" type="noConversion"/>
  </si>
  <si>
    <t xml:space="preserve">한국조폐공사  </t>
    <phoneticPr fontId="1" type="noConversion"/>
  </si>
  <si>
    <t>자라</t>
    <phoneticPr fontId="1" type="noConversion"/>
  </si>
  <si>
    <t>시나로브</t>
    <phoneticPr fontId="1" type="noConversion"/>
  </si>
  <si>
    <t>평등선거</t>
    <phoneticPr fontId="1" type="noConversion"/>
  </si>
  <si>
    <t xml:space="preserve">간접선거 </t>
    <phoneticPr fontId="1" type="noConversion"/>
  </si>
  <si>
    <t xml:space="preserve">자연농원 </t>
    <phoneticPr fontId="1" type="noConversion"/>
  </si>
  <si>
    <t>문재인 대통령</t>
    <phoneticPr fontId="1" type="noConversion"/>
  </si>
  <si>
    <t xml:space="preserve"> ‘서로 동시에 감시한다’는 뜻으로 대중이 권력자를 감시할 수 있다는 의미로 쓰이는 용어는?</t>
    <phoneticPr fontId="1" type="noConversion"/>
  </si>
  <si>
    <t>52세</t>
    <phoneticPr fontId="1" type="noConversion"/>
  </si>
  <si>
    <t xml:space="preserve">61세 </t>
    <phoneticPr fontId="1" type="noConversion"/>
  </si>
  <si>
    <t>1회</t>
    <phoneticPr fontId="1" type="noConversion"/>
  </si>
  <si>
    <t xml:space="preserve">3회 </t>
    <phoneticPr fontId="1" type="noConversion"/>
  </si>
  <si>
    <t xml:space="preserve"> 초밥에 들어가는 ‘배합초’에 들어가지 않는 것은?</t>
    <phoneticPr fontId="1" type="noConversion"/>
  </si>
  <si>
    <t xml:space="preserve"> 미국 공화당의 상징으로 알맞은 동물은?</t>
    <phoneticPr fontId="1" type="noConversion"/>
  </si>
  <si>
    <t>Amuse Bouche(아뮤즈 부쉬)</t>
    <phoneticPr fontId="1" type="noConversion"/>
  </si>
  <si>
    <t xml:space="preserve">아브라즈 알 바이트 타워 </t>
    <phoneticPr fontId="1" type="noConversion"/>
  </si>
  <si>
    <t>산재보험</t>
    <phoneticPr fontId="1" type="noConversion"/>
  </si>
  <si>
    <t>양</t>
    <phoneticPr fontId="1" type="noConversion"/>
  </si>
  <si>
    <t>금강,한수</t>
    <phoneticPr fontId="1" type="noConversion"/>
  </si>
  <si>
    <t>카르노타우루스</t>
    <phoneticPr fontId="1" type="noConversion"/>
  </si>
  <si>
    <t>람바다</t>
    <phoneticPr fontId="1" type="noConversion"/>
  </si>
  <si>
    <t>깎두기</t>
    <phoneticPr fontId="1" type="noConversion"/>
  </si>
  <si>
    <t>깍뚜기</t>
    <phoneticPr fontId="1" type="noConversion"/>
  </si>
  <si>
    <t>소확행</t>
    <phoneticPr fontId="1" type="noConversion"/>
  </si>
  <si>
    <t>김애란</t>
    <phoneticPr fontId="1" type="noConversion"/>
  </si>
  <si>
    <t>86cm</t>
    <phoneticPr fontId="1" type="noConversion"/>
  </si>
  <si>
    <t>세비야 대성당</t>
    <phoneticPr fontId="1" type="noConversion"/>
  </si>
  <si>
    <t xml:space="preserve"> 다음 중 야구에서 사이클링히트에 해당하지 않는 것은?</t>
    <phoneticPr fontId="1" type="noConversion"/>
  </si>
  <si>
    <t xml:space="preserve"> 전세계 기업 중에서 시가총액이 1위인 기업은?(2018년 6월 5일 기준)</t>
    <phoneticPr fontId="1" type="noConversion"/>
  </si>
  <si>
    <t>애플</t>
    <phoneticPr fontId="1" type="noConversion"/>
  </si>
  <si>
    <t>손에 손잡고</t>
    <phoneticPr fontId="1" type="noConversion"/>
  </si>
  <si>
    <t>마가린 – 이뽈리뜨 마가린</t>
    <phoneticPr fontId="1" type="noConversion"/>
  </si>
  <si>
    <t>캐나다</t>
    <phoneticPr fontId="1" type="noConversion"/>
  </si>
  <si>
    <t xml:space="preserve"> 다음 중 시대적 배경이 다른 영화는?</t>
    <phoneticPr fontId="1" type="noConversion"/>
  </si>
  <si>
    <t>워 호스(스티븐 스필버그)</t>
    <phoneticPr fontId="1" type="noConversion"/>
  </si>
  <si>
    <t>이오지마에서 온 편지(클린트 이스트우드)</t>
    <phoneticPr fontId="1" type="noConversion"/>
  </si>
  <si>
    <t>진주만(마이클 베이)</t>
    <phoneticPr fontId="1" type="noConversion"/>
  </si>
  <si>
    <t>모모랜드</t>
    <phoneticPr fontId="1" type="noConversion"/>
  </si>
  <si>
    <t xml:space="preserve"> “□로/으로 주고 말로 받는다” 빈칸에 들어갈 말은?</t>
    <phoneticPr fontId="1" type="noConversion"/>
  </si>
  <si>
    <t>열혈강호</t>
    <phoneticPr fontId="1" type="noConversion"/>
  </si>
  <si>
    <t>SSD</t>
    <phoneticPr fontId="1" type="noConversion"/>
  </si>
  <si>
    <t>OS</t>
    <phoneticPr fontId="1" type="noConversion"/>
  </si>
  <si>
    <t>카드론</t>
    <phoneticPr fontId="1" type="noConversion"/>
  </si>
  <si>
    <t>현금서비스</t>
    <phoneticPr fontId="1" type="noConversion"/>
  </si>
  <si>
    <t>칠레</t>
    <phoneticPr fontId="1" type="noConversion"/>
  </si>
  <si>
    <t>기집애</t>
    <phoneticPr fontId="1" type="noConversion"/>
  </si>
  <si>
    <t xml:space="preserve"> 가장 약한 고리가 쇠사슬 전체의 힘을 결정한다는 법칙은?</t>
    <phoneticPr fontId="1" type="noConversion"/>
  </si>
  <si>
    <t xml:space="preserve"> ‘풀이나 나무를 베고 남은 밑동’을 가리키는 순우리말은?</t>
    <phoneticPr fontId="1" type="noConversion"/>
  </si>
  <si>
    <t>그루터기</t>
    <phoneticPr fontId="1" type="noConversion"/>
  </si>
  <si>
    <t>에그메일 (egg mail)</t>
    <phoneticPr fontId="1" type="noConversion"/>
  </si>
  <si>
    <t>칩스메일 (chips mail)</t>
    <phoneticPr fontId="1" type="noConversion"/>
  </si>
  <si>
    <t xml:space="preserve"> 대한민국 헌법에 명시된 국민의 4대 의무가 아닌 것은?</t>
    <phoneticPr fontId="1" type="noConversion"/>
  </si>
  <si>
    <t>행복의 의무</t>
    <phoneticPr fontId="1" type="noConversion"/>
  </si>
  <si>
    <t>매화</t>
    <phoneticPr fontId="1" type="noConversion"/>
  </si>
  <si>
    <t>난초</t>
    <phoneticPr fontId="1" type="noConversion"/>
  </si>
  <si>
    <t xml:space="preserve"> 의회에서 법안통과를 막기 위한 합법적인 방해 행위는?</t>
    <phoneticPr fontId="1" type="noConversion"/>
  </si>
  <si>
    <t>필리버스터</t>
    <phoneticPr fontId="1" type="noConversion"/>
  </si>
  <si>
    <t>필립코스터</t>
    <phoneticPr fontId="1" type="noConversion"/>
  </si>
  <si>
    <t>설악산</t>
    <phoneticPr fontId="1" type="noConversion"/>
  </si>
  <si>
    <t>파더모빌</t>
    <phoneticPr fontId="1" type="noConversion"/>
  </si>
  <si>
    <t>MSC</t>
    <phoneticPr fontId="1" type="noConversion"/>
  </si>
  <si>
    <t>30mm</t>
    <phoneticPr fontId="1" type="noConversion"/>
  </si>
  <si>
    <t>70mm</t>
    <phoneticPr fontId="1" type="noConversion"/>
  </si>
  <si>
    <t>인도 영양</t>
    <phoneticPr fontId="1" type="noConversion"/>
  </si>
  <si>
    <t xml:space="preserve"> 버뮤다 삼각지대로 유명한 버뮤다 섬은 어느 나라의 자치 속령인가?</t>
    <phoneticPr fontId="1" type="noConversion"/>
  </si>
  <si>
    <t xml:space="preserve"> 다음 중 브랜드 창립자간 형제 사이가 아닌 것은?</t>
    <phoneticPr fontId="1" type="noConversion"/>
  </si>
  <si>
    <t>아디다스</t>
    <phoneticPr fontId="1" type="noConversion"/>
  </si>
  <si>
    <t>나이키</t>
    <phoneticPr fontId="1" type="noConversion"/>
  </si>
  <si>
    <t>푸마</t>
    <phoneticPr fontId="1" type="noConversion"/>
  </si>
  <si>
    <t xml:space="preserve"> ‘닭 잡아먹고 ()내놓기’에서 ()안에 것은?</t>
    <phoneticPr fontId="1" type="noConversion"/>
  </si>
  <si>
    <t>오리털</t>
    <phoneticPr fontId="1" type="noConversion"/>
  </si>
  <si>
    <t>오리발</t>
    <phoneticPr fontId="1" type="noConversion"/>
  </si>
  <si>
    <t xml:space="preserve"> 세진은 ‘손 없는 날’에 이사할 예정인데, 이때 ‘손’의 의미는?</t>
    <phoneticPr fontId="1" type="noConversion"/>
  </si>
  <si>
    <t>비</t>
    <phoneticPr fontId="1" type="noConversion"/>
  </si>
  <si>
    <t>악귀</t>
    <phoneticPr fontId="1" type="noConversion"/>
  </si>
  <si>
    <t xml:space="preserve"> 태권도에서 가장 그빙 낮은 띠는?</t>
    <phoneticPr fontId="1" type="noConversion"/>
  </si>
  <si>
    <t>노란 띠</t>
    <phoneticPr fontId="1" type="noConversion"/>
  </si>
  <si>
    <t>흰 띠</t>
    <phoneticPr fontId="1" type="noConversion"/>
  </si>
  <si>
    <t>빨간 띠</t>
    <phoneticPr fontId="1" type="noConversion"/>
  </si>
  <si>
    <t>배를 때린다</t>
    <phoneticPr fontId="1" type="noConversion"/>
  </si>
  <si>
    <t xml:space="preserve"> ‘(), 겨우 요만큼?’에서 ()의 바른 표기는 무엇일까?</t>
    <phoneticPr fontId="1" type="noConversion"/>
  </si>
  <si>
    <t>에게</t>
    <phoneticPr fontId="1" type="noConversion"/>
  </si>
  <si>
    <t>퍼스트 펭귄</t>
    <phoneticPr fontId="1" type="noConversion"/>
  </si>
  <si>
    <t xml:space="preserve"> 우리나라가 일본에게 국권을 강탈당한 날인 국치일은 언제일까?</t>
    <phoneticPr fontId="1" type="noConversion"/>
  </si>
  <si>
    <t xml:space="preserve"> 올림픽 오륜기에서 ‘유럽’을 상징하는 색은?</t>
    <phoneticPr fontId="1" type="noConversion"/>
  </si>
  <si>
    <t>빨강</t>
    <phoneticPr fontId="1" type="noConversion"/>
  </si>
  <si>
    <t>경복궁</t>
    <phoneticPr fontId="1" type="noConversion"/>
  </si>
  <si>
    <t>창경궁</t>
    <phoneticPr fontId="1" type="noConversion"/>
  </si>
  <si>
    <t>남녀칠세 부동자세</t>
    <phoneticPr fontId="1" type="noConversion"/>
  </si>
  <si>
    <t>남녀칠세 부동석</t>
    <phoneticPr fontId="1" type="noConversion"/>
  </si>
  <si>
    <t>스몸비</t>
    <phoneticPr fontId="1" type="noConversion"/>
  </si>
  <si>
    <t>9개</t>
    <phoneticPr fontId="1" type="noConversion"/>
  </si>
  <si>
    <t>마타하리</t>
    <phoneticPr fontId="1" type="noConversion"/>
  </si>
  <si>
    <t xml:space="preserve"> 다음 중 실제로 존재하지 않는 학교는?</t>
    <phoneticPr fontId="1" type="noConversion"/>
  </si>
  <si>
    <t>이효리 초등학교</t>
    <phoneticPr fontId="1" type="noConversion"/>
  </si>
  <si>
    <t>비틀즈</t>
    <phoneticPr fontId="1" type="noConversion"/>
  </si>
  <si>
    <t>퀸</t>
    <phoneticPr fontId="1" type="noConversion"/>
  </si>
  <si>
    <t>머라이어 캐리</t>
    <phoneticPr fontId="1" type="noConversion"/>
  </si>
  <si>
    <t xml:space="preserve"> ‘트로피’의 어원은 무엇일까?</t>
    <phoneticPr fontId="1" type="noConversion"/>
  </si>
  <si>
    <t>패배</t>
    <phoneticPr fontId="1" type="noConversion"/>
  </si>
  <si>
    <t xml:space="preserve"> ‘집단토론회의’를 뜻하는 ‘심포지엄’은 어떤 말에서 유래했을까?</t>
    <phoneticPr fontId="1" type="noConversion"/>
  </si>
  <si>
    <t xml:space="preserve"> 한국에서 천만 관객수를 넘지 못한 영화는?</t>
    <phoneticPr fontId="1" type="noConversion"/>
  </si>
  <si>
    <t xml:space="preserve"> 동요 ‘섬집아기’에서 엄마가 따러 간 것은?</t>
    <phoneticPr fontId="1" type="noConversion"/>
  </si>
  <si>
    <t>출생신고 시</t>
    <phoneticPr fontId="1" type="noConversion"/>
  </si>
  <si>
    <t>고등학교 2학년</t>
    <phoneticPr fontId="1" type="noConversion"/>
  </si>
  <si>
    <t>쌀가마니</t>
    <phoneticPr fontId="1" type="noConversion"/>
  </si>
  <si>
    <t>드라이</t>
    <phoneticPr fontId="1" type="noConversion"/>
  </si>
  <si>
    <t>메이크업</t>
    <phoneticPr fontId="1" type="noConversion"/>
  </si>
  <si>
    <t>너의 이름은</t>
    <phoneticPr fontId="1" type="noConversion"/>
  </si>
  <si>
    <t xml:space="preserve"> 두 가지 이상 악재가 동시에 발생할 때를 가리키는 경제 용어는?</t>
    <phoneticPr fontId="1" type="noConversion"/>
  </si>
  <si>
    <t>six</t>
    <phoneticPr fontId="1" type="noConversion"/>
  </si>
  <si>
    <t>sept</t>
    <phoneticPr fontId="1" type="noConversion"/>
  </si>
  <si>
    <t>sechs</t>
    <phoneticPr fontId="1" type="noConversion"/>
  </si>
  <si>
    <t xml:space="preserve"> 국내 최초 인터넷 전문 은행은?</t>
    <phoneticPr fontId="1" type="noConversion"/>
  </si>
  <si>
    <t>케이뱅크</t>
    <phoneticPr fontId="1" type="noConversion"/>
  </si>
  <si>
    <t>카카오뱅크</t>
    <phoneticPr fontId="1" type="noConversion"/>
  </si>
  <si>
    <t>페이큐뱅크</t>
    <phoneticPr fontId="1" type="noConversion"/>
  </si>
  <si>
    <t>30년</t>
    <phoneticPr fontId="1" type="noConversion"/>
  </si>
  <si>
    <t xml:space="preserve"> 다음 중 순우리말은?</t>
    <phoneticPr fontId="1" type="noConversion"/>
  </si>
  <si>
    <t>헹가래</t>
    <phoneticPr fontId="1" type="noConversion"/>
  </si>
  <si>
    <t>개근상</t>
    <phoneticPr fontId="1" type="noConversion"/>
  </si>
  <si>
    <t>꼼지락</t>
    <phoneticPr fontId="1" type="noConversion"/>
  </si>
  <si>
    <t>노래</t>
    <phoneticPr fontId="1" type="noConversion"/>
  </si>
  <si>
    <t>자치기</t>
    <phoneticPr fontId="1" type="noConversion"/>
  </si>
  <si>
    <t>배치기</t>
    <phoneticPr fontId="1" type="noConversion"/>
  </si>
  <si>
    <t xml:space="preserve"> 스웨덴 그룹 ABBA의 노래들을 이야기로 엮은 뮤지컬은?</t>
    <phoneticPr fontId="1" type="noConversion"/>
  </si>
  <si>
    <t xml:space="preserve"> 1984년 《LA타임스》가 처음으로 사용한‘보복·난폭 운전’을 뜻하는 말은?</t>
    <phoneticPr fontId="1" type="noConversion"/>
  </si>
  <si>
    <t>패스트&amp;퓨리어스</t>
    <phoneticPr fontId="1" type="noConversion"/>
  </si>
  <si>
    <t>로드레이지</t>
    <phoneticPr fontId="1" type="noConversion"/>
  </si>
  <si>
    <t>봉황의 노래소리</t>
    <phoneticPr fontId="1" type="noConversion"/>
  </si>
  <si>
    <t xml:space="preserve"> 체포영장이 발부된 주요 도피사범을 현지 경찰이 수배­검거하는 것은?</t>
    <phoneticPr fontId="1" type="noConversion"/>
  </si>
  <si>
    <t>청색수배</t>
    <phoneticPr fontId="1" type="noConversion"/>
  </si>
  <si>
    <t>레스큐어</t>
    <phoneticPr fontId="1" type="noConversion"/>
  </si>
  <si>
    <t>트위터</t>
    <phoneticPr fontId="1" type="noConversion"/>
  </si>
  <si>
    <t>페이스북</t>
    <phoneticPr fontId="1" type="noConversion"/>
  </si>
  <si>
    <t xml:space="preserve"> 반도체, 태양전지, 합금재료 등으로 사용되며 실리콘이라 부르기도 하는 물질은?</t>
    <phoneticPr fontId="1" type="noConversion"/>
  </si>
  <si>
    <t>포타슘</t>
    <phoneticPr fontId="1" type="noConversion"/>
  </si>
  <si>
    <t xml:space="preserve"> 다음 중 ‘축구’를 뜻하는 단어가 아닌 것은?</t>
    <phoneticPr fontId="1" type="noConversion"/>
  </si>
  <si>
    <t xml:space="preserve"> 2018 월드컵에 출전하는 우리나라의 최종 엔트리는 몇 명일까?</t>
    <phoneticPr fontId="1" type="noConversion"/>
  </si>
  <si>
    <t>11명</t>
    <phoneticPr fontId="1" type="noConversion"/>
  </si>
  <si>
    <t xml:space="preserve"> FIFA월드컵에서 최다 득점한 기록을 선수에게 수여하는 상은?</t>
    <phoneticPr fontId="1" type="noConversion"/>
  </si>
  <si>
    <t>골든볼(Golden ball)</t>
    <phoneticPr fontId="1" type="noConversion"/>
  </si>
  <si>
    <t xml:space="preserve"> 우리나라 역대 최고 FIFA랭킹은 몇위일까?</t>
    <phoneticPr fontId="1" type="noConversion"/>
  </si>
  <si>
    <t>16위</t>
    <phoneticPr fontId="1" type="noConversion"/>
  </si>
  <si>
    <t>미셸 플라티니</t>
    <phoneticPr fontId="1" type="noConversion"/>
  </si>
  <si>
    <t xml:space="preserve"> 월드컵 역대 최다골 기록 보유자는?</t>
    <phoneticPr fontId="1" type="noConversion"/>
  </si>
  <si>
    <t>미로슬라프 클로제</t>
    <phoneticPr fontId="1" type="noConversion"/>
  </si>
  <si>
    <t>율무국</t>
    <phoneticPr fontId="1" type="noConversion"/>
  </si>
  <si>
    <t>율도국</t>
    <phoneticPr fontId="1" type="noConversion"/>
  </si>
  <si>
    <t>Ctrl+C – 복사하기</t>
    <phoneticPr fontId="1" type="noConversion"/>
  </si>
  <si>
    <t>AOA</t>
    <phoneticPr fontId="1" type="noConversion"/>
  </si>
  <si>
    <t>레드벨벳</t>
    <phoneticPr fontId="1" type="noConversion"/>
  </si>
  <si>
    <t>풍차</t>
    <phoneticPr fontId="1" type="noConversion"/>
  </si>
  <si>
    <t xml:space="preserve"> 일제강점기의 기간으로 맞는 것은?</t>
    <phoneticPr fontId="1" type="noConversion"/>
  </si>
  <si>
    <t>슬리포노믹스</t>
    <phoneticPr fontId="1" type="noConversion"/>
  </si>
  <si>
    <t xml:space="preserve"> 《지식은 □과 함께 자란다》 - 괴테</t>
    <phoneticPr fontId="1" type="noConversion"/>
  </si>
  <si>
    <t>의심</t>
    <phoneticPr fontId="1" type="noConversion"/>
  </si>
  <si>
    <t>알쇠를 주다</t>
    <phoneticPr fontId="1" type="noConversion"/>
  </si>
  <si>
    <t>포퓰리즘</t>
    <phoneticPr fontId="1" type="noConversion"/>
  </si>
  <si>
    <t>에어리즘</t>
    <phoneticPr fontId="1" type="noConversion"/>
  </si>
  <si>
    <t xml:space="preserve"> 《피라미드, 클레오파트라, 아낙수나문》 연상되는 나라는?</t>
    <phoneticPr fontId="1" type="noConversion"/>
  </si>
  <si>
    <t>21초</t>
    <phoneticPr fontId="1" type="noConversion"/>
  </si>
  <si>
    <t>24초</t>
    <phoneticPr fontId="1" type="noConversion"/>
  </si>
  <si>
    <t>26초</t>
    <phoneticPr fontId="1" type="noConversion"/>
  </si>
  <si>
    <t xml:space="preserve"> 다음 중 에스프레소 기반 음료가 아닌 것은?</t>
    <phoneticPr fontId="1" type="noConversion"/>
  </si>
  <si>
    <t>아인슈페너</t>
    <phoneticPr fontId="1" type="noConversion"/>
  </si>
  <si>
    <t>누벨바그</t>
    <phoneticPr fontId="1" type="noConversion"/>
  </si>
  <si>
    <t>다다이즘</t>
    <phoneticPr fontId="1" type="noConversion"/>
  </si>
  <si>
    <t xml:space="preserve"> 첨단 제품에 예술을 접목시켜 브랜드의 품격을 높이는 마케팅 기법은?</t>
    <phoneticPr fontId="1" type="noConversion"/>
  </si>
  <si>
    <t>인플루언서 마케팅</t>
    <phoneticPr fontId="1" type="noConversion"/>
  </si>
  <si>
    <t>스푸너리즘</t>
    <phoneticPr fontId="1" type="noConversion"/>
  </si>
  <si>
    <t xml:space="preserve"> 다음 중 백합과에 속는 작물이 아닌 것은?</t>
    <phoneticPr fontId="1" type="noConversion"/>
  </si>
  <si>
    <t>양파</t>
    <phoneticPr fontId="1" type="noConversion"/>
  </si>
  <si>
    <t>호사다마</t>
    <phoneticPr fontId="1" type="noConversion"/>
  </si>
  <si>
    <t xml:space="preserve"> 사이버 공간에서 사용자의 분신(分身)처럼 사용되는 그래픽 이미지는?</t>
    <phoneticPr fontId="1" type="noConversion"/>
  </si>
  <si>
    <t>세인트 버나드</t>
    <phoneticPr fontId="1" type="noConversion"/>
  </si>
  <si>
    <t>빈지노</t>
    <phoneticPr fontId="1" type="noConversion"/>
  </si>
  <si>
    <t xml:space="preserve"> 《굿이나 보고 □이나 먹지》 에 들어갈 말은?</t>
    <phoneticPr fontId="1" type="noConversion"/>
  </si>
  <si>
    <t>꿀</t>
    <phoneticPr fontId="1" type="noConversion"/>
  </si>
  <si>
    <t>토마스 제퍼슨</t>
    <phoneticPr fontId="1" type="noConversion"/>
  </si>
  <si>
    <t xml:space="preserve"> 비디오 아트의 창시자는?</t>
    <phoneticPr fontId="1" type="noConversion"/>
  </si>
  <si>
    <t>앤디 워홀</t>
    <phoneticPr fontId="1" type="noConversion"/>
  </si>
  <si>
    <t xml:space="preserve"> 《배고픈 민상은 햄버거를 □ 물었다》 알맞은 말은?</t>
    <phoneticPr fontId="1" type="noConversion"/>
  </si>
  <si>
    <t>색바람</t>
    <phoneticPr fontId="1" type="noConversion"/>
  </si>
  <si>
    <t>살바람</t>
    <phoneticPr fontId="1" type="noConversion"/>
  </si>
  <si>
    <t>나트륨 – 노란색</t>
    <phoneticPr fontId="1" type="noConversion"/>
  </si>
  <si>
    <t xml:space="preserve"> 수도와 국명이 다른나라는?</t>
    <phoneticPr fontId="1" type="noConversion"/>
  </si>
  <si>
    <t>룩쌤부르크</t>
    <phoneticPr fontId="1" type="noConversion"/>
  </si>
  <si>
    <t>머그샷</t>
    <phoneticPr fontId="1" type="noConversion"/>
  </si>
  <si>
    <t>블루</t>
    <phoneticPr fontId="1" type="noConversion"/>
  </si>
  <si>
    <t xml:space="preserve"> Mnet &lt;프로듀스 101&gt;출신 멤버가 없는 걸그룹은?</t>
    <phoneticPr fontId="1" type="noConversion"/>
  </si>
  <si>
    <t>러블리즈</t>
    <phoneticPr fontId="1" type="noConversion"/>
  </si>
  <si>
    <t>구스타프 클림트</t>
    <phoneticPr fontId="1" type="noConversion"/>
  </si>
  <si>
    <t xml:space="preserve"> 다음 중 세계에서 길이가 가장 긴 산맥은?</t>
    <phoneticPr fontId="1" type="noConversion"/>
  </si>
  <si>
    <t xml:space="preserve"> 세계 최초의 인공위성 이름은?</t>
    <phoneticPr fontId="1" type="noConversion"/>
  </si>
  <si>
    <t>아폴로 1호</t>
    <phoneticPr fontId="1" type="noConversion"/>
  </si>
  <si>
    <t>미드가르드</t>
    <phoneticPr fontId="1" type="noConversion"/>
  </si>
  <si>
    <t>아스가르드</t>
    <phoneticPr fontId="1" type="noConversion"/>
  </si>
  <si>
    <t>상사병</t>
    <phoneticPr fontId="1" type="noConversion"/>
  </si>
  <si>
    <t>조현병</t>
    <phoneticPr fontId="1" type="noConversion"/>
  </si>
  <si>
    <t>스팀 문명</t>
    <phoneticPr fontId="1" type="noConversion"/>
  </si>
  <si>
    <t xml:space="preserve"> 다음 중 ‘고양이과’에 해당하지 않은 것은?</t>
    <phoneticPr fontId="1" type="noConversion"/>
  </si>
  <si>
    <t xml:space="preserve"> 24절기 중 첫 번째 절기는?</t>
    <phoneticPr fontId="1" type="noConversion"/>
  </si>
  <si>
    <t>입춘</t>
    <phoneticPr fontId="1" type="noConversion"/>
  </si>
  <si>
    <t>스텔스 세금</t>
    <phoneticPr fontId="1" type="noConversion"/>
  </si>
  <si>
    <t>시베리아 기단</t>
    <phoneticPr fontId="1" type="noConversion"/>
  </si>
  <si>
    <t>뇌 트림</t>
    <phoneticPr fontId="1" type="noConversion"/>
  </si>
  <si>
    <t>뇌 방귀</t>
    <phoneticPr fontId="1" type="noConversion"/>
  </si>
  <si>
    <t xml:space="preserve"> &lt;모의 양을 속여 팔면 그 벌로 물속에 던져 익사시킨다&gt; - 함무라비 법전</t>
    <phoneticPr fontId="1" type="noConversion"/>
  </si>
  <si>
    <t>커피</t>
    <phoneticPr fontId="1" type="noConversion"/>
  </si>
  <si>
    <t>아마겟돈</t>
    <phoneticPr fontId="1" type="noConversion"/>
  </si>
  <si>
    <t>퓰리처상</t>
    <phoneticPr fontId="1" type="noConversion"/>
  </si>
  <si>
    <t>삼보</t>
    <phoneticPr fontId="1" type="noConversion"/>
  </si>
  <si>
    <t xml:space="preserve"> 컴퓨터 시스템을 사용할 수 없도록 만든 뒤, 이를 통해 금전을 요구하는 악성 프로그램은?</t>
    <phoneticPr fontId="1" type="noConversion"/>
  </si>
  <si>
    <t>비치웨어</t>
    <phoneticPr fontId="1" type="noConversion"/>
  </si>
  <si>
    <t>닥터 스트레인지</t>
    <phoneticPr fontId="1" type="noConversion"/>
  </si>
  <si>
    <t xml:space="preserve"> &lt;상대방에 대한 이미지는 비언어적 요소가 더 큰 영향을 준다&gt;는 법칙은?</t>
    <phoneticPr fontId="1" type="noConversion"/>
  </si>
  <si>
    <t xml:space="preserve"> 고대 그리스에서는 모에 이름을 써서 투표하는 선거를 실시했다. 모는?</t>
    <phoneticPr fontId="1" type="noConversion"/>
  </si>
  <si>
    <t>동물 가죽</t>
    <phoneticPr fontId="1" type="noConversion"/>
  </si>
  <si>
    <t>애당초</t>
    <phoneticPr fontId="1" type="noConversion"/>
  </si>
  <si>
    <t xml:space="preserve"> 주거지에 빈 집이 기하급수적으로 늘어나 사회 문제로 번지는 것을 뜻하는 말은?</t>
    <phoneticPr fontId="1" type="noConversion"/>
  </si>
  <si>
    <t>엠티타운</t>
    <phoneticPr fontId="1" type="noConversion"/>
  </si>
  <si>
    <t>AB형</t>
    <phoneticPr fontId="1" type="noConversion"/>
  </si>
  <si>
    <t>율곡 이이</t>
    <phoneticPr fontId="1" type="noConversion"/>
  </si>
  <si>
    <t>퇴계 이황</t>
    <phoneticPr fontId="1" type="noConversion"/>
  </si>
  <si>
    <t>벵뒤굴</t>
    <phoneticPr fontId="1" type="noConversion"/>
  </si>
  <si>
    <t>쌍용동굴</t>
    <phoneticPr fontId="1" type="noConversion"/>
  </si>
  <si>
    <t>맛있는 녀석들</t>
    <phoneticPr fontId="1" type="noConversion"/>
  </si>
  <si>
    <t>스누커</t>
    <phoneticPr fontId="1" type="noConversion"/>
  </si>
  <si>
    <t xml:space="preserve"> 스쿠버 다이빙의 가장 입문단계 자격증은?</t>
    <phoneticPr fontId="1" type="noConversion"/>
  </si>
  <si>
    <t>클로즈드 베타</t>
    <phoneticPr fontId="1" type="noConversion"/>
  </si>
  <si>
    <t xml:space="preserve"> 볼링에서 퍼펙트 게임의 점수는 몇점일까?</t>
    <phoneticPr fontId="1" type="noConversion"/>
  </si>
  <si>
    <t xml:space="preserve"> 시리즈 사상 최고 오프닝 성적을 거둔 오션스 시리즈는? (북미 박스오피스)</t>
    <phoneticPr fontId="1" type="noConversion"/>
  </si>
  <si>
    <t>PG – Perfect Grade</t>
    <phoneticPr fontId="1" type="noConversion"/>
  </si>
  <si>
    <t>MG – Main Grade</t>
    <phoneticPr fontId="1" type="noConversion"/>
  </si>
  <si>
    <t>록키 호러 픽쳐 쇼</t>
    <phoneticPr fontId="1" type="noConversion"/>
  </si>
  <si>
    <t>가야금</t>
    <phoneticPr fontId="1" type="noConversion"/>
  </si>
  <si>
    <t>해금</t>
    <phoneticPr fontId="1" type="noConversion"/>
  </si>
  <si>
    <t>민주선거 70주년</t>
    <phoneticPr fontId="1" type="noConversion"/>
  </si>
  <si>
    <t>독립기념관 개관 30주년</t>
    <phoneticPr fontId="1" type="noConversion"/>
  </si>
  <si>
    <t>출렁다리</t>
    <phoneticPr fontId="1" type="noConversion"/>
  </si>
  <si>
    <t>오작교</t>
    <phoneticPr fontId="1" type="noConversion"/>
  </si>
  <si>
    <t xml:space="preserve"> 1×2×3×4×5×6×7×8×9×0=?</t>
    <phoneticPr fontId="1" type="noConversion"/>
  </si>
  <si>
    <t>‘청각적 자극에 반응하여 나타나는 심리적 안정감 등의 경험’을 나타내는 용어는?</t>
    <phoneticPr fontId="1" type="noConversion"/>
  </si>
  <si>
    <t>ASAP</t>
    <phoneticPr fontId="1" type="noConversion"/>
  </si>
  <si>
    <t>아르헨티나</t>
    <phoneticPr fontId="1" type="noConversion"/>
  </si>
  <si>
    <t xml:space="preserve"> 다음 중 ‘화산섬’인 것은?</t>
    <phoneticPr fontId="1" type="noConversion"/>
  </si>
  <si>
    <t>완도</t>
    <phoneticPr fontId="1" type="noConversion"/>
  </si>
  <si>
    <t>파스칼</t>
    <phoneticPr fontId="1" type="noConversion"/>
  </si>
  <si>
    <t>데카르트</t>
    <phoneticPr fontId="1" type="noConversion"/>
  </si>
  <si>
    <t>work out</t>
    <phoneticPr fontId="1" type="noConversion"/>
  </si>
  <si>
    <t xml:space="preserve"> 국내 비트코인 거래소가 아닌 곳은?</t>
    <phoneticPr fontId="1" type="noConversion"/>
  </si>
  <si>
    <t>엘론 머스크</t>
    <phoneticPr fontId="1" type="noConversion"/>
  </si>
  <si>
    <t>로벝 다우니 주니어</t>
    <phoneticPr fontId="1" type="noConversion"/>
  </si>
  <si>
    <t>아비투스</t>
    <phoneticPr fontId="1" type="noConversion"/>
  </si>
  <si>
    <t xml:space="preserve"> 현재 스타벅스 1호점은 어디에 있을까?</t>
    <phoneticPr fontId="1" type="noConversion"/>
  </si>
  <si>
    <t>시애틀</t>
    <phoneticPr fontId="1" type="noConversion"/>
  </si>
  <si>
    <t>데크레센도</t>
    <phoneticPr fontId="1" type="noConversion"/>
  </si>
  <si>
    <t>피아니시모</t>
    <phoneticPr fontId="1" type="noConversion"/>
  </si>
  <si>
    <t>호모 로켄스</t>
    <phoneticPr fontId="1" type="noConversion"/>
  </si>
  <si>
    <t>호모 루덴스</t>
    <phoneticPr fontId="1" type="noConversion"/>
  </si>
  <si>
    <t>맛봉오리</t>
    <phoneticPr fontId="1" type="noConversion"/>
  </si>
  <si>
    <t>콩밥</t>
    <phoneticPr fontId="1" type="noConversion"/>
  </si>
  <si>
    <t xml:space="preserve"> 역대 최고령 노벨 문학상 수상자는?</t>
    <phoneticPr fontId="1" type="noConversion"/>
  </si>
  <si>
    <t>앨리슨 먼로</t>
    <phoneticPr fontId="1" type="noConversion"/>
  </si>
  <si>
    <t>대한민국</t>
    <phoneticPr fontId="1" type="noConversion"/>
  </si>
  <si>
    <t>사우디아라비아</t>
    <phoneticPr fontId="1" type="noConversion"/>
  </si>
  <si>
    <t xml:space="preserve"> 2018 월드컵 우승 국가에게 주는 우승 상금은?</t>
    <phoneticPr fontId="1" type="noConversion"/>
  </si>
  <si>
    <t>칼리닌그라드 스타디움</t>
    <phoneticPr fontId="1" type="noConversion"/>
  </si>
  <si>
    <t>일본, 폴란드, 콜롬비아</t>
    <phoneticPr fontId="1" type="noConversion"/>
  </si>
  <si>
    <t>덴마크, 아르헨티나, 페루</t>
    <phoneticPr fontId="1" type="noConversion"/>
  </si>
  <si>
    <t xml:space="preserve"> 2018 월드컵에 참가한 선수 중 등번호가 다른 사람은?</t>
    <phoneticPr fontId="1" type="noConversion"/>
  </si>
  <si>
    <t>크리스티아누 호날두(포르투갈)</t>
    <phoneticPr fontId="1" type="noConversion"/>
  </si>
  <si>
    <t xml:space="preserve"> 2018 월드컵에서 ‘대회1호 퇴장’의 불명예를 안은 나라는?</t>
    <phoneticPr fontId="1" type="noConversion"/>
  </si>
  <si>
    <t xml:space="preserve"> &lt;모을/를 사용하는 민족이 21세기 정보화시대를 지배한다&gt; - 엘빈 토플러</t>
    <phoneticPr fontId="1" type="noConversion"/>
  </si>
  <si>
    <t>베토벤</t>
    <phoneticPr fontId="1" type="noConversion"/>
  </si>
  <si>
    <t>고흐</t>
    <phoneticPr fontId="1" type="noConversion"/>
  </si>
  <si>
    <t>한국</t>
    <phoneticPr fontId="1" type="noConversion"/>
  </si>
  <si>
    <t xml:space="preserve"> 액체 상태의 물질이 기체 상태의 물질로 변화하는 현상은?</t>
    <phoneticPr fontId="1" type="noConversion"/>
  </si>
  <si>
    <t>액화</t>
    <phoneticPr fontId="1" type="noConversion"/>
  </si>
  <si>
    <t>일반 상대성 이론</t>
    <phoneticPr fontId="1" type="noConversion"/>
  </si>
  <si>
    <t>특수 상대성 이론</t>
    <phoneticPr fontId="1" type="noConversion"/>
  </si>
  <si>
    <t>빅 데이터</t>
    <phoneticPr fontId="1" type="noConversion"/>
  </si>
  <si>
    <t xml:space="preserve"> 법인 세율이 낮은 아일랜드의 세법을 이용한 글로벌 기업의 세금회피 방식은?</t>
    <phoneticPr fontId="1" type="noConversion"/>
  </si>
  <si>
    <t>트리플 아이리시</t>
    <phoneticPr fontId="1" type="noConversion"/>
  </si>
  <si>
    <t>뉴호라이즌호</t>
    <phoneticPr fontId="1" type="noConversion"/>
  </si>
  <si>
    <t>센세이 열도</t>
    <phoneticPr fontId="1" type="noConversion"/>
  </si>
  <si>
    <t xml:space="preserve"> 다음 중 육지가 높이 솟아 올라 산맥을 만드는 활동은?</t>
    <phoneticPr fontId="1" type="noConversion"/>
  </si>
  <si>
    <t xml:space="preserve"> 리볼버 권총에 1개의 총알만 넣고, 서로 돌아가며 총을 자기 머리에 대고 쏘는 게임은?</t>
    <phoneticPr fontId="1" type="noConversion"/>
  </si>
  <si>
    <t>러시안룰렛</t>
    <phoneticPr fontId="1" type="noConversion"/>
  </si>
  <si>
    <t>권총게임</t>
    <phoneticPr fontId="1" type="noConversion"/>
  </si>
  <si>
    <t>회전룰렛</t>
    <phoneticPr fontId="1" type="noConversion"/>
  </si>
  <si>
    <t xml:space="preserve"> 국가공인 자산관리사를 뜻하는 용어는?</t>
    <phoneticPr fontId="1" type="noConversion"/>
  </si>
  <si>
    <t>FP (Financial Planner)</t>
    <phoneticPr fontId="1" type="noConversion"/>
  </si>
  <si>
    <t>WR (Wealth Planner)</t>
    <phoneticPr fontId="1" type="noConversion"/>
  </si>
  <si>
    <t xml:space="preserve"> 마그마가 식어 굳어진 화성암의 종류가 아닌 것은?</t>
    <phoneticPr fontId="1" type="noConversion"/>
  </si>
  <si>
    <t>화산암</t>
    <phoneticPr fontId="1" type="noConversion"/>
  </si>
  <si>
    <t xml:space="preserve"> 다음 중 순우리말은?</t>
    <phoneticPr fontId="1" type="noConversion"/>
  </si>
  <si>
    <t xml:space="preserve"> 율법에 의해 유대인들이 먹을 수 있는 음식을 일컫는 말은?</t>
    <phoneticPr fontId="1" type="noConversion"/>
  </si>
  <si>
    <t>텍사스 스코어</t>
    <phoneticPr fontId="1" type="noConversion"/>
  </si>
  <si>
    <t>천궁</t>
    <phoneticPr fontId="1" type="noConversion"/>
  </si>
  <si>
    <t>현무</t>
    <phoneticPr fontId="1" type="noConversion"/>
  </si>
  <si>
    <t xml:space="preserve"> 다음 중 ‘한국전쟁’을 소재로 한 영화가 아닌 것은?</t>
    <phoneticPr fontId="1" type="noConversion"/>
  </si>
  <si>
    <t>빨강</t>
    <phoneticPr fontId="1" type="noConversion"/>
  </si>
  <si>
    <t>스토퍼</t>
    <phoneticPr fontId="1" type="noConversion"/>
  </si>
  <si>
    <t>링고 스타</t>
    <phoneticPr fontId="1" type="noConversion"/>
  </si>
  <si>
    <t>자격루</t>
    <phoneticPr fontId="1" type="noConversion"/>
  </si>
  <si>
    <t>혼천의</t>
    <phoneticPr fontId="1" type="noConversion"/>
  </si>
  <si>
    <t>너에게 묻는다</t>
    <phoneticPr fontId="1" type="noConversion"/>
  </si>
  <si>
    <t>우리가 눈밭이라면</t>
    <phoneticPr fontId="1" type="noConversion"/>
  </si>
  <si>
    <t>다니모스</t>
    <phoneticPr fontId="1" type="noConversion"/>
  </si>
  <si>
    <t>신조어인 ‘이모지(Emoji)’에서 ’모지’의 의미는?</t>
    <phoneticPr fontId="1" type="noConversion"/>
  </si>
  <si>
    <t>그림</t>
    <phoneticPr fontId="1" type="noConversion"/>
  </si>
  <si>
    <t>을미개혁</t>
    <phoneticPr fontId="1" type="noConversion"/>
  </si>
  <si>
    <t>따따블</t>
    <phoneticPr fontId="1" type="noConversion"/>
  </si>
  <si>
    <t xml:space="preserve"> 축구장에서 난동 및 폭력을 휘두르는 관중, 팬을 일컫는 말은?</t>
    <phoneticPr fontId="1" type="noConversion"/>
  </si>
  <si>
    <t xml:space="preserve"> 맥주 양조장에서 맥주 제조의 전 공정을 관리하는 양조기술자는?</t>
    <phoneticPr fontId="1" type="noConversion"/>
  </si>
  <si>
    <t>가을하늘 공활한데</t>
    <phoneticPr fontId="1" type="noConversion"/>
  </si>
  <si>
    <t xml:space="preserve"> &lt;재화 중 희소성이 있어서 대가를 지불해야만 얻을 수 있는 것&gt;을 뜻하는 용어는?</t>
    <phoneticPr fontId="1" type="noConversion"/>
  </si>
  <si>
    <t xml:space="preserve"> 다음 중 애니메이션&lt;데스노트&gt;의 사용 규칙이 아닌 것은?</t>
    <phoneticPr fontId="1" type="noConversion"/>
  </si>
  <si>
    <t>노트의 조각도 동일한 효과가 있다</t>
    <phoneticPr fontId="1" type="noConversion"/>
  </si>
  <si>
    <t>만루홈런</t>
    <phoneticPr fontId="1" type="noConversion"/>
  </si>
  <si>
    <t>터치다운</t>
    <phoneticPr fontId="1" type="noConversion"/>
  </si>
  <si>
    <t>406km</t>
    <phoneticPr fontId="1" type="noConversion"/>
  </si>
  <si>
    <t xml:space="preserve"> 국제 영화 제작자 연맹에서 공인한 국제 경쟁 영화제가 아닌 것은?</t>
    <phoneticPr fontId="1" type="noConversion"/>
  </si>
  <si>
    <t>칸 국제 영화제</t>
    <phoneticPr fontId="1" type="noConversion"/>
  </si>
  <si>
    <t>시카고 국제 영화제</t>
    <phoneticPr fontId="1" type="noConversion"/>
  </si>
  <si>
    <t>마르텔플라타 국제 영화제</t>
    <phoneticPr fontId="1" type="noConversion"/>
  </si>
  <si>
    <t>갈비만두</t>
    <phoneticPr fontId="1" type="noConversion"/>
  </si>
  <si>
    <t>잭팟</t>
    <phoneticPr fontId="1" type="noConversion"/>
  </si>
  <si>
    <t>배추도사 무도사</t>
    <phoneticPr fontId="1" type="noConversion"/>
  </si>
  <si>
    <t>범블비</t>
    <phoneticPr fontId="1" type="noConversion"/>
  </si>
  <si>
    <t>이산화탄소</t>
    <phoneticPr fontId="1" type="noConversion"/>
  </si>
  <si>
    <t>산소</t>
    <phoneticPr fontId="1" type="noConversion"/>
  </si>
  <si>
    <t>채소</t>
    <phoneticPr fontId="1" type="noConversion"/>
  </si>
  <si>
    <t xml:space="preserve"> 오는 6월 27일부터 소방차 진로 방해 시, 과태료는?</t>
    <phoneticPr fontId="1" type="noConversion"/>
  </si>
  <si>
    <t xml:space="preserve"> 잔혹한 참상이 벌어졌던 역사적 장소나 재난, 재해 현장을 돌아보는 여행을 일컫는 말은?</t>
    <phoneticPr fontId="1" type="noConversion"/>
  </si>
  <si>
    <t xml:space="preserve"> 증시 하락 추세에서 일시적으로 찾아오는 주가 상승 현상은?</t>
    <phoneticPr fontId="1" type="noConversion"/>
  </si>
  <si>
    <t>모터 랠리</t>
    <phoneticPr fontId="1" type="noConversion"/>
  </si>
  <si>
    <t>대통령</t>
    <phoneticPr fontId="1" type="noConversion"/>
  </si>
  <si>
    <t>국무총리</t>
    <phoneticPr fontId="1" type="noConversion"/>
  </si>
  <si>
    <t>설탕</t>
    <phoneticPr fontId="1" type="noConversion"/>
  </si>
  <si>
    <t xml:space="preserve"> 영국의 유럽연합(EU)탈퇴를 뜻하는 말은?</t>
    <phoneticPr fontId="1" type="noConversion"/>
  </si>
  <si>
    <t>VCR</t>
    <phoneticPr fontId="1" type="noConversion"/>
  </si>
  <si>
    <t xml:space="preserve"> 찰리 브라운과 그의 애완견 스누피가 등장하는 만화의 제목은?</t>
    <phoneticPr fontId="1" type="noConversion"/>
  </si>
  <si>
    <t>모아나</t>
    <phoneticPr fontId="1" type="noConversion"/>
  </si>
  <si>
    <t xml:space="preserve"> 시위 현장에 자주 등장하며, 하얀 얼굴과 콧수염이 인상적인 이 가면은?</t>
    <phoneticPr fontId="1" type="noConversion"/>
  </si>
  <si>
    <t>다은</t>
    <phoneticPr fontId="1" type="noConversion"/>
  </si>
  <si>
    <t>굄</t>
    <phoneticPr fontId="1" type="noConversion"/>
  </si>
  <si>
    <t>코픽스</t>
    <phoneticPr fontId="1" type="noConversion"/>
  </si>
  <si>
    <t xml:space="preserve"> 영화 &lt;실미도&gt;에서 안성기의 유명한 대사는?</t>
    <phoneticPr fontId="1" type="noConversion"/>
  </si>
  <si>
    <t>날 들고 가라</t>
    <phoneticPr fontId="1" type="noConversion"/>
  </si>
  <si>
    <t xml:space="preserve"> 대동여지도를 제작한 사람은?</t>
    <phoneticPr fontId="1" type="noConversion"/>
  </si>
  <si>
    <t xml:space="preserve"> 다음 중 가장 넓은 면적의 바다는?</t>
    <phoneticPr fontId="1" type="noConversion"/>
  </si>
  <si>
    <t>대서양</t>
    <phoneticPr fontId="1" type="noConversion"/>
  </si>
  <si>
    <t>강원도</t>
    <phoneticPr fontId="1" type="noConversion"/>
  </si>
  <si>
    <t>경상북도</t>
    <phoneticPr fontId="1" type="noConversion"/>
  </si>
  <si>
    <t>라리가</t>
    <phoneticPr fontId="1" type="noConversion"/>
  </si>
  <si>
    <t>엘클라시코</t>
    <phoneticPr fontId="1" type="noConversion"/>
  </si>
  <si>
    <t xml:space="preserve"> 다음 중 순우리말은?</t>
    <phoneticPr fontId="1" type="noConversion"/>
  </si>
  <si>
    <t xml:space="preserve"> 다음 중 북유럽신화에 등장하는 신의 이름이 아닌 것은?</t>
    <phoneticPr fontId="1" type="noConversion"/>
  </si>
  <si>
    <t>프레이야</t>
    <phoneticPr fontId="1" type="noConversion"/>
  </si>
  <si>
    <t>볼리비아</t>
    <phoneticPr fontId="1" type="noConversion"/>
  </si>
  <si>
    <t>몬더 그린</t>
    <phoneticPr fontId="1" type="noConversion"/>
  </si>
  <si>
    <t>제노글로시</t>
    <phoneticPr fontId="1" type="noConversion"/>
  </si>
  <si>
    <t xml:space="preserve"> 옷 사이즈 ‘XL’에서 ‘X’는 무엇의 약자일까?</t>
    <phoneticPr fontId="1" type="noConversion"/>
  </si>
  <si>
    <t>X-ray</t>
    <phoneticPr fontId="1" type="noConversion"/>
  </si>
  <si>
    <t>모스크바</t>
    <phoneticPr fontId="1" type="noConversion"/>
  </si>
  <si>
    <t xml:space="preserve"> 축구 경기에서 ‘OG’의 뜻은?</t>
    <phoneticPr fontId="1" type="noConversion"/>
  </si>
  <si>
    <t>결승골</t>
    <phoneticPr fontId="1" type="noConversion"/>
  </si>
  <si>
    <t>자책골</t>
    <phoneticPr fontId="1" type="noConversion"/>
  </si>
  <si>
    <t>원숭이</t>
    <phoneticPr fontId="1" type="noConversion"/>
  </si>
  <si>
    <t xml:space="preserve"> 우크라이나의 수도는?</t>
    <phoneticPr fontId="1" type="noConversion"/>
  </si>
  <si>
    <t xml:space="preserve"> 개인 사용자 누구나 무료 사용이 허가된 공개프로그램을 뜻하는 말은?</t>
    <phoneticPr fontId="1" type="noConversion"/>
  </si>
  <si>
    <t>셰어웨어</t>
    <phoneticPr fontId="1" type="noConversion"/>
  </si>
  <si>
    <t xml:space="preserve"> 공식 축구 경기에서 페널티킥 지점은 골문에서 11m거리에 있다.</t>
    <phoneticPr fontId="1" type="noConversion"/>
  </si>
  <si>
    <t>11m</t>
    <phoneticPr fontId="1" type="noConversion"/>
  </si>
  <si>
    <t xml:space="preserve"> 2018 러시아월드컵에 도입된 ‘VAR’판정을 위해 경기장에 배치된 카메라 수는?</t>
    <phoneticPr fontId="1" type="noConversion"/>
  </si>
  <si>
    <t xml:space="preserve"> 조선시대에 공물(특산물)을 쌀로 통일해 바치게 한 납세제도는?</t>
    <phoneticPr fontId="1" type="noConversion"/>
  </si>
  <si>
    <t>호패법</t>
    <phoneticPr fontId="1" type="noConversion"/>
  </si>
  <si>
    <t xml:space="preserve"> 어제 대한민국 vs 독일 전에서 골을 넣지 않은 선수는?</t>
    <phoneticPr fontId="1" type="noConversion"/>
  </si>
  <si>
    <t>손흥민</t>
    <phoneticPr fontId="1" type="noConversion"/>
  </si>
  <si>
    <t>페르세우스</t>
    <phoneticPr fontId="1" type="noConversion"/>
  </si>
  <si>
    <t>소셜네트워킹</t>
    <phoneticPr fontId="1" type="noConversion"/>
  </si>
  <si>
    <t>엥겔계수</t>
    <phoneticPr fontId="1" type="noConversion"/>
  </si>
  <si>
    <t>경주 분황사 모전석탑</t>
    <phoneticPr fontId="1" type="noConversion"/>
  </si>
  <si>
    <t>구성요건해당성</t>
    <phoneticPr fontId="1" type="noConversion"/>
  </si>
  <si>
    <t>수단</t>
    <phoneticPr fontId="1" type="noConversion"/>
  </si>
  <si>
    <t>진대법</t>
    <phoneticPr fontId="1" type="noConversion"/>
  </si>
  <si>
    <t>100°C(섭씨)</t>
    <phoneticPr fontId="1" type="noConversion"/>
  </si>
  <si>
    <t xml:space="preserve"> ‘가리를 틀다’의 뜻은?</t>
    <phoneticPr fontId="1" type="noConversion"/>
  </si>
  <si>
    <t>먼지잼</t>
    <phoneticPr fontId="1" type="noConversion"/>
  </si>
  <si>
    <t>먼지비</t>
    <phoneticPr fontId="1" type="noConversion"/>
  </si>
  <si>
    <t>모이다</t>
    <phoneticPr fontId="1" type="noConversion"/>
  </si>
  <si>
    <t>관역</t>
    <phoneticPr fontId="1" type="noConversion"/>
  </si>
  <si>
    <t>run</t>
    <phoneticPr fontId="1" type="noConversion"/>
  </si>
  <si>
    <t>외전</t>
    <phoneticPr fontId="1" type="noConversion"/>
  </si>
  <si>
    <t>회외</t>
    <phoneticPr fontId="1" type="noConversion"/>
  </si>
  <si>
    <t>둘다맞다</t>
    <phoneticPr fontId="1" type="noConversion"/>
  </si>
  <si>
    <t>수련</t>
    <phoneticPr fontId="1" type="noConversion"/>
  </si>
  <si>
    <t>TESAT-한국경제신문사</t>
    <phoneticPr fontId="1" type="noConversion"/>
  </si>
  <si>
    <t>TOKL-한국어언어문화원</t>
    <phoneticPr fontId="1" type="noConversion"/>
  </si>
  <si>
    <t>NPB 세이부</t>
    <phoneticPr fontId="1" type="noConversion"/>
  </si>
  <si>
    <t>로미오와줄리엣</t>
    <phoneticPr fontId="1" type="noConversion"/>
  </si>
  <si>
    <t>다음 동물들의 분류 중 ‘과’가 다른 동물은?</t>
    <phoneticPr fontId="1" type="noConversion"/>
  </si>
  <si>
    <t>여우</t>
    <phoneticPr fontId="1" type="noConversion"/>
  </si>
  <si>
    <t>이승만 전 대통령의 `호`로 알맞은 것은?</t>
    <phoneticPr fontId="1" type="noConversion"/>
  </si>
  <si>
    <t xml:space="preserve">선릉역 </t>
    <phoneticPr fontId="1" type="noConversion"/>
  </si>
  <si>
    <t>신대방삼거리역</t>
    <phoneticPr fontId="1" type="noConversion"/>
  </si>
  <si>
    <t xml:space="preserve">청계산입구 </t>
    <phoneticPr fontId="1" type="noConversion"/>
  </si>
  <si>
    <t>대한민국에 없는 '동' 이름은?</t>
    <phoneticPr fontId="1" type="noConversion"/>
  </si>
  <si>
    <t>화수동</t>
    <phoneticPr fontId="1" type="noConversion"/>
  </si>
  <si>
    <t>우리가 만난 기적</t>
    <phoneticPr fontId="1" type="noConversion"/>
  </si>
  <si>
    <t>박우진</t>
    <phoneticPr fontId="1" type="noConversion"/>
  </si>
  <si>
    <t>동 녘과 해잘 녘</t>
    <phoneticPr fontId="1" type="noConversion"/>
  </si>
  <si>
    <t>동녘과 해 질 녘</t>
    <phoneticPr fontId="1" type="noConversion"/>
  </si>
  <si>
    <t>사고무친</t>
    <phoneticPr fontId="1" type="noConversion"/>
  </si>
  <si>
    <t>사면초가</t>
    <phoneticPr fontId="1" type="noConversion"/>
  </si>
  <si>
    <t>호랑나비</t>
    <phoneticPr fontId="1" type="noConversion"/>
  </si>
  <si>
    <t>노랑나비</t>
    <phoneticPr fontId="1" type="noConversion"/>
  </si>
  <si>
    <t>달</t>
    <phoneticPr fontId="1" type="noConversion"/>
  </si>
  <si>
    <t>볼리비아</t>
    <phoneticPr fontId="1" type="noConversion"/>
  </si>
  <si>
    <t>현충일</t>
    <phoneticPr fontId="1" type="noConversion"/>
  </si>
  <si>
    <t>제헌절</t>
    <phoneticPr fontId="1" type="noConversion"/>
  </si>
  <si>
    <t>한글날</t>
    <phoneticPr fontId="1" type="noConversion"/>
  </si>
  <si>
    <t xml:space="preserve">FIFA월드컵에서 최다득점을 기록한 선수에게 수여하는 상은?? </t>
    <phoneticPr fontId="1" type="noConversion"/>
  </si>
  <si>
    <t>월드컵에서 우승한적없는 나라는??</t>
    <phoneticPr fontId="1" type="noConversion"/>
  </si>
  <si>
    <t>러시아 여성용 전통의상의 이름은??</t>
    <phoneticPr fontId="1" type="noConversion"/>
  </si>
  <si>
    <t>사리</t>
    <phoneticPr fontId="1" type="noConversion"/>
  </si>
  <si>
    <t xml:space="preserve">다음중 가로 길이가 더 긴것은? </t>
    <phoneticPr fontId="1" type="noConversion"/>
  </si>
  <si>
    <t>홍문관</t>
    <phoneticPr fontId="1" type="noConversion"/>
  </si>
  <si>
    <t>다음 중 숫자가 들어가지 않는 사자성어는?</t>
    <phoneticPr fontId="1" type="noConversion"/>
  </si>
  <si>
    <t xml:space="preserve">D조 - 코스타리카 </t>
    <phoneticPr fontId="1" type="noConversion"/>
  </si>
  <si>
    <t xml:space="preserve">F조 - 스웨덴 </t>
    <phoneticPr fontId="1" type="noConversion"/>
  </si>
  <si>
    <t>동요 &lt;곰 세마리&gt;에서 '곰'은 몇 번 나올까?(두 번 반복 안할 때)</t>
    <phoneticPr fontId="1" type="noConversion"/>
  </si>
  <si>
    <t>6번</t>
    <phoneticPr fontId="1" type="noConversion"/>
  </si>
  <si>
    <t xml:space="preserve">다음 중 실제로 제주도에 존재하는 지명은? </t>
    <phoneticPr fontId="1" type="noConversion"/>
  </si>
  <si>
    <t>군산오름</t>
    <phoneticPr fontId="1" type="noConversion"/>
  </si>
  <si>
    <t xml:space="preserve">다음 중 섬인 나라는? </t>
    <phoneticPr fontId="1" type="noConversion"/>
  </si>
  <si>
    <t>[ 루체 ]이태리어로 무슨뜻일까요?</t>
    <phoneticPr fontId="1" type="noConversion"/>
  </si>
  <si>
    <t>달</t>
    <phoneticPr fontId="1" type="noConversion"/>
  </si>
  <si>
    <t>다음 중 올림픽 육상 종목이 아닌 것은?</t>
    <phoneticPr fontId="1" type="noConversion"/>
  </si>
  <si>
    <t>1500M 달리기</t>
    <phoneticPr fontId="1" type="noConversion"/>
  </si>
  <si>
    <t>5000M 달리기</t>
    <phoneticPr fontId="1" type="noConversion"/>
  </si>
  <si>
    <t>Astronaut</t>
    <phoneticPr fontId="1" type="noConversion"/>
  </si>
  <si>
    <t>오로지 한 이성과만 짝짓기를 하는 일편단심 동물은?</t>
    <phoneticPr fontId="1" type="noConversion"/>
  </si>
  <si>
    <t>원앙</t>
    <phoneticPr fontId="1" type="noConversion"/>
  </si>
  <si>
    <t>주검</t>
    <phoneticPr fontId="1" type="noConversion"/>
  </si>
  <si>
    <t>다음중 표준어가 아닌것은?</t>
    <phoneticPr fontId="1" type="noConversion"/>
  </si>
  <si>
    <t>이승도 다음중 한자어인 것은?</t>
    <phoneticPr fontId="1" type="noConversion"/>
  </si>
  <si>
    <t>이승도 다음중 영어가 포함된 단어는?</t>
    <phoneticPr fontId="1" type="noConversion"/>
  </si>
  <si>
    <t>하지만</t>
    <phoneticPr fontId="1" type="noConversion"/>
  </si>
  <si>
    <t>곤약</t>
    <phoneticPr fontId="1" type="noConversion"/>
  </si>
  <si>
    <t>이승도 다음중 실제로 존재하지 않는 학교는?</t>
    <phoneticPr fontId="1" type="noConversion"/>
  </si>
  <si>
    <t>이승도 여수, 순천, 벌교, 보성을 포함한 큰 바다를 가리키는 지명은?</t>
    <phoneticPr fontId="1" type="noConversion"/>
  </si>
  <si>
    <t>여자만</t>
    <phoneticPr fontId="1" type="noConversion"/>
  </si>
  <si>
    <t>여순만</t>
    <phoneticPr fontId="1" type="noConversion"/>
  </si>
  <si>
    <t>다음 중 벼룩에게 없는 것은?</t>
    <phoneticPr fontId="1" type="noConversion"/>
  </si>
  <si>
    <t>간</t>
    <phoneticPr fontId="1" type="noConversion"/>
  </si>
  <si>
    <t>24절기 중 아홉번째 절기로, "보리는 ( ) 전에 베라"는 속담의 ( )안에 들어갈 말은?</t>
    <phoneticPr fontId="1" type="noConversion"/>
  </si>
  <si>
    <t>자신에 대한 사랑</t>
    <phoneticPr fontId="1" type="noConversion"/>
  </si>
  <si>
    <t>우리에 대한 사랑</t>
    <phoneticPr fontId="1" type="noConversion"/>
  </si>
  <si>
    <t xml:space="preserve">에브리타임 20대 리포트에 따르면 대학생들이 가장 많이 시켜먹는 치킨 브랜드는? </t>
    <phoneticPr fontId="1" type="noConversion"/>
  </si>
  <si>
    <t>BHC</t>
    <phoneticPr fontId="1" type="noConversion"/>
  </si>
  <si>
    <t xml:space="preserve">에브리타임 20대 리포트에 따르면 대학생들이 가장 좋아하는 교촌 치킨 메뉴는? </t>
    <phoneticPr fontId="1" type="noConversion"/>
  </si>
  <si>
    <t xml:space="preserve">Que sera sera (케세라세라)'의 본래 의미는? </t>
    <phoneticPr fontId="1" type="noConversion"/>
  </si>
  <si>
    <t xml:space="preserve">그렇게 될 일은 결국 그렇게 된다 </t>
    <phoneticPr fontId="1" type="noConversion"/>
  </si>
  <si>
    <t>퐁퐁</t>
    <phoneticPr fontId="1" type="noConversion"/>
  </si>
  <si>
    <t>팡팡</t>
    <phoneticPr fontId="1" type="noConversion"/>
  </si>
  <si>
    <t>스페인</t>
    <phoneticPr fontId="1" type="noConversion"/>
  </si>
  <si>
    <t>김지영  달면 삼키고 쓰면 뱉는다는 뜻의 사자성어는?</t>
    <phoneticPr fontId="1" type="noConversion"/>
  </si>
  <si>
    <t>토사구팽</t>
    <phoneticPr fontId="1" type="noConversion"/>
  </si>
  <si>
    <t>캐나가 국기의 단풍잎 양쪽에 있는 붉은 기둥이 의미하는 것은?</t>
    <phoneticPr fontId="1" type="noConversion"/>
  </si>
  <si>
    <t>토착민과 이주민</t>
    <phoneticPr fontId="1" type="noConversion"/>
  </si>
  <si>
    <t>태평양과 대서양</t>
    <phoneticPr fontId="1" type="noConversion"/>
  </si>
  <si>
    <t>센바람</t>
    <phoneticPr fontId="1" type="noConversion"/>
  </si>
  <si>
    <t xml:space="preserve"> 제1 회 고대 올림픽은 한 종목만 했다고 하는데, 전성기라면 우승 확률이 가장 높은 선수는?</t>
    <phoneticPr fontId="1" type="noConversion"/>
  </si>
  <si>
    <t>황영조</t>
    <phoneticPr fontId="1" type="noConversion"/>
  </si>
  <si>
    <t>우사인 볼트</t>
    <phoneticPr fontId="1" type="noConversion"/>
  </si>
  <si>
    <t xml:space="preserve"> 제1 회 아테네 올림픽 수상자 중 다른 사람은?</t>
    <phoneticPr fontId="1" type="noConversion"/>
  </si>
  <si>
    <t>은메달을 받은 사람</t>
    <phoneticPr fontId="1" type="noConversion"/>
  </si>
  <si>
    <t>월계관을 받은 사람</t>
    <phoneticPr fontId="1" type="noConversion"/>
  </si>
  <si>
    <t>아인슈타인에게 노벨 물리학상을 안겨준 논문은?</t>
    <phoneticPr fontId="1" type="noConversion"/>
  </si>
  <si>
    <t>광양자 가설(광전효과)</t>
    <phoneticPr fontId="1" type="noConversion"/>
  </si>
  <si>
    <t xml:space="preserve"> 6월 1일 변경된 기준에 따르면 몇 시간 동안 90mm 이상의 비가 예상될 때, 호우경보를 발령할까요?</t>
    <phoneticPr fontId="1" type="noConversion"/>
  </si>
  <si>
    <t>3시간</t>
    <phoneticPr fontId="1" type="noConversion"/>
  </si>
  <si>
    <t>6시간</t>
    <phoneticPr fontId="1" type="noConversion"/>
  </si>
  <si>
    <t>12시간</t>
    <phoneticPr fontId="1" type="noConversion"/>
  </si>
  <si>
    <t>KBS의 한글 회사명은?</t>
    <phoneticPr fontId="1" type="noConversion"/>
  </si>
  <si>
    <t>한국방송공사</t>
    <phoneticPr fontId="1" type="noConversion"/>
  </si>
  <si>
    <t>대한방송공사</t>
    <phoneticPr fontId="1" type="noConversion"/>
  </si>
  <si>
    <t>한국방송공단</t>
    <phoneticPr fontId="1" type="noConversion"/>
  </si>
  <si>
    <t xml:space="preserve"> 상품에 표시되는 13자리 바코드 중 앞 세 자리는 나라를 표시하는데, 가장 큰 숫자를 사용하는 나라는?</t>
    <phoneticPr fontId="1" type="noConversion"/>
  </si>
  <si>
    <t>북한</t>
    <phoneticPr fontId="1" type="noConversion"/>
  </si>
  <si>
    <t xml:space="preserve"> EAN-13 바코드에서 우리나라의 국가 코드가 880인 이유는?</t>
    <phoneticPr fontId="1" type="noConversion"/>
  </si>
  <si>
    <t xml:space="preserve">879번까지 다른 나라에 할당된 때 부여받아서 </t>
    <phoneticPr fontId="1" type="noConversion"/>
  </si>
  <si>
    <t xml:space="preserve">88 올림픽을 앞두고 부여받아서 </t>
    <phoneticPr fontId="1" type="noConversion"/>
  </si>
  <si>
    <t>지역의 위도, 경도를 고려하여 할당받은 숫자여서</t>
    <phoneticPr fontId="1" type="noConversion"/>
  </si>
  <si>
    <t>골프는 과연몇홀인가여?</t>
    <phoneticPr fontId="1" type="noConversion"/>
  </si>
  <si>
    <t xml:space="preserve">3홀 </t>
    <phoneticPr fontId="1" type="noConversion"/>
  </si>
  <si>
    <t xml:space="preserve">5홀 </t>
    <phoneticPr fontId="1" type="noConversion"/>
  </si>
  <si>
    <t>18홀</t>
    <phoneticPr fontId="1" type="noConversion"/>
  </si>
  <si>
    <t xml:space="preserve">우리나라 최초의 배달음식은? </t>
    <phoneticPr fontId="1" type="noConversion"/>
  </si>
  <si>
    <t>치킨</t>
    <phoneticPr fontId="1" type="noConversion"/>
  </si>
  <si>
    <t>짜장면</t>
    <phoneticPr fontId="1" type="noConversion"/>
  </si>
  <si>
    <t>해장국</t>
    <phoneticPr fontId="1" type="noConversion"/>
  </si>
  <si>
    <t>태종 이방원은 태조 이성계의 몇번째 아들이었을까요?</t>
    <phoneticPr fontId="1" type="noConversion"/>
  </si>
  <si>
    <t>셋째 아들</t>
    <phoneticPr fontId="1" type="noConversion"/>
  </si>
  <si>
    <t>넷째 아들</t>
    <phoneticPr fontId="1" type="noConversion"/>
  </si>
  <si>
    <t>다섯째 아들</t>
    <phoneticPr fontId="1" type="noConversion"/>
  </si>
  <si>
    <t>다음 중 맞는 표현은?</t>
    <phoneticPr fontId="1" type="noConversion"/>
  </si>
  <si>
    <t>그가 그렇게 할런지 모르겠네</t>
    <phoneticPr fontId="1" type="noConversion"/>
  </si>
  <si>
    <t>그가 그렇게 할른지 모르겠네</t>
    <phoneticPr fontId="1" type="noConversion"/>
  </si>
  <si>
    <t>그가 그렇게 할는지 모르겠네</t>
    <phoneticPr fontId="1" type="noConversion"/>
  </si>
  <si>
    <t xml:space="preserve"> 6·25 때 1·4 후퇴란 어디를 공산군에게 내 주고 후퇴했다는 뜻일까?</t>
    <phoneticPr fontId="1" type="noConversion"/>
  </si>
  <si>
    <t>압록강 부근</t>
    <phoneticPr fontId="1" type="noConversion"/>
  </si>
  <si>
    <t>38선 부근</t>
    <phoneticPr fontId="1" type="noConversion"/>
  </si>
  <si>
    <t>슬램덩크 ost &lt;너에게로 가는 길&gt; 1절 가사 "우리 함께한 ( ) 모든 걸 걸 수 있어" 괄호에 들어갈 말은?</t>
    <phoneticPr fontId="1" type="noConversion"/>
  </si>
  <si>
    <t>맹세 속에</t>
    <phoneticPr fontId="1" type="noConversion"/>
  </si>
  <si>
    <t>맹세 위해</t>
    <phoneticPr fontId="1" type="noConversion"/>
  </si>
  <si>
    <t>맹세 라면</t>
    <phoneticPr fontId="1" type="noConversion"/>
  </si>
  <si>
    <t>다음 중 파장이 가장 긴 것은?</t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</si>
  <si>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</si>
  <si>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</si>
  <si>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</si>
  <si>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t>한성렬 [야구] 5-4-3 더블플레이에서 5는?</t>
    <phoneticPr fontId="1" type="noConversion"/>
  </si>
  <si>
    <t>3루수</t>
    <phoneticPr fontId="1" type="noConversion"/>
  </si>
  <si>
    <t>2루수</t>
    <phoneticPr fontId="1" type="noConversion"/>
  </si>
  <si>
    <t>한성렬 태극기를 다는 방법이 다른 날은?</t>
    <phoneticPr fontId="1" type="noConversion"/>
  </si>
  <si>
    <t>현충일</t>
    <phoneticPr fontId="1" type="noConversion"/>
  </si>
  <si>
    <t>3.1절</t>
    <phoneticPr fontId="1" type="noConversion"/>
  </si>
  <si>
    <t>광복절</t>
    <phoneticPr fontId="1" type="noConversion"/>
  </si>
  <si>
    <t>비오는날지렁이가땅위로나오는이유는?</t>
    <phoneticPr fontId="1" type="noConversion"/>
  </si>
  <si>
    <t xml:space="preserve">물이좋아서 </t>
    <phoneticPr fontId="1" type="noConversion"/>
  </si>
  <si>
    <t xml:space="preserve">숨을쉬기위해서 </t>
    <phoneticPr fontId="1" type="noConversion"/>
  </si>
  <si>
    <t xml:space="preserve">이유없다 </t>
    <phoneticPr fontId="1" type="noConversion"/>
  </si>
  <si>
    <t>김대현 다음 중 국민연금공단의 약자가 맞는 것은?</t>
    <phoneticPr fontId="1" type="noConversion"/>
  </si>
  <si>
    <t>NPP</t>
    <phoneticPr fontId="1" type="noConversion"/>
  </si>
  <si>
    <t>NPS</t>
    <phoneticPr fontId="1" type="noConversion"/>
  </si>
  <si>
    <t>NPO</t>
    <phoneticPr fontId="1" type="noConversion"/>
  </si>
  <si>
    <t>김진수</t>
    <phoneticPr fontId="1" type="noConversion"/>
  </si>
  <si>
    <t>다음중 맞춤법이 맞는 것은?</t>
    <phoneticPr fontId="1" type="noConversion"/>
  </si>
  <si>
    <t>왠만하면</t>
    <phoneticPr fontId="1" type="noConversion"/>
  </si>
  <si>
    <t>웬만하면</t>
    <phoneticPr fontId="1" type="noConversion"/>
  </si>
  <si>
    <t>왼만하면</t>
    <phoneticPr fontId="1" type="noConversion"/>
  </si>
  <si>
    <t>아르까운 우리말 중 ‘구메구메’의 뜻으로 알맞은 것은?</t>
    <phoneticPr fontId="1" type="noConversion"/>
  </si>
  <si>
    <t>여러 몫으로 나눈 모개이다</t>
    <phoneticPr fontId="1" type="noConversion"/>
  </si>
  <si>
    <t>남모르게 틈틈이</t>
    <phoneticPr fontId="1" type="noConversion"/>
  </si>
  <si>
    <t>매우 천천히 걸어서</t>
    <phoneticPr fontId="1" type="noConversion"/>
  </si>
  <si>
    <t>1990년대 KBS에서 방영되어 큰 인기를 끌었던 "베르사유의 장미"의 시대적 배경은?</t>
    <phoneticPr fontId="1" type="noConversion"/>
  </si>
  <si>
    <t>프랑스 혁명기</t>
    <phoneticPr fontId="1" type="noConversion"/>
  </si>
  <si>
    <t>백년 전쟁</t>
    <phoneticPr fontId="1" type="noConversion"/>
  </si>
  <si>
    <t>나폴레옹 황제 시대</t>
    <phoneticPr fontId="1" type="noConversion"/>
  </si>
  <si>
    <t>인천광역시</t>
    <phoneticPr fontId="1" type="noConversion"/>
  </si>
  <si>
    <t>대구광역시</t>
    <phoneticPr fontId="1" type="noConversion"/>
  </si>
  <si>
    <t>대전광역시</t>
    <phoneticPr fontId="1" type="noConversion"/>
  </si>
  <si>
    <t>Science</t>
    <phoneticPr fontId="1" type="noConversion"/>
  </si>
  <si>
    <t>Special</t>
    <phoneticPr fontId="1" type="noConversion"/>
  </si>
  <si>
    <t>Scene</t>
    <phoneticPr fontId="1" type="noConversion"/>
  </si>
  <si>
    <t>빨강 노랑 파랑</t>
    <phoneticPr fontId="1" type="noConversion"/>
  </si>
  <si>
    <t>빨강 초록 파랑</t>
    <phoneticPr fontId="1" type="noConversion"/>
  </si>
  <si>
    <t>노랑 파랑 초록</t>
    <phoneticPr fontId="1" type="noConversion"/>
  </si>
  <si>
    <t>사부작 사부작</t>
    <phoneticPr fontId="1" type="noConversion"/>
  </si>
  <si>
    <t>사부랑 사부랑</t>
    <phoneticPr fontId="1" type="noConversion"/>
  </si>
  <si>
    <t>사부랑 삽작</t>
    <phoneticPr fontId="1" type="noConversion"/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</si>
  <si>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</si>
  <si>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</si>
  <si>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</si>
  <si>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</si>
  <si>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</si>
  <si>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</si>
  <si>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t>골킥</t>
    <phoneticPr fontId="1" type="noConversion"/>
  </si>
  <si>
    <t>드로인</t>
    <phoneticPr fontId="1" type="noConversion"/>
  </si>
  <si>
    <t>프리킥</t>
    <phoneticPr fontId="1" type="noConversion"/>
  </si>
  <si>
    <t xml:space="preserve"> 70원</t>
    <phoneticPr fontId="1" type="noConversion"/>
  </si>
  <si>
    <t>100원</t>
    <phoneticPr fontId="1" type="noConversion"/>
  </si>
  <si>
    <t>130원</t>
    <phoneticPr fontId="1" type="noConversion"/>
  </si>
  <si>
    <t>지속 가능한 개발</t>
    <phoneticPr fontId="1" type="noConversion"/>
  </si>
  <si>
    <t>다양한 생물종</t>
    <phoneticPr fontId="1" type="noConversion"/>
  </si>
  <si>
    <t>인도네시아</t>
    <phoneticPr fontId="1" type="noConversion"/>
  </si>
  <si>
    <t>아일랜드</t>
    <phoneticPr fontId="1" type="noConversion"/>
  </si>
  <si>
    <t>북아일랜드</t>
    <phoneticPr fontId="1" type="noConversion"/>
  </si>
  <si>
    <t>아이슬란드</t>
    <phoneticPr fontId="1" type="noConversion"/>
  </si>
  <si>
    <t>뉴질랜드</t>
    <phoneticPr fontId="1" type="noConversion"/>
  </si>
  <si>
    <t>봉미관</t>
    <phoneticPr fontId="1" type="noConversion"/>
  </si>
  <si>
    <t>봉미선</t>
    <phoneticPr fontId="1" type="noConversion"/>
  </si>
  <si>
    <t>봉미저</t>
    <phoneticPr fontId="1" type="noConversion"/>
  </si>
  <si>
    <t>바넘 효과</t>
    <phoneticPr fontId="1" type="noConversion"/>
  </si>
  <si>
    <t>포러 효과</t>
    <phoneticPr fontId="1" type="noConversion"/>
  </si>
  <si>
    <t>호손 효과</t>
    <phoneticPr fontId="1" type="noConversion"/>
  </si>
  <si>
    <t>지붕</t>
    <phoneticPr fontId="1" type="noConversion"/>
  </si>
  <si>
    <t>사다리</t>
    <phoneticPr fontId="1" type="noConversion"/>
  </si>
  <si>
    <t>모자</t>
    <phoneticPr fontId="1" type="noConversion"/>
  </si>
  <si>
    <t>캐시비</t>
    <phoneticPr fontId="1" type="noConversion"/>
  </si>
  <si>
    <t>원패스</t>
    <phoneticPr fontId="1" type="noConversion"/>
  </si>
  <si>
    <t>티머니</t>
    <phoneticPr fontId="1" type="noConversion"/>
  </si>
  <si>
    <t>1m/s</t>
    <phoneticPr fontId="1" type="noConversion"/>
  </si>
  <si>
    <t>1m/h</t>
    <phoneticPr fontId="1" type="noConversion"/>
  </si>
  <si>
    <t>10m/s</t>
    <phoneticPr fontId="1" type="noConversion"/>
  </si>
  <si>
    <t>늦깍이</t>
    <phoneticPr fontId="1" type="noConversion"/>
  </si>
  <si>
    <t>늦깍기</t>
    <phoneticPr fontId="1" type="noConversion"/>
  </si>
  <si>
    <t>늦깎이</t>
    <phoneticPr fontId="1" type="noConversion"/>
  </si>
  <si>
    <t>야멸차다</t>
    <phoneticPr fontId="1" type="noConversion"/>
  </si>
  <si>
    <t>단출하다</t>
    <phoneticPr fontId="1" type="noConversion"/>
  </si>
  <si>
    <t>다음 중 한자어인것은?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</si>
  <si>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</si>
  <si>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트윈스</t>
    </r>
    <phoneticPr fontId="1" type="noConversion"/>
  </si>
  <si>
    <r>
      <t>퍼펙트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스톰</t>
    </r>
  </si>
  <si>
    <t>대항해시대</t>
  </si>
  <si>
    <t>대항해시대</t>
    <phoneticPr fontId="1" type="noConversion"/>
  </si>
  <si>
    <t>르네상스</t>
  </si>
  <si>
    <t>르네상스</t>
    <phoneticPr fontId="1" type="noConversion"/>
  </si>
  <si>
    <r>
      <rPr>
        <sz val="10"/>
        <color rgb="FFFF0000"/>
        <rFont val="바탕"/>
        <family val="1"/>
        <charset val="129"/>
      </rPr>
      <t>벨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에포크</t>
    </r>
    <phoneticPr fontId="1" type="noConversion"/>
  </si>
  <si>
    <r>
      <rPr>
        <sz val="10"/>
        <color rgb="FF000000"/>
        <rFont val="바탕"/>
        <family val="1"/>
        <charset val="129"/>
      </rPr>
      <t>오염된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식수로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전염되는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</si>
  <si>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일반적으로</t>
    </r>
    <r>
      <rPr>
        <sz val="10"/>
        <color rgb="FF000000"/>
        <rFont val="Times New Roman"/>
        <family val="1"/>
      </rPr>
      <t xml:space="preserve"> 1870~1910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</t>
    </r>
    <r>
      <rPr>
        <sz val="10"/>
        <color rgb="FF000000"/>
        <rFont val="Times New Roman"/>
        <family val="1"/>
      </rPr>
      <t xml:space="preserve"> 50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최전성기를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</si>
  <si>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세종대왕의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</si>
  <si>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불교에서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완벽한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깨달음을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</si>
  <si>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  <r>
      <rPr>
        <sz val="10"/>
        <color rgb="FF000000"/>
        <rFont val="바탕"/>
        <family val="1"/>
        <charset val="129"/>
      </rPr>
      <t>호선과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횟수는</t>
    </r>
    <r>
      <rPr>
        <sz val="10"/>
        <color rgb="FF000000"/>
        <rFont val="Times New Roman"/>
        <family val="1"/>
      </rPr>
      <t>?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</si>
  <si>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</si>
  <si>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5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</si>
  <si>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6</t>
    </r>
    <r>
      <rPr>
        <sz val="10"/>
        <color rgb="FFFF0000"/>
        <rFont val="바탕"/>
        <family val="1"/>
        <charset val="129"/>
      </rPr>
      <t>회</t>
    </r>
    <phoneticPr fontId="1" type="noConversion"/>
  </si>
  <si>
    <t xml:space="preserve"> 오페라 &lt;세빌리아의 ㅁ&gt;, 영화 &lt;효자동 ㅁ&gt;에 공통으로 들어갈 직업은?</t>
  </si>
  <si>
    <t xml:space="preserve"> 빨강머리 앤의 절친 다이애나의 머리 색깔은?</t>
  </si>
  <si>
    <t xml:space="preserve"> 1층은 기둥만 세워두고, 2층부터 공간을 설계한 건축 구조를?</t>
  </si>
  <si>
    <t xml:space="preserve"> 2018년 현재 공중전화의 기본요금은?</t>
  </si>
  <si>
    <t xml:space="preserve"> 동요 &lt;봄나들이&gt;의 가사이다. "병아리떼 ㅁㅁㅁ 봄나들이 갑니다"에서 adks에 들어갈 말은?</t>
  </si>
  <si>
    <t xml:space="preserve"> MC민상이 MC윤화에게 선물한 18K 목걸이의 순금 비율은?</t>
  </si>
  <si>
    <t xml:space="preserve"> 인터넷 사용자가 특정 웹사이트에 접속한 정보를 저장하고 있는 파일을?</t>
  </si>
  <si>
    <t xml:space="preserve"> 이순신 장군이 거북선을 처음 투입한 해전은?</t>
  </si>
  <si>
    <t xml:space="preserve"> 국가와 대통령 관저가 바르게 연결되지 않은것은?</t>
  </si>
  <si>
    <t xml:space="preserve"> MC민상이 좋아하는 문어의 '문'은 한자로 어떻게 쓸까?</t>
  </si>
  <si>
    <t xml:space="preserve"> 스포츠 이벤트에서 광고나 개별 선수 후원을 통해 공식 후원사인 듯한 인상을 주며 홍효과를 극대화하는 전략을?</t>
  </si>
  <si>
    <t xml:space="preserve"> 니체의 운명관으로 "자신의 운명을 사랑하라"는 의미를 담고 있는 말은?</t>
  </si>
  <si>
    <t xml:space="preserve"> 세계에서 가장 높은 산은?</t>
  </si>
  <si>
    <t xml:space="preserve"> 대한민국 헌법 제11조 1항에는 '모든 국민은 ( )앞에 평등하다'고 명시돼 있다. ( )안에 들어갈 말은?</t>
  </si>
  <si>
    <t xml:space="preserve"> 일에만 몰두하던 사람이 신체적, 정서적인 극도의 피로감으로 인해 무기력증이나 자기혐오 등에 빠지는 것을?</t>
  </si>
  <si>
    <t xml:space="preserve"> 서울 강남구의 테헤란로는 서울시와 이곳의 수도 테헤란시의 자매결연을 기념하여 붙여졌다. 이 나라는?</t>
  </si>
  <si>
    <t xml:space="preserve"> 공공 거래 장부라고도 부르며 가상 화폐로 거래할 때 발생할 수 있는 해킹을 막는 기술을?</t>
  </si>
  <si>
    <t xml:space="preserve"> 다음 중 사군자(四君子)에 해당하지 않는 것은?</t>
  </si>
  <si>
    <t xml:space="preserve"> 노벨상의 6개 부문 중 하나인 '노벨평화상' 시상식이 열리는 나라는?</t>
  </si>
  <si>
    <t xml:space="preserve"> &lt;로미오와 줄리엣&gt;의 배경이 된 곳으로 '사랑의 도시'라고도 불리는 이탈리아의 이곳은?</t>
  </si>
  <si>
    <t xml:space="preserve"> '남쪽에서 부는 바람'을 뜻하는 말은?</t>
  </si>
  <si>
    <t xml:space="preserve"> 성인이 몸에 지니고 있는 뼈는 모두 몇 개일까요?</t>
  </si>
  <si>
    <t xml:space="preserve"> 기업 상호간의 경쟁의 제한이나 완화를 목적으로, 동일 산업부문의 독립기억을 독점적으로 결합시키는 기업연합형태란?</t>
  </si>
  <si>
    <t xml:space="preserve"> 강요에 의하지 않고 유연하게 개입함으로써 자연스럽게 선택을 유도하는 방법이란 뜻은?</t>
  </si>
  <si>
    <t xml:space="preserve"> 윤동주 시인의 &lt;서시&gt;에 등장하지 않는 단어는?</t>
  </si>
  <si>
    <t xml:space="preserve"> Wi-Fi는 무엇의 줄임말 일까요?  </t>
  </si>
  <si>
    <t xml:space="preserve"> 지중해 연안 국가와 라틴아메리카의 전통적인 낮잠 풍습을?</t>
  </si>
  <si>
    <t xml:space="preserve"> 다음 중 가장 큰 공은?</t>
  </si>
  <si>
    <t xml:space="preserve"> 난 내 마약 ㅇㅇ가 없으면 잠을 못자요. ㅇㅇ의 올바른 맞춤법은?</t>
  </si>
  <si>
    <t xml:space="preserve"> 우리나라 최초의 인공위성으로 기상, 해양 관측, 시험용 통신 중계등의 임무를 수행한 것은?</t>
  </si>
  <si>
    <t xml:space="preserve"> 글씨를 아무렇게나 써놓은 것을 가리켜 '괴발개발'이라 하는데, 이때 '괴발'은?</t>
  </si>
  <si>
    <t xml:space="preserve"> '아늑함', '편안함'을 뜻하는 덴마크어로, 좋은 사람들과 보내는 시간에서 느끼는 감정을 표현한 단어는?</t>
  </si>
  <si>
    <t xml:space="preserve"> 유해환경으로부터 청소년을 보호하기 위해 청소년의 통행을 금지, 제한하는 구역을?</t>
  </si>
  <si>
    <t xml:space="preserve"> '과연, 정말로'를 뜻하는 순우리말은?</t>
  </si>
  <si>
    <t xml:space="preserve"> 야구에서 만루홈런의 점수 x 농구에서 덩크슛의 점수는?</t>
  </si>
  <si>
    <t xml:space="preserve"> 피아노의 원래 이름은?</t>
  </si>
  <si>
    <t xml:space="preserve"> 매칭이 잘못된 연예인 커플을 고르시오.</t>
  </si>
  <si>
    <t xml:space="preserve"> '눈에는 눈, 이에는 이'라는 탈리오 법칙을 담고 있는 법전은?</t>
  </si>
  <si>
    <t xml:space="preserve"> 세계 최대의 영화 제작을 자랑하는 인도 뭄바이의 영화산업을 가리키는 말은?</t>
  </si>
  <si>
    <t xml:space="preserve"> 다음 캐릭터 중 소속이 다른 하나는?</t>
  </si>
  <si>
    <t xml:space="preserve"> 고운일 하면 ㅇㅇㅇ먹는다. ㅇ에 들어갈 단어는?</t>
  </si>
  <si>
    <t xml:space="preserve"> 다음 중 만든 이가 다른 하나는?</t>
  </si>
  <si>
    <t xml:space="preserve"> 비용 대비 효과를 중시하는 젊은 세대를 지칭하는 용어는?</t>
  </si>
  <si>
    <t xml:space="preserve"> 고구려 소수림왕이 중앙에 설치했던 우리나라 최초의 국립교육기관은?</t>
  </si>
  <si>
    <t xml:space="preserve"> 파스타 면의 종류가 아닌것은?</t>
  </si>
  <si>
    <t xml:space="preserve"> 여성 구두 종류가 아닌것은?</t>
  </si>
  <si>
    <t xml:space="preserve"> 피아니스트 선우예권이 2017년에 우승한 북미 최고 권위의 콩쿠르 이름은?</t>
  </si>
  <si>
    <t xml:space="preserve"> 사자성어 후안무치(厚顔無恥)의 뜻은?</t>
  </si>
  <si>
    <t xml:space="preserve"> MC민상과 꼭 닮은 원빈이 주연을 맡은 영화는?</t>
  </si>
  <si>
    <t xml:space="preserve"> 칠월칠석, 견우와 직녀가 만날 수 있도록 '오작교'를 잇는 동물이 아닌 것은?</t>
  </si>
  <si>
    <t xml:space="preserve"> 컬링 과녁에 없는 색상은?</t>
  </si>
  <si>
    <t xml:space="preserve"> 기록으로 남아있는 우리나라 역사상 최초의 여왕은?</t>
  </si>
  <si>
    <t xml:space="preserve"> 동요 "미루나무 꼭대기에 조각구름 걸려있네 솔바람이 몰고 와서 살짝 걸쳐놓고 갔어요"의 제목은?</t>
  </si>
  <si>
    <t xml:space="preserve"> 캐러멜 마키아토에서 '마키아토'의 뜻은?</t>
  </si>
  <si>
    <t xml:space="preserve"> 이메일의 '전달' 버튼을 누르면 메일 제목 맨 앞에 생기는 글자는?</t>
  </si>
  <si>
    <t xml:space="preserve"> 심금을 울리다에서 '금'이 가리키는 악기는?</t>
  </si>
  <si>
    <t xml:space="preserve"> MC민상이 좋아하는 영화 &lt;캐리비안의 해적&gt;에서 '캐리비안'은?</t>
  </si>
  <si>
    <t xml:space="preserve"> 제품을 오프라인 매장에서 자세히 살펴본 뒤 모바일 쇼핑을 하는 사람을 일컫는 말?</t>
  </si>
  <si>
    <t xml:space="preserve"> 해마다 생산된 와인에 점수를 매긴 차트로서, 와인전문가들에 의해 매년 발표되는 이것은?</t>
  </si>
  <si>
    <t xml:space="preserve"> MC민상이 우체국에서 규격우편엽서 1장을 구매했다. 가격은?</t>
  </si>
  <si>
    <t xml:space="preserve"> 헬렌켈러의 선생님 이름은?</t>
  </si>
  <si>
    <t xml:space="preserve"> 우리나라 국민의 주민등록번호는 몇 자리일까?</t>
  </si>
  <si>
    <t xml:space="preserve"> 다음중 타이(태국) 요리가 아닌 하나는?</t>
  </si>
  <si>
    <t xml:space="preserve"> 다음 미국 화폐 단위 중 가장 큰 것은?</t>
  </si>
  <si>
    <t xml:space="preserve"> 2017년 서울을 찾은 외국인 관광객이 가장 많이 찾은 장소는?</t>
  </si>
  <si>
    <t xml:space="preserve"> 꼬꼬마 텔레토비 중 안테나의 모양이 삼각형인 텔레토비는?</t>
  </si>
  <si>
    <t xml:space="preserve"> 영국에서 처음 생긴 지하철은 무엇에서 힌트를 얻었을까?</t>
  </si>
  <si>
    <t xml:space="preserve"> MC민상의 간식 중 지명에서 유래한 것은?</t>
  </si>
  <si>
    <t xml:space="preserve"> 배고픔 느끼게 하는 호르몬으로 공복호르몬이라 불리는 이것은?</t>
  </si>
  <si>
    <t xml:space="preserve"> 히말라야 산맥에는 한글 이름으로 된 봉우리가 있다. 그 이름은?</t>
  </si>
  <si>
    <t xml:space="preserve"> 프랑스어로 '땅 속의 사과를 뜻하는 이것은?</t>
  </si>
  <si>
    <t xml:space="preserve"> 축구 경기에 사용되는 옐로카드와 레드카드는 무엇에서 힌트를 얻었을까?</t>
  </si>
  <si>
    <t xml:space="preserve"> 나이가 들면 흰머리가 나는 이유는?</t>
  </si>
  <si>
    <t xml:space="preserve"> 현악 3중주에 속하지 않는 악기는?</t>
  </si>
  <si>
    <t xml:space="preserve"> 서울 광화문 광장에 서 있는 이순신 장군이 칼을 들고 있는 손은?</t>
  </si>
  <si>
    <t xml:space="preserve"> 조개모양의 타악기로, 스페인어로 밤(栗)을 뜻하는 '카스타니아'에서 유래했다. 이 악기는?</t>
  </si>
  <si>
    <t xml:space="preserve"> 대표적인 황산화물질로 과일에 많이 들어있으며 부족하면 괴혈에 걸리는 이것은?</t>
  </si>
  <si>
    <t xml:space="preserve"> 화이트 아웃이란?</t>
  </si>
  <si>
    <t xml:space="preserve"> 다음 중 종류가 다른 하나는?</t>
  </si>
  <si>
    <t xml:space="preserve"> 자고 있는 사람이 스스로 꿈이라는 것을 자각하면서 꾸는 꿈을 말하는 것은?</t>
  </si>
  <si>
    <t xml:space="preserve"> '살을 에는 듯 매섭게 부는 차가운 바람'을 가리키는 순우리말은?</t>
  </si>
  <si>
    <t xml:space="preserve"> 2007년부터 발행된 천원 권에 그려진 그림은 무엇일까?</t>
  </si>
  <si>
    <t xml:space="preserve"> 한 국가의 금융 위기가 주변국가로 파급되는 현상을 일컫는 경제용어는?</t>
  </si>
  <si>
    <t xml:space="preserve"> (그림 보여주고) 이 도형에는 모두 몇 개의 삼각형이 있을까?</t>
  </si>
  <si>
    <t xml:space="preserve"> &lt;HOT, 미운오리새끼, 편의점&gt; 다음 단어로 연상되는 인물은?</t>
  </si>
  <si>
    <t xml:space="preserve"> 체온 조절을 위해 몸에서 분비되는 액체는?</t>
  </si>
  <si>
    <t xml:space="preserve"> 낙타의 혹에 들어있는 것은?</t>
  </si>
  <si>
    <t xml:space="preserve"> "악마처럼 검고 지옥처럼 뜨거우며, 천사와 같이 순수하고 사랑처럼 달콤하나"는 이것은?</t>
  </si>
  <si>
    <t xml:space="preserve"> 이십끼 형에 나오는 &lt;맛있는 녀석들&gt;의 멤버중 KBS공채 기수가 가장 빠른 멤버는?</t>
  </si>
  <si>
    <t xml:space="preserve"> 동요 &lt;둥근 해가 떴습니다&gt;에서 일어나서 제일 먼저 할 일은?</t>
  </si>
  <si>
    <t xml:space="preserve"> 육류를 연하게 하고 육즙이 많게 하는 지방의 분포를 의미하는 말은?</t>
  </si>
  <si>
    <t xml:space="preserve"> MC민상이 마라톤 중 3등을 앞질렀다. MC민상의 순위는?</t>
  </si>
  <si>
    <t xml:space="preserve"> 의학계에서 정식 명칭으로 사용 되고 있는 것은?</t>
  </si>
  <si>
    <t xml:space="preserve"> 1+4=5 / 2+5=12 / 3+6=21 / 6+9=?</t>
  </si>
  <si>
    <t xml:space="preserve"> 감은 감인데 먹지 못하는 감은?</t>
  </si>
  <si>
    <t xml:space="preserve"> 호동왕자와 결혼한 사람은?</t>
  </si>
  <si>
    <t xml:space="preserve"> 사물놀이에 사용되지 않는 악기는?</t>
  </si>
  <si>
    <t xml:space="preserve"> 다음 중 소속사가다른 영웅 캐릭터는?</t>
  </si>
  <si>
    <t xml:space="preserve"> 빨강 물감에 파랑 물감을 섞으면 어떤색이 나올까?</t>
  </si>
  <si>
    <t xml:space="preserve"> 엘리베이터가 움직이는 원리는?</t>
  </si>
  <si>
    <t xml:space="preserve"> 다음 중 '셜록 홈즈'와 직업이 다른 캐릭터는?</t>
  </si>
  <si>
    <t xml:space="preserve"> 재즈 연주자들이 악보 없이 하는 즉흥적인 연주를 기리키는 말은?</t>
  </si>
  <si>
    <t xml:space="preserve"> 자유의 여신상이 왼손에 들고 있는 것은?</t>
  </si>
  <si>
    <t xml:space="preserve"> 마리 앙투아네트는 싫어하는 이것을 초콜릿으로 극복했다고 한다. 이것은?</t>
  </si>
  <si>
    <t xml:space="preserve"> 신기루, 아지랑이, 무지개와 관련있는 빛의 현상은?</t>
  </si>
  <si>
    <t xml:space="preserve"> 달리던 버스가 급정거하는 바람에 민상과 윤화가 앞으로 넘어졌다. 관련 있는 것은?</t>
  </si>
  <si>
    <t xml:space="preserve"> (헤드폰을 쓰고 민상이 춤추는 중) MC민상이 지금 듣고 있는 노래는?</t>
  </si>
  <si>
    <t xml:space="preserve"> (실로폰 연주) 동요 산토끼에서 사용되지 않은 계이름은?</t>
  </si>
  <si>
    <t xml:space="preserve"> (실로폰 연주) MC민상이 때린 계이름은?</t>
  </si>
  <si>
    <t xml:space="preserve"> (햄버거 3개를 가져나옴) 다음 중 버거킹의 햄버거중에서 '불고기 와퍼'는?</t>
  </si>
  <si>
    <t xml:space="preserve"> (과일을 들고 나와서) 이 과일의 이름은 뭘까요?</t>
  </si>
  <si>
    <t xml:space="preserve"> (달걀을 굴린 후) 이 달걀은? </t>
  </si>
  <si>
    <t xml:space="preserve"> (유리컵 3개에 물을 다르게 채움) 이 중 컵안에 물의 양이 가장 적은 것은?</t>
  </si>
  <si>
    <t xml:space="preserve"> (그림을 들고나와서) 정사각형은 모두 몇 개일까?</t>
  </si>
  <si>
    <t xml:space="preserve"> 9=72 / 8=56 / 7=42 / 6=30 / 5=20 / 3=?</t>
  </si>
  <si>
    <t xml:space="preserve"> 아라비아 숫자를 처음 고안한 나라는?</t>
  </si>
  <si>
    <t xml:space="preserve"> &lt;파두, 제로니모스 스두원, 에그타르트&gt; 다음 단어로 연상되는 나라는?</t>
  </si>
  <si>
    <t xml:space="preserve"> 캐노피</t>
  </si>
  <si>
    <t xml:space="preserve"> 50원</t>
  </si>
  <si>
    <t xml:space="preserve"> 종종종</t>
  </si>
  <si>
    <t xml:space="preserve"> 쿠키</t>
  </si>
  <si>
    <t xml:space="preserve"> 옥포해전</t>
  </si>
  <si>
    <t xml:space="preserve"> 미국-백악관</t>
  </si>
  <si>
    <t xml:space="preserve"> 글월 문(文)</t>
  </si>
  <si>
    <t xml:space="preserve"> 퍼플카우 마케팅</t>
  </si>
  <si>
    <t xml:space="preserve"> 케 세라,세라 Que Sera, Sera</t>
  </si>
  <si>
    <t xml:space="preserve"> 에베레스트</t>
  </si>
  <si>
    <t xml:space="preserve"> 신</t>
  </si>
  <si>
    <t xml:space="preserve"> 번아웃 증후군</t>
  </si>
  <si>
    <t xml:space="preserve"> 이라크</t>
  </si>
  <si>
    <t xml:space="preserve"> 블록체인</t>
  </si>
  <si>
    <t xml:space="preserve"> 매화</t>
  </si>
  <si>
    <t xml:space="preserve"> 스웨덴</t>
  </si>
  <si>
    <t xml:space="preserve"> 베로나</t>
  </si>
  <si>
    <t xml:space="preserve"> 하늬바람</t>
  </si>
  <si>
    <t xml:space="preserve"> 카르텔</t>
  </si>
  <si>
    <t xml:space="preserve"> 피그말리온 효과</t>
  </si>
  <si>
    <t xml:space="preserve"> 바람</t>
  </si>
  <si>
    <t xml:space="preserve"> Wireless Fidelity</t>
  </si>
  <si>
    <t xml:space="preserve"> 피에스타</t>
  </si>
  <si>
    <t xml:space="preserve"> 하키 공</t>
  </si>
  <si>
    <t xml:space="preserve"> 베게</t>
  </si>
  <si>
    <t xml:space="preserve"> 천리안</t>
  </si>
  <si>
    <t xml:space="preserve"> 쥐의 발</t>
  </si>
  <si>
    <t xml:space="preserve"> 휘바</t>
  </si>
  <si>
    <t xml:space="preserve"> 레드존</t>
  </si>
  <si>
    <t xml:space="preserve"> 짜장</t>
  </si>
  <si>
    <t xml:space="preserve"> 피아노 오르간</t>
  </si>
  <si>
    <t xml:space="preserve"> 송중기♥송혜교</t>
  </si>
  <si>
    <t xml:space="preserve"> 함부라비 법전</t>
  </si>
  <si>
    <t xml:space="preserve"> 할리우드</t>
  </si>
  <si>
    <t xml:space="preserve"> 초코</t>
  </si>
  <si>
    <t xml:space="preserve"> 고봉 밥</t>
  </si>
  <si>
    <t xml:space="preserve"> 에펠탑 (파리)</t>
  </si>
  <si>
    <t xml:space="preserve"> 비비드세대</t>
  </si>
  <si>
    <t xml:space="preserve"> 태학</t>
  </si>
  <si>
    <t xml:space="preserve"> 스파게티니</t>
  </si>
  <si>
    <t xml:space="preserve"> 슬링백</t>
  </si>
  <si>
    <t xml:space="preserve"> 쇼팽</t>
  </si>
  <si>
    <t xml:space="preserve"> 뻔뻔스러워 부끄러움이 없음</t>
  </si>
  <si>
    <t xml:space="preserve"> 아가씨</t>
  </si>
  <si>
    <t xml:space="preserve"> 까마귀</t>
  </si>
  <si>
    <t xml:space="preserve"> 선덕여왕</t>
  </si>
  <si>
    <t xml:space="preserve"> 흰구름</t>
  </si>
  <si>
    <t xml:space="preserve"> 달콤하다</t>
  </si>
  <si>
    <t xml:space="preserve"> FW</t>
  </si>
  <si>
    <t xml:space="preserve"> 가야금</t>
  </si>
  <si>
    <t xml:space="preserve"> 지중해</t>
  </si>
  <si>
    <t xml:space="preserve"> 역쇼루밍족</t>
  </si>
  <si>
    <t xml:space="preserve"> 오리콘차트</t>
  </si>
  <si>
    <t xml:space="preserve"> 270원</t>
  </si>
  <si>
    <t xml:space="preserve"> 설운도</t>
  </si>
  <si>
    <t xml:space="preserve"> 12자리</t>
  </si>
  <si>
    <t xml:space="preserve"> 나시고랭</t>
  </si>
  <si>
    <t xml:space="preserve"> 페니</t>
  </si>
  <si>
    <t xml:space="preserve"> 명동</t>
  </si>
  <si>
    <t xml:space="preserve"> 보라돌이</t>
  </si>
  <si>
    <t xml:space="preserve"> 쥐</t>
  </si>
  <si>
    <t xml:space="preserve"> 빠새</t>
  </si>
  <si>
    <t xml:space="preserve"> 치킨</t>
  </si>
  <si>
    <t xml:space="preserve"> 대한봉</t>
  </si>
  <si>
    <t xml:space="preserve"> 당근</t>
  </si>
  <si>
    <t xml:space="preserve"> 국기</t>
  </si>
  <si>
    <t xml:space="preserve"> 머리카락이 시들어서</t>
  </si>
  <si>
    <t xml:space="preserve"> 바이올린</t>
  </si>
  <si>
    <t xml:space="preserve"> 오른손</t>
  </si>
  <si>
    <t xml:space="preserve"> 캐스터네츠</t>
  </si>
  <si>
    <t xml:space="preserve"> 비타민 A</t>
  </si>
  <si>
    <t xml:space="preserve"> 시야상실</t>
  </si>
  <si>
    <t xml:space="preserve"> 버들강아지</t>
  </si>
  <si>
    <t xml:space="preserve"> 루시드 드림</t>
  </si>
  <si>
    <t xml:space="preserve"> 고추바람</t>
  </si>
  <si>
    <t xml:space="preserve"> 김홍도 - 월정사</t>
  </si>
  <si>
    <t xml:space="preserve"> 위스키 효과</t>
  </si>
  <si>
    <t xml:space="preserve"> 12개</t>
  </si>
  <si>
    <t xml:space="preserve"> 문희준</t>
  </si>
  <si>
    <t xml:space="preserve"> 물</t>
  </si>
  <si>
    <t xml:space="preserve"> 김준현</t>
  </si>
  <si>
    <t xml:space="preserve"> 밥먹기</t>
  </si>
  <si>
    <t xml:space="preserve"> 마블링</t>
  </si>
  <si>
    <t xml:space="preserve"> 1위</t>
  </si>
  <si>
    <t xml:space="preserve"> 아이스크림 두통</t>
  </si>
  <si>
    <t xml:space="preserve"> 홍시</t>
  </si>
  <si>
    <t xml:space="preserve"> 평강공주</t>
  </si>
  <si>
    <t xml:space="preserve"> 꽹과리</t>
  </si>
  <si>
    <t xml:space="preserve"> 배트맨</t>
  </si>
  <si>
    <t xml:space="preserve"> 초록색</t>
  </si>
  <si>
    <t xml:space="preserve"> 도르래의 원리</t>
  </si>
  <si>
    <t xml:space="preserve"> 에르큘 포와로</t>
  </si>
  <si>
    <t xml:space="preserve"> 잼 (Jam)</t>
  </si>
  <si>
    <t xml:space="preserve"> 미국 독립선언서</t>
  </si>
  <si>
    <t xml:space="preserve"> 약 먹기</t>
  </si>
  <si>
    <t xml:space="preserve"> 반사</t>
  </si>
  <si>
    <t xml:space="preserve"> 관성의 법칙 (뉴턴의 제1법칙)</t>
  </si>
  <si>
    <t xml:space="preserve"> 트와이스-TT</t>
  </si>
  <si>
    <t xml:space="preserve"> 방탄소년단-DNA</t>
  </si>
  <si>
    <t xml:space="preserve"> 파</t>
  </si>
  <si>
    <t xml:space="preserve"> 1번 햄버거</t>
  </si>
  <si>
    <t xml:space="preserve"> 람부탄</t>
  </si>
  <si>
    <t xml:space="preserve"> 날달걀 (잘 돌아가지 않음)</t>
  </si>
  <si>
    <t xml:space="preserve"> 1번컵</t>
  </si>
  <si>
    <t xml:space="preserve"> 8개</t>
  </si>
  <si>
    <t xml:space="preserve"> 사우디아라비아</t>
  </si>
  <si>
    <t xml:space="preserve"> 스페인</t>
  </si>
  <si>
    <t xml:space="preserve"> 이발사</t>
  </si>
  <si>
    <t xml:space="preserve"> 금발</t>
  </si>
  <si>
    <t xml:space="preserve"> 필로티</t>
  </si>
  <si>
    <t xml:space="preserve"> 쫑쫑쫑</t>
  </si>
  <si>
    <t xml:space="preserve"> 비스킷</t>
  </si>
  <si>
    <t xml:space="preserve"> 사천해전</t>
  </si>
  <si>
    <t xml:space="preserve"> 체코-프라하 성</t>
  </si>
  <si>
    <t xml:space="preserve"> 무늬 문(紋)</t>
  </si>
  <si>
    <t xml:space="preserve"> 바이럴 마케팅</t>
  </si>
  <si>
    <t xml:space="preserve"> 아모르파티 Amor Fati</t>
  </si>
  <si>
    <t xml:space="preserve"> K2</t>
  </si>
  <si>
    <t xml:space="preserve"> 밥</t>
  </si>
  <si>
    <t xml:space="preserve"> 리셋 증후군</t>
  </si>
  <si>
    <t xml:space="preserve"> 이란</t>
  </si>
  <si>
    <t xml:space="preserve"> 화이트해킹</t>
  </si>
  <si>
    <t xml:space="preserve"> 난초</t>
  </si>
  <si>
    <t xml:space="preserve"> 노르웨이</t>
  </si>
  <si>
    <t xml:space="preserve"> 베네치아</t>
  </si>
  <si>
    <t xml:space="preserve"> 춤바람</t>
  </si>
  <si>
    <t xml:space="preserve"> M&amp;A</t>
  </si>
  <si>
    <t xml:space="preserve"> 후광효과</t>
  </si>
  <si>
    <t xml:space="preserve"> 별</t>
  </si>
  <si>
    <t xml:space="preserve"> Wireless Friend</t>
  </si>
  <si>
    <t xml:space="preserve"> 시에스타</t>
  </si>
  <si>
    <t xml:space="preserve"> 테니스 공</t>
  </si>
  <si>
    <t xml:space="preserve"> 베개</t>
  </si>
  <si>
    <t xml:space="preserve"> 무궁화</t>
  </si>
  <si>
    <t xml:space="preserve"> 소의 말</t>
  </si>
  <si>
    <t xml:space="preserve"> 휘게</t>
  </si>
  <si>
    <t xml:space="preserve"> 옐로우존</t>
  </si>
  <si>
    <t xml:space="preserve"> 찌그렁이</t>
  </si>
  <si>
    <t xml:space="preserve"> 피아노 안단테</t>
  </si>
  <si>
    <t xml:space="preserve"> 유민상♥한지민</t>
  </si>
  <si>
    <t xml:space="preserve"> 로마법 대전</t>
  </si>
  <si>
    <t xml:space="preserve"> 볼리우드</t>
  </si>
  <si>
    <t xml:space="preserve"> 제이지</t>
  </si>
  <si>
    <t xml:space="preserve"> 배불리</t>
  </si>
  <si>
    <t xml:space="preserve"> 자유의 여신상 (뉴욕)</t>
  </si>
  <si>
    <t xml:space="preserve"> 코스파세대</t>
  </si>
  <si>
    <t xml:space="preserve"> 주자감</t>
  </si>
  <si>
    <t xml:space="preserve"> 마카로니</t>
  </si>
  <si>
    <t xml:space="preserve"> 메리제인슈즈</t>
  </si>
  <si>
    <t xml:space="preserve"> 반클라이번</t>
  </si>
  <si>
    <t xml:space="preserve"> 눈치가 없어 그대로 일을 행함</t>
  </si>
  <si>
    <t xml:space="preserve"> 제비</t>
  </si>
  <si>
    <t xml:space="preserve"> 진덕여왕</t>
  </si>
  <si>
    <t xml:space="preserve"> 조각구름</t>
  </si>
  <si>
    <t xml:space="preserve"> 진하다</t>
  </si>
  <si>
    <t xml:space="preserve"> RE</t>
  </si>
  <si>
    <t xml:space="preserve"> 거문고</t>
  </si>
  <si>
    <t xml:space="preserve"> 홍해</t>
  </si>
  <si>
    <t xml:space="preserve"> 모루밍족</t>
  </si>
  <si>
    <t xml:space="preserve"> 빈티지차트</t>
  </si>
  <si>
    <t xml:space="preserve"> 300원</t>
  </si>
  <si>
    <t xml:space="preserve"> 설레임</t>
  </si>
  <si>
    <t xml:space="preserve"> 13자리</t>
  </si>
  <si>
    <t xml:space="preserve"> 똠양꿍</t>
  </si>
  <si>
    <t xml:space="preserve"> 다임</t>
  </si>
  <si>
    <t xml:space="preserve"> N서울타워</t>
  </si>
  <si>
    <t xml:space="preserve"> 뚜비</t>
  </si>
  <si>
    <t xml:space="preserve"> 두더지</t>
  </si>
  <si>
    <t xml:space="preserve"> 체다치즈</t>
  </si>
  <si>
    <t xml:space="preserve"> 렙틴</t>
  </si>
  <si>
    <t xml:space="preserve"> 직지봉</t>
  </si>
  <si>
    <t xml:space="preserve"> 신호등</t>
  </si>
  <si>
    <t xml:space="preserve"> 멋있어 보이라고</t>
  </si>
  <si>
    <t xml:space="preserve"> 하프</t>
  </si>
  <si>
    <t xml:space="preserve"> 왼손</t>
  </si>
  <si>
    <t xml:space="preserve"> 심벌즈</t>
  </si>
  <si>
    <t xml:space="preserve"> 비타민 C</t>
  </si>
  <si>
    <t xml:space="preserve"> 기억상실</t>
  </si>
  <si>
    <t xml:space="preserve"> 하룻강아지</t>
  </si>
  <si>
    <t xml:space="preserve"> 데이 드림</t>
  </si>
  <si>
    <t xml:space="preserve"> 건들바람</t>
  </si>
  <si>
    <t xml:space="preserve"> 신윤복 - 귀로산수도</t>
  </si>
  <si>
    <t xml:space="preserve"> 브랜디 효과</t>
  </si>
  <si>
    <t xml:space="preserve"> 14개</t>
  </si>
  <si>
    <t xml:space="preserve"> 토니안</t>
  </si>
  <si>
    <t xml:space="preserve"> 땀</t>
  </si>
  <si>
    <t xml:space="preserve"> 지방</t>
  </si>
  <si>
    <t xml:space="preserve"> 커피</t>
  </si>
  <si>
    <t xml:space="preserve"> 김민경</t>
  </si>
  <si>
    <t xml:space="preserve"> 세수하기</t>
  </si>
  <si>
    <t xml:space="preserve"> 그래블링</t>
  </si>
  <si>
    <t xml:space="preserve"> 2위</t>
  </si>
  <si>
    <t xml:space="preserve"> 캔디 두통</t>
  </si>
  <si>
    <t xml:space="preserve"> 영감</t>
  </si>
  <si>
    <t xml:space="preserve"> 낙랑공주</t>
  </si>
  <si>
    <t xml:space="preserve"> 장구</t>
  </si>
  <si>
    <t xml:space="preserve"> 앤트맨</t>
  </si>
  <si>
    <t xml:space="preserve"> 남색</t>
  </si>
  <si>
    <t xml:space="preserve"> 팽이의 원리</t>
  </si>
  <si>
    <t xml:space="preserve"> 김전일</t>
  </si>
  <si>
    <t xml:space="preserve"> 젤리 (Jelly)</t>
  </si>
  <si>
    <t xml:space="preserve"> 미국 헌법책</t>
  </si>
  <si>
    <t xml:space="preserve"> 목욕하기</t>
  </si>
  <si>
    <t xml:space="preserve"> 굴절</t>
  </si>
  <si>
    <t xml:space="preserve"> 가속도의 법칙 (뉴턴의 제2법칙)</t>
  </si>
  <si>
    <t xml:space="preserve"> EXID-내일해</t>
  </si>
  <si>
    <t xml:space="preserve"> 워너원-부메랑</t>
  </si>
  <si>
    <t xml:space="preserve"> 솔</t>
  </si>
  <si>
    <t xml:space="preserve"> 라</t>
  </si>
  <si>
    <t xml:space="preserve"> 2번 햄버거</t>
  </si>
  <si>
    <t xml:space="preserve"> 망고스틴</t>
  </si>
  <si>
    <t xml:space="preserve"> 삶은달걀 (잘 돌아감)</t>
  </si>
  <si>
    <t xml:space="preserve"> 2번컵</t>
  </si>
  <si>
    <t xml:space="preserve"> 10개</t>
  </si>
  <si>
    <t xml:space="preserve"> 포르투갈</t>
  </si>
  <si>
    <t xml:space="preserve"> 운전사</t>
  </si>
  <si>
    <t xml:space="preserve"> 검정</t>
  </si>
  <si>
    <t xml:space="preserve"> 포치</t>
  </si>
  <si>
    <t xml:space="preserve"> 100원</t>
  </si>
  <si>
    <t xml:space="preserve"> 총총총</t>
  </si>
  <si>
    <t xml:space="preserve"> 명량해전</t>
  </si>
  <si>
    <t xml:space="preserve"> 아르헨티나-그린하우스</t>
  </si>
  <si>
    <t xml:space="preserve"> 입술 문(吻)</t>
  </si>
  <si>
    <t xml:space="preserve"> 앰부시 마케팅</t>
  </si>
  <si>
    <t xml:space="preserve"> 욜로 YOLO</t>
  </si>
  <si>
    <t xml:space="preserve"> 안나푸르나</t>
  </si>
  <si>
    <t xml:space="preserve"> 법</t>
  </si>
  <si>
    <t xml:space="preserve"> 리플리 증후군</t>
  </si>
  <si>
    <t xml:space="preserve"> 퍼블릭트레이드</t>
  </si>
  <si>
    <t xml:space="preserve"> 군초</t>
  </si>
  <si>
    <t xml:space="preserve"> 덴마크</t>
  </si>
  <si>
    <t xml:space="preserve"> 베를린</t>
  </si>
  <si>
    <t xml:space="preserve"> 마파람</t>
  </si>
  <si>
    <t xml:space="preserve"> 신디케이트</t>
  </si>
  <si>
    <t xml:space="preserve"> 넛지효과</t>
  </si>
  <si>
    <t xml:space="preserve"> 달</t>
  </si>
  <si>
    <t xml:space="preserve"> Wife and Fire</t>
  </si>
  <si>
    <t xml:space="preserve"> 시스타</t>
  </si>
  <si>
    <t xml:space="preserve"> 골프 공</t>
  </si>
  <si>
    <t xml:space="preserve"> 배게</t>
  </si>
  <si>
    <t xml:space="preserve"> 아리랑</t>
  </si>
  <si>
    <t xml:space="preserve"> 고양이의 발</t>
  </si>
  <si>
    <t xml:space="preserve"> 휘센</t>
  </si>
  <si>
    <t xml:space="preserve"> 파티존</t>
  </si>
  <si>
    <t xml:space="preserve"> 짜발량이</t>
  </si>
  <si>
    <t xml:space="preserve"> 피아노 포르테</t>
  </si>
  <si>
    <t xml:space="preserve"> 홍윤화♥김민기</t>
  </si>
  <si>
    <t xml:space="preserve"> 구텐베르크 성경</t>
  </si>
  <si>
    <t xml:space="preserve"> 인디우드</t>
  </si>
  <si>
    <t xml:space="preserve"> 라이언</t>
  </si>
  <si>
    <t xml:space="preserve"> 고운 밥</t>
  </si>
  <si>
    <t xml:space="preserve"> 빅벤 (런던)</t>
  </si>
  <si>
    <t xml:space="preserve"> 욜로세대</t>
  </si>
  <si>
    <t xml:space="preserve"> 독서삼품과</t>
  </si>
  <si>
    <t xml:space="preserve"> 마르게리따</t>
  </si>
  <si>
    <t xml:space="preserve"> 미라클힐</t>
  </si>
  <si>
    <t xml:space="preserve"> 차이코프스키</t>
  </si>
  <si>
    <t xml:space="preserve"> 얼굴 뒤에 숨겨진 무식함</t>
  </si>
  <si>
    <t xml:space="preserve"> 파더</t>
  </si>
  <si>
    <t xml:space="preserve"> 까치</t>
  </si>
  <si>
    <t xml:space="preserve"> 파랑</t>
  </si>
  <si>
    <t xml:space="preserve"> 솔바람</t>
  </si>
  <si>
    <t xml:space="preserve"> 점찍다</t>
  </si>
  <si>
    <t xml:space="preserve"> FE</t>
  </si>
  <si>
    <t xml:space="preserve"> 해금</t>
  </si>
  <si>
    <t xml:space="preserve"> 카리브해</t>
  </si>
  <si>
    <t xml:space="preserve"> 바이슈머</t>
  </si>
  <si>
    <t xml:space="preserve"> 소믈리에차트</t>
  </si>
  <si>
    <t xml:space="preserve"> 320원</t>
  </si>
  <si>
    <t xml:space="preserve"> 설리번</t>
  </si>
  <si>
    <t xml:space="preserve"> 14자리</t>
  </si>
  <si>
    <t xml:space="preserve"> 팟타이</t>
  </si>
  <si>
    <t xml:space="preserve"> 파운드</t>
  </si>
  <si>
    <t xml:space="preserve"> 4대고궁</t>
  </si>
  <si>
    <t xml:space="preserve"> 뽀</t>
  </si>
  <si>
    <t xml:space="preserve"> 개미</t>
  </si>
  <si>
    <t xml:space="preserve"> 봉골레파스타</t>
  </si>
  <si>
    <t xml:space="preserve"> 그렐린</t>
  </si>
  <si>
    <t xml:space="preserve"> 세종봉</t>
  </si>
  <si>
    <t xml:space="preserve"> 일출과 일몰</t>
  </si>
  <si>
    <t xml:space="preserve"> 색소를 만드는 기능이 떨어져서</t>
  </si>
  <si>
    <t xml:space="preserve"> 첼로</t>
  </si>
  <si>
    <t xml:space="preserve"> 양손</t>
  </si>
  <si>
    <t xml:space="preserve"> 트라이앵글</t>
  </si>
  <si>
    <t xml:space="preserve"> 비타민 D</t>
  </si>
  <si>
    <t xml:space="preserve"> 정보상실</t>
  </si>
  <si>
    <t xml:space="preserve"> 복슬강아지</t>
  </si>
  <si>
    <t xml:space="preserve"> 드림 캐쳐</t>
  </si>
  <si>
    <t xml:space="preserve"> 살바람</t>
  </si>
  <si>
    <t xml:space="preserve"> 정선 - 계상정거도</t>
  </si>
  <si>
    <t xml:space="preserve"> 테킬라 효과</t>
  </si>
  <si>
    <t xml:space="preserve"> 16개</t>
  </si>
  <si>
    <t xml:space="preserve"> 은지원</t>
  </si>
  <si>
    <t xml:space="preserve"> 단백질</t>
  </si>
  <si>
    <t xml:space="preserve"> 와인</t>
  </si>
  <si>
    <t xml:space="preserve"> 유민상</t>
  </si>
  <si>
    <t xml:space="preserve"> 이 닦기</t>
  </si>
  <si>
    <t xml:space="preserve"> 하울링</t>
  </si>
  <si>
    <t xml:space="preserve"> 3위</t>
  </si>
  <si>
    <t xml:space="preserve"> 햄버거 두통</t>
  </si>
  <si>
    <t xml:space="preserve"> 54 (오류 인정으로 방송중지)</t>
  </si>
  <si>
    <t xml:space="preserve"> 곶감</t>
  </si>
  <si>
    <t xml:space="preserve"> 백설공주</t>
  </si>
  <si>
    <t xml:space="preserve"> 피리</t>
  </si>
  <si>
    <t xml:space="preserve"> 스파이더맨</t>
  </si>
  <si>
    <t xml:space="preserve"> 보라색</t>
  </si>
  <si>
    <t xml:space="preserve"> 지렛대의 원리</t>
  </si>
  <si>
    <t xml:space="preserve"> 이재한</t>
  </si>
  <si>
    <t xml:space="preserve"> 드롭스 (Drops)</t>
  </si>
  <si>
    <t xml:space="preserve"> 성경책</t>
  </si>
  <si>
    <t xml:space="preserve"> 산책하기</t>
  </si>
  <si>
    <t xml:space="preserve"> 산란</t>
  </si>
  <si>
    <t xml:space="preserve"> 작용-반작용의 법칙 (뉴턴의 제3법칙)</t>
  </si>
  <si>
    <t xml:space="preserve"> 레드벨벳-Bad Boy</t>
  </si>
  <si>
    <t xml:space="preserve"> 위너-EVERYDAY</t>
  </si>
  <si>
    <t xml:space="preserve"> 시</t>
  </si>
  <si>
    <t xml:space="preserve"> 3번 햄버거</t>
  </si>
  <si>
    <t xml:space="preserve"> 애플망고</t>
  </si>
  <si>
    <t xml:space="preserve"> 달걀귀신</t>
  </si>
  <si>
    <t xml:space="preserve"> 3번컵 (물의 양이 적을 수록 가장 높은 음)</t>
  </si>
  <si>
    <t xml:space="preserve"> 인도</t>
  </si>
  <si>
    <t xml:space="preserve"> 모나코</t>
  </si>
  <si>
    <t xml:space="preserve"> MC민상이 좋아하는 문어의 "문"은 한자로 어떻게 쓸까?</t>
  </si>
  <si>
    <t xml:space="preserve"> 대한민국 헌법 제11조 1항에는 "모든 국민은 ( )앞에 평등하다"고 명시돼 있다. ( )안에 들어갈 말은?</t>
  </si>
  <si>
    <t xml:space="preserve"> 노벨상의 6개 부문 중 하나인 "노벨평화상" 시상식이 열리는 나라는?</t>
  </si>
  <si>
    <t xml:space="preserve"> &lt;로미오와 줄리엣&gt;의 배경이 된 곳으로 "사랑의 도시"라고도 불리는 이탈리아의 이곳은?</t>
  </si>
  <si>
    <t xml:space="preserve"> "남쪽에서 부는 바람"을 뜻하는 말은?</t>
  </si>
  <si>
    <t xml:space="preserve"> 글씨를 아무렇게나 써놓은 것을 가리켜 "괴발개발"이라 하는데, 이때 "괴발"은?</t>
  </si>
  <si>
    <t xml:space="preserve"> "아늑함", "편안함"을 뜻하는 덴마크어로, 좋은 사람들과 보내는 시간에서 느끼는 감정을 표현한 단어는?</t>
  </si>
  <si>
    <t xml:space="preserve"> "과연, 정말로"를 뜻하는 순우리말은?</t>
  </si>
  <si>
    <t xml:space="preserve"> "눈에는 눈, 이에는 이"라는 탈리오 법칙을 담고 있는 법전은?</t>
  </si>
  <si>
    <t xml:space="preserve"> 칠월칠석, 견우와 직녀가 만날 수 있도록 "오작교"를 잇는 동물이 아닌 것은?</t>
  </si>
  <si>
    <t xml:space="preserve"> 캐러멜 마키아토에서 "마키아토"의 뜻은?</t>
  </si>
  <si>
    <t xml:space="preserve"> 이메일의 "전달" 버튼을 누르면 메일 제목 맨 앞에 생기는 글자는?</t>
  </si>
  <si>
    <t xml:space="preserve"> 심금을 울리다에서 "금"이 가리키는 악기는?</t>
  </si>
  <si>
    <t xml:space="preserve"> MC민상이 좋아하는 영화 &lt;캐리비안의 해적&gt;에서 "캐리비안"은?</t>
  </si>
  <si>
    <t xml:space="preserve"> 프랑스어로 "땅 속의 사과를 뜻하는 이것은?</t>
  </si>
  <si>
    <t xml:space="preserve"> 조개모양의 타악기로, 스페인어로 밤(栗)을 뜻하는 "카스타니아"에서 유래했다. 이 악기는?</t>
  </si>
  <si>
    <t xml:space="preserve"> "살을 에는 듯 매섭게 부는 차가운 바람"을 가리키는 순우리말은?</t>
  </si>
  <si>
    <t xml:space="preserve"> 다음 중 "셜록 홈즈"와 직업이 다른 캐릭터는?</t>
  </si>
  <si>
    <t xml:space="preserve"> (햄버거 3개를 가져나옴) 다음 중 버거킹의 햄버거중에서 "불고기 와퍼"는?</t>
  </si>
  <si>
    <t xml:space="preserve"> 다음중 만화(웹툰)를 원작으로 하는 작품이 아닌 것은?</t>
  </si>
  <si>
    <t xml:space="preserve"> 'V.I.P'.에서 'P'의 뜻은?</t>
  </si>
  <si>
    <t xml:space="preserve"> 다음중 법정공휴일이 아닌 날은?</t>
  </si>
  <si>
    <t xml:space="preserve"> 간단한 마크업 언어와 웹 브라우저를 이용, 공동으로 문서를 작성할 수 있는 웹사이트의 명칭은?</t>
  </si>
  <si>
    <t xml:space="preserve"> 인디언 말로 '위대한 강'이라는 뜻으로, 미국 중부를 종단하는 미국 최대의 강은?</t>
  </si>
  <si>
    <t xml:space="preserve"> 호주를 상징하는 동물 '코알라(Koala)'의 뜻은?</t>
  </si>
  <si>
    <t xml:space="preserve"> 태양의 꽃, 반 고흐, 페루 다음 단어로 연상되는 꽃은?</t>
  </si>
  <si>
    <t xml:space="preserve"> MC민상이 좋아하는 술인 소주의 '소'자의 한자는?</t>
  </si>
  <si>
    <t xml:space="preserve"> 오페라 &lt;사랑의 묘약&gt; 에서 남자주인공이 '사랑의 묘약'인 줄 알고 산 것은?</t>
  </si>
  <si>
    <t xml:space="preserve"> 스페인에서 '천생연분'을 뜻하는 표현은?</t>
  </si>
  <si>
    <t xml:space="preserve"> MC민상의 애창곡 '한국을 빛낸 100명의 위인들'에 등장하지 않는 이름은?</t>
  </si>
  <si>
    <t xml:space="preserve"> 동서남북을 지키는 상징적 동물을 그린 그림 '사신도'에 등장하지 않는 것은?</t>
  </si>
  <si>
    <t xml:space="preserve"> &lt;□오션, □칩, □카드&gt;에서  □안에 공통으로 들어가는 단어는?</t>
  </si>
  <si>
    <t xml:space="preserve"> 온라인 예매사이트 '티켓링크'에서 예매할 수 없는 것은?</t>
  </si>
  <si>
    <t xml:space="preserve"> 바이올린 소리를 부드럽게 하기 위에 활에 바르는 것은?</t>
  </si>
  <si>
    <t xml:space="preserve"> 영화 &lt;죽은 시인의 사회&gt;, &lt;내 마음의 풍금&gt;, &lt;완득이&gt; 주인공의 공통 직업은?</t>
  </si>
  <si>
    <t xml:space="preserve"> 지난 4월 27일 열린 남북정상회담 만찬에서 '제주소년' 오연준 군이 부른 노래는?</t>
  </si>
  <si>
    <t xml:space="preserve"> 나침반의 빨간 바늘이 가리키는 방향은?</t>
  </si>
  <si>
    <t xml:space="preserve"> 좋은 일이 계속 생기고, 나쁜 일도 전화위복이 되는 상황은?</t>
  </si>
  <si>
    <t xml:space="preserve"> 패션쇼에서 모델이 걷는 무대를 일컫는 말이 아닌 것은?</t>
  </si>
  <si>
    <t xml:space="preserve"> 올해 1월부터 병사 봉급이 올랐다. "병장"의 월급은?</t>
  </si>
  <si>
    <t xml:space="preserve"> 태극기의 사방을 감싸고 있는 괘의 이름이 아닌 것은?</t>
  </si>
  <si>
    <t xml:space="preserve"> &lt;플라멩코, 돈키호테, 가우디&gt; 다음 단어로 연상되느 나라는?</t>
  </si>
  <si>
    <t xml:space="preserve"> 사람의 지문(指紋)처럼 소를 구별할 때 사용하는 부위는?</t>
  </si>
  <si>
    <t xml:space="preserve"> 과일에 다량의 설탕을 넣고 조려서 만든 저장식품은?</t>
  </si>
  <si>
    <t xml:space="preserve"> 결혼식 폐백 때 자손번창을 기원하며 신랑, 신부에게 던져주는 것이 아닌 것은?</t>
  </si>
  <si>
    <t xml:space="preserve"> 도원결의(桃園結義)와 관계있는 과일은?</t>
  </si>
  <si>
    <t xml:space="preserve"> 우리나라에서 가장 긴 고속도로는?</t>
  </si>
  <si>
    <t xml:space="preserve"> 자석에 붙지 않는 것은?</t>
  </si>
  <si>
    <t xml:space="preserve"> 굿거리장단의 구음은?</t>
  </si>
  <si>
    <t xml:space="preserve"> 잘못된 표기는?</t>
  </si>
  <si>
    <t xml:space="preserve"> 화투 패에 등장하지 않는 새는?</t>
  </si>
  <si>
    <t xml:space="preserve"> 다음 중 5월 달력에 없는 날은?</t>
  </si>
  <si>
    <t xml:space="preserve"> 셰익스피어의 대표적 희극으로 연인들의 사랑과 갈등이 초자연적 힘을 빌려 해결되는 이야기는?</t>
  </si>
  <si>
    <t xml:space="preserve"> 1조 이상의 기업 가치를 가진 비상장 신생기업(스타트업)을 뜻하는 용어는?</t>
  </si>
  <si>
    <t xml:space="preserve"> 유네스코에서 제정한 국제상 중 '세종대황상'은 어떤 상일까?</t>
  </si>
  <si>
    <t xml:space="preserve"> &lt;똘똘이 스머프, 뽀로로, 해리포터&gt;의 공통점은?</t>
  </si>
  <si>
    <t xml:space="preserve"> 최근 내한한 영화 '데드풀 2' 주연배의 이름은?</t>
  </si>
  <si>
    <t xml:space="preserve"> 가로형 신호등의 순서로 바른 것은?(#왼쪽부터)</t>
  </si>
  <si>
    <t xml:space="preserve"> 다음 중 박진영이 프로듀싱한 그룹이 아닌 것은?</t>
  </si>
  <si>
    <t xml:space="preserve"> 좌우대칭과 관련 있는 미술 기법은?</t>
  </si>
  <si>
    <t xml:space="preserve"> 동전 테두리의 톱니는 왜 생겨난 걸까요?</t>
  </si>
  <si>
    <t xml:space="preserve"> 빈센트 반 고흐의 작품이 아닌 것은?</t>
  </si>
  <si>
    <t xml:space="preserve"> 다음 영화 중  주인공이 다른 하나는?</t>
  </si>
  <si>
    <t xml:space="preserve"> &lt;개그계 대표 미남미녀 홍윤화, 김민기가 목하 열애 중이다&gt; 에서 '목하'란?</t>
  </si>
  <si>
    <t xml:space="preserve"> "잠잘 때 오직 몇 방울의 '샤넬 넘버5'만 걸친다"고 고백한 여배우는?</t>
  </si>
  <si>
    <t xml:space="preserve"> '안성맞춤'애서 '안성'이 뜻하는 것은?</t>
  </si>
  <si>
    <t xml:space="preserve"> 체코 보헤미아 지방에서 시작됐으며, 빠른 2박자 리듬이 특징인 민속춤곡은?</t>
  </si>
  <si>
    <t xml:space="preserve"> 다음 중 뽀로로에 등장하지 않는 캐릭터는</t>
  </si>
  <si>
    <t xml:space="preserve"> 이 캐릭터는 무엇일까요?(푸우사진)</t>
  </si>
  <si>
    <t xml:space="preserve"> 민상이 들었던 노래의 제목은?</t>
  </si>
  <si>
    <t xml:space="preserve"> 이 동요의 제목은?(어린이날 특집, 유민상이 실로폰으로 연주)</t>
  </si>
  <si>
    <t xml:space="preserve"> 법원 통계정보에 따르면 2016~2017년도 출생 신고한 남녀 신생아 이름 1위는?</t>
  </si>
  <si>
    <t xml:space="preserve"> 민상이 만든 것은 무엇일까요?(어린이날 특집, 유민상이 고무찰흙으로 만듬)</t>
  </si>
  <si>
    <t xml:space="preserve"> 심슨 가족의 호머가 놀라거나 좋지 않은 일이 생길 때 하는 이 말은?</t>
  </si>
  <si>
    <t xml:space="preserve"> 아이들의 간식 '머랭쿠키'에 들어가지 않는 재료는?</t>
  </si>
  <si>
    <t xml:space="preserve"> "어린이 날"을 만든 사람은?</t>
  </si>
  <si>
    <t xml:space="preserve"> 어린이 날을 만든 방정환 선생의 호 '소파'의 뜻은?</t>
  </si>
  <si>
    <t xml:space="preserve"> 다음 중 '육아'와 관련된 신조어가 아닌 것은?</t>
  </si>
  <si>
    <t xml:space="preserve"> 스웨덴에서 육아휴직을 하는 등 육아에 참여하는 아빠를 의미하는 말은?</t>
  </si>
  <si>
    <t xml:space="preserve"> 신과함께</t>
  </si>
  <si>
    <t xml:space="preserve"> Present</t>
  </si>
  <si>
    <t xml:space="preserve"> 부처님 오신날</t>
  </si>
  <si>
    <t xml:space="preserve"> 위젯</t>
  </si>
  <si>
    <t xml:space="preserve"> 아마존강</t>
  </si>
  <si>
    <t xml:space="preserve"> 물이 없다</t>
  </si>
  <si>
    <t xml:space="preserve"> 작을 소(小)</t>
  </si>
  <si>
    <t xml:space="preserve"> 반쪽 오렌지</t>
  </si>
  <si>
    <t xml:space="preserve"> 백결</t>
  </si>
  <si>
    <t xml:space="preserve"> 백호</t>
  </si>
  <si>
    <t xml:space="preserve"> 블루</t>
  </si>
  <si>
    <t xml:space="preserve"> 프로야구</t>
  </si>
  <si>
    <t xml:space="preserve"> 송진가루</t>
  </si>
  <si>
    <t xml:space="preserve"> 바람이 불어오는 곳</t>
  </si>
  <si>
    <t xml:space="preserve"> 남쪽</t>
  </si>
  <si>
    <t xml:space="preserve"> 머피의 법칙</t>
  </si>
  <si>
    <t xml:space="preserve"> 애비로드</t>
  </si>
  <si>
    <t xml:space="preserve"> 21만 6000원</t>
  </si>
  <si>
    <t xml:space="preserve"> 건</t>
  </si>
  <si>
    <t xml:space="preserve"> 귀</t>
  </si>
  <si>
    <t xml:space="preserve"> Jam</t>
  </si>
  <si>
    <t xml:space="preserve"> 밤</t>
  </si>
  <si>
    <t xml:space="preserve"> 경부고속도로</t>
  </si>
  <si>
    <t xml:space="preserve"> 볼트</t>
  </si>
  <si>
    <t xml:space="preserve"> 덩덕쿵덕쿵덕쿵덕</t>
  </si>
  <si>
    <t xml:space="preserve"> 달걀껍데기</t>
  </si>
  <si>
    <t xml:space="preserve"> 봉황</t>
  </si>
  <si>
    <t xml:space="preserve"> 스승의 날</t>
  </si>
  <si>
    <t xml:space="preserve"> 한여름 밤의 꿈</t>
  </si>
  <si>
    <t xml:space="preserve"> 유니콘 기업</t>
  </si>
  <si>
    <t xml:space="preserve"> 문맹퇴치 공로상</t>
  </si>
  <si>
    <t xml:space="preserve"> 마법을 쓴다</t>
  </si>
  <si>
    <t xml:space="preserve"> 라이언 레이놀즈</t>
  </si>
  <si>
    <t xml:space="preserve"> 빨강-노랑-초록</t>
  </si>
  <si>
    <t xml:space="preserve"> 트와이스</t>
  </si>
  <si>
    <t xml:space="preserve"> 화폐 훼손 방지</t>
  </si>
  <si>
    <t xml:space="preserve"> 해바라기</t>
  </si>
  <si>
    <t xml:space="preserve"> 타이타닉</t>
  </si>
  <si>
    <t xml:space="preserve"> 남모르게</t>
  </si>
  <si>
    <t xml:space="preserve"> 오드리 헵번</t>
  </si>
  <si>
    <t xml:space="preserve"> 경기도 안성</t>
  </si>
  <si>
    <t xml:space="preserve"> 왈츠</t>
  </si>
  <si>
    <t xml:space="preserve"> 크롱</t>
  </si>
  <si>
    <t xml:space="preserve"> 스펀지 밥</t>
  </si>
  <si>
    <t xml:space="preserve"> 선미 - 가시나</t>
  </si>
  <si>
    <t xml:space="preserve"> 아빠하고 나하고</t>
  </si>
  <si>
    <t xml:space="preserve"> 하준-서윤</t>
  </si>
  <si>
    <t xml:space="preserve"> 눈사람</t>
  </si>
  <si>
    <t xml:space="preserve"> 엄마야! (Ummayah!)</t>
  </si>
  <si>
    <t xml:space="preserve"> 달걀흰자</t>
  </si>
  <si>
    <t xml:space="preserve"> 백범 김구(첫번째 사진)</t>
  </si>
  <si>
    <t xml:space="preserve"> 작은 아이</t>
  </si>
  <si>
    <t xml:space="preserve"> 프렌디</t>
  </si>
  <si>
    <t xml:space="preserve"> 라떼파파</t>
  </si>
  <si>
    <t xml:space="preserve"> 미생</t>
  </si>
  <si>
    <t xml:space="preserve"> Person</t>
  </si>
  <si>
    <t xml:space="preserve"> 추석 다음날</t>
  </si>
  <si>
    <t xml:space="preserve"> 위키</t>
  </si>
  <si>
    <t xml:space="preserve"> 콜로라도강</t>
  </si>
  <si>
    <t xml:space="preserve"> 잠을 잔다</t>
  </si>
  <si>
    <t xml:space="preserve"> 불태울 소(燒)</t>
  </si>
  <si>
    <t xml:space="preserve"> 반쪽 토마토</t>
  </si>
  <si>
    <t xml:space="preserve"> 반쪽 올리브</t>
  </si>
  <si>
    <t xml:space="preserve"> 김선달</t>
  </si>
  <si>
    <t xml:space="preserve"> 청룡</t>
  </si>
  <si>
    <t xml:space="preserve"> 라임</t>
  </si>
  <si>
    <t xml:space="preserve"> e스포츠</t>
  </si>
  <si>
    <t xml:space="preserve"> 꽃가루 </t>
  </si>
  <si>
    <t xml:space="preserve"> 선생님</t>
  </si>
  <si>
    <t xml:space="preserve"> 북쪽</t>
  </si>
  <si>
    <t xml:space="preserve"> 해리의 법칙</t>
  </si>
  <si>
    <t xml:space="preserve"> 캣워크</t>
  </si>
  <si>
    <t xml:space="preserve"> 40만 5700원</t>
  </si>
  <si>
    <t xml:space="preserve"> 감</t>
  </si>
  <si>
    <t xml:space="preserve"> Zam</t>
  </si>
  <si>
    <t xml:space="preserve"> 알사탕</t>
  </si>
  <si>
    <t xml:space="preserve"> 서해안고속도로</t>
  </si>
  <si>
    <t xml:space="preserve"> 동전</t>
  </si>
  <si>
    <t xml:space="preserve"> 덩기덕쿵더러러러쿵기덕쿵더러러러</t>
  </si>
  <si>
    <t xml:space="preserve"> 조개껍데기</t>
  </si>
  <si>
    <t xml:space="preserve"> 공작</t>
  </si>
  <si>
    <t xml:space="preserve"> 철도의 날</t>
  </si>
  <si>
    <t xml:space="preserve"> 한여름 밤의 꿀</t>
  </si>
  <si>
    <t xml:space="preserve"> 한여름 날의 꿈</t>
  </si>
  <si>
    <t xml:space="preserve"> 팝콘 기업</t>
  </si>
  <si>
    <t xml:space="preserve"> 바른 한글 사용 장려상</t>
  </si>
  <si>
    <t xml:space="preserve"> 안경을 쓴다</t>
  </si>
  <si>
    <t xml:space="preserve"> 삼성 라이온즈</t>
  </si>
  <si>
    <t xml:space="preserve"> 초록-노랑-빨강</t>
  </si>
  <si>
    <t xml:space="preserve"> 셀럽 파이브</t>
  </si>
  <si>
    <t xml:space="preserve"> 데칼코마니</t>
  </si>
  <si>
    <t xml:space="preserve"> 굴러가는 것 방지</t>
  </si>
  <si>
    <t xml:space="preserve"> 별이 빛나는 밤</t>
  </si>
  <si>
    <t xml:space="preserve"> 인셉션</t>
  </si>
  <si>
    <t xml:space="preserve"> 지금</t>
  </si>
  <si>
    <t xml:space="preserve"> 마릴린 먼로</t>
  </si>
  <si>
    <t xml:space="preserve"> 안정적인 상태</t>
  </si>
  <si>
    <t xml:space="preserve"> 폴카</t>
  </si>
  <si>
    <t xml:space="preserve"> 루피</t>
  </si>
  <si>
    <t xml:space="preserve"> 곰돌이 푸우</t>
  </si>
  <si>
    <t xml:space="preserve"> 씨스타 - Loving U</t>
  </si>
  <si>
    <t xml:space="preserve"> 꽃밭에서</t>
  </si>
  <si>
    <t xml:space="preserve"> 주원-지우</t>
  </si>
  <si>
    <t xml:space="preserve"> 사마귀</t>
  </si>
  <si>
    <t xml:space="preserve"> 붐바야! (Boombayah!)</t>
  </si>
  <si>
    <t xml:space="preserve"> 달걀노른자</t>
  </si>
  <si>
    <t xml:space="preserve"> 안중근(두번째 사진)</t>
  </si>
  <si>
    <t xml:space="preserve"> 색동회</t>
  </si>
  <si>
    <t xml:space="preserve"> 피딩족</t>
  </si>
  <si>
    <t xml:space="preserve"> 밀크파파</t>
  </si>
  <si>
    <t xml:space="preserve"> 밥 잘 사주는 예쁜 누나</t>
  </si>
  <si>
    <t xml:space="preserve"> Party</t>
  </si>
  <si>
    <t xml:space="preserve"> 제헌절</t>
  </si>
  <si>
    <t xml:space="preserve"> 블로그</t>
  </si>
  <si>
    <t xml:space="preserve"> 미시시피강</t>
  </si>
  <si>
    <t xml:space="preserve"> 사랑스럽다</t>
  </si>
  <si>
    <t xml:space="preserve"> 국화</t>
  </si>
  <si>
    <t xml:space="preserve"> 밝을 소(昭)</t>
  </si>
  <si>
    <t xml:space="preserve"> 심순애</t>
  </si>
  <si>
    <t xml:space="preserve"> 해태</t>
  </si>
  <si>
    <t xml:space="preserve"> 아이보리</t>
  </si>
  <si>
    <t xml:space="preserve"> 아이폰</t>
  </si>
  <si>
    <t xml:space="preserve"> 커피가루</t>
  </si>
  <si>
    <t xml:space="preserve"> 청소부</t>
  </si>
  <si>
    <t xml:space="preserve"> 우리의 소원</t>
  </si>
  <si>
    <t xml:space="preserve"> 서쪽</t>
  </si>
  <si>
    <t xml:space="preserve"> 샐리의 법칙</t>
  </si>
  <si>
    <t xml:space="preserve"> 런웨이</t>
  </si>
  <si>
    <t xml:space="preserve"> 69만 7400원</t>
  </si>
  <si>
    <t xml:space="preserve"> 지</t>
  </si>
  <si>
    <t xml:space="preserve"> Jem</t>
  </si>
  <si>
    <t xml:space="preserve"> 대추</t>
  </si>
  <si>
    <t xml:space="preserve"> 살구</t>
  </si>
  <si>
    <t xml:space="preserve"> 남해안고속도로</t>
  </si>
  <si>
    <t xml:space="preserve"> 압정</t>
  </si>
  <si>
    <t xml:space="preserve"> 띵띠딩 띵띵</t>
  </si>
  <si>
    <t xml:space="preserve"> 돼지껍데기</t>
  </si>
  <si>
    <t xml:space="preserve"> 기러기</t>
  </si>
  <si>
    <t xml:space="preserve"> 바다의 날</t>
  </si>
  <si>
    <t xml:space="preserve"> 아이스크림콘 기업</t>
  </si>
  <si>
    <t xml:space="preserve"> 우수 출판사 격려상</t>
  </si>
  <si>
    <t xml:space="preserve"> 모자를 쓴다</t>
  </si>
  <si>
    <t xml:space="preserve"> 블레이크 라이블리</t>
  </si>
  <si>
    <t xml:space="preserve"> 빨강-초록-노랑</t>
  </si>
  <si>
    <t xml:space="preserve"> 노을</t>
  </si>
  <si>
    <t xml:space="preserve"> 콜라주</t>
  </si>
  <si>
    <t xml:space="preserve"> 시각장애인 배려</t>
  </si>
  <si>
    <t xml:space="preserve"> 만종</t>
  </si>
  <si>
    <t xml:space="preserve"> 레볼루셔너리 로드</t>
  </si>
  <si>
    <t xml:space="preserve"> 열렬하게</t>
  </si>
  <si>
    <t xml:space="preserve"> 비비안 리</t>
  </si>
  <si>
    <t xml:space="preserve"> 눈에 나타나는 특성</t>
  </si>
  <si>
    <t xml:space="preserve"> 마주르카</t>
  </si>
  <si>
    <t xml:space="preserve"> 쵸파</t>
  </si>
  <si>
    <t xml:space="preserve"> 트와이스- CHEER UP</t>
  </si>
  <si>
    <t xml:space="preserve"> 채송화와 봉숭아</t>
  </si>
  <si>
    <t xml:space="preserve"> 민상-윤화</t>
  </si>
  <si>
    <t xml:space="preserve"> 나비</t>
  </si>
  <si>
    <t xml:space="preserve"> 도우! (D'oh!)</t>
  </si>
  <si>
    <t xml:space="preserve"> 방정환(세번째 사진)</t>
  </si>
  <si>
    <t xml:space="preserve"> 잔물결</t>
  </si>
  <si>
    <t xml:space="preserve"> 프레퍼족</t>
  </si>
  <si>
    <t xml:space="preserve"> 댄디파파</t>
  </si>
  <si>
    <t xml:space="preserve"> 다음중 만화(웹툰)를 원작으로 하는 작품이 아닌 것은?</t>
    <phoneticPr fontId="1" type="noConversion"/>
  </si>
  <si>
    <t xml:space="preserve"> 신과함께</t>
    <phoneticPr fontId="1" type="noConversion"/>
  </si>
  <si>
    <t xml:space="preserve"> 미생</t>
    <phoneticPr fontId="1" type="noConversion"/>
  </si>
  <si>
    <t xml:space="preserve"> 밥 잘 사주는 예쁜 누나</t>
    <phoneticPr fontId="1" type="noConversion"/>
  </si>
  <si>
    <t xml:space="preserve"> 'V.I.P'.에서 'P'의 뜻은?</t>
    <phoneticPr fontId="1" type="noConversion"/>
  </si>
  <si>
    <t xml:space="preserve"> Present</t>
    <phoneticPr fontId="1" type="noConversion"/>
  </si>
  <si>
    <t xml:space="preserve"> Person</t>
    <phoneticPr fontId="1" type="noConversion"/>
  </si>
  <si>
    <t xml:space="preserve"> Party</t>
    <phoneticPr fontId="1" type="noConversion"/>
  </si>
  <si>
    <t xml:space="preserve"> 다음중 법정공휴일이 아닌 날은?</t>
    <phoneticPr fontId="1" type="noConversion"/>
  </si>
  <si>
    <t xml:space="preserve"> 부처님 오신날</t>
    <phoneticPr fontId="1" type="noConversion"/>
  </si>
  <si>
    <t xml:space="preserve"> 추석 다음날</t>
    <phoneticPr fontId="1" type="noConversion"/>
  </si>
  <si>
    <t xml:space="preserve"> 제헌절</t>
    <phoneticPr fontId="1" type="noConversion"/>
  </si>
  <si>
    <t xml:space="preserve"> 간단한 마크업 언어와 웹 브라우저를 이용, 공동으로 문서를 작성할 수 있는 웹사이트의 명칭은?</t>
    <phoneticPr fontId="1" type="noConversion"/>
  </si>
  <si>
    <t xml:space="preserve"> 위젯</t>
    <phoneticPr fontId="1" type="noConversion"/>
  </si>
  <si>
    <t xml:space="preserve"> 위키</t>
    <phoneticPr fontId="1" type="noConversion"/>
  </si>
  <si>
    <t xml:space="preserve"> 블로그</t>
    <phoneticPr fontId="1" type="noConversion"/>
  </si>
  <si>
    <t xml:space="preserve"> 인디언 말로 '위대한 강'이라는 뜻으로, 미국 중부를 종단하는 미국 최대의 강은?</t>
    <phoneticPr fontId="1" type="noConversion"/>
  </si>
  <si>
    <t xml:space="preserve"> 아마존강</t>
    <phoneticPr fontId="1" type="noConversion"/>
  </si>
  <si>
    <t xml:space="preserve"> 콜로라도강</t>
    <phoneticPr fontId="1" type="noConversion"/>
  </si>
  <si>
    <t xml:space="preserve"> 미시시피강</t>
    <phoneticPr fontId="1" type="noConversion"/>
  </si>
  <si>
    <t xml:space="preserve"> 호주를 상징하는 동물 '코알라(Koala)'의 뜻은?</t>
    <phoneticPr fontId="1" type="noConversion"/>
  </si>
  <si>
    <t xml:space="preserve"> 물이 없다</t>
    <phoneticPr fontId="1" type="noConversion"/>
  </si>
  <si>
    <t xml:space="preserve"> 잠을 잔다</t>
    <phoneticPr fontId="1" type="noConversion"/>
  </si>
  <si>
    <t xml:space="preserve"> 사랑스럽다</t>
    <phoneticPr fontId="1" type="noConversion"/>
  </si>
  <si>
    <t xml:space="preserve"> 태양의 꽃, 반 고흐, 페루 다음 단어로 연상되는 꽃은?</t>
    <phoneticPr fontId="1" type="noConversion"/>
  </si>
  <si>
    <t xml:space="preserve"> 동백꽃</t>
    <phoneticPr fontId="1" type="noConversion"/>
  </si>
  <si>
    <t xml:space="preserve"> 해바라기</t>
    <phoneticPr fontId="1" type="noConversion"/>
  </si>
  <si>
    <t xml:space="preserve"> 국화</t>
    <phoneticPr fontId="1" type="noConversion"/>
  </si>
  <si>
    <t xml:space="preserve"> MC민상이 좋아하는 술인 소주의 '소'자의 한자는?</t>
    <phoneticPr fontId="1" type="noConversion"/>
  </si>
  <si>
    <t xml:space="preserve"> 작을 소(小)</t>
    <phoneticPr fontId="1" type="noConversion"/>
  </si>
  <si>
    <t xml:space="preserve"> 불태울 소(燒)</t>
    <phoneticPr fontId="1" type="noConversion"/>
  </si>
  <si>
    <t xml:space="preserve"> 밝을 소(昭)</t>
    <phoneticPr fontId="1" type="noConversion"/>
  </si>
  <si>
    <t xml:space="preserve"> 오페라 &lt;사랑의 묘약&gt; 에서 남자주인공이 '사랑의 묘약'인 줄 알고 산 것은?</t>
    <phoneticPr fontId="1" type="noConversion"/>
  </si>
  <si>
    <t xml:space="preserve"> 커피</t>
    <phoneticPr fontId="1" type="noConversion"/>
  </si>
  <si>
    <t xml:space="preserve"> 초콜릿</t>
    <phoneticPr fontId="1" type="noConversion"/>
  </si>
  <si>
    <t xml:space="preserve"> 와인</t>
    <phoneticPr fontId="1" type="noConversion"/>
  </si>
  <si>
    <t xml:space="preserve"> 스페인에서 '천생연분'을 뜻하는 표현은?</t>
    <phoneticPr fontId="1" type="noConversion"/>
  </si>
  <si>
    <t xml:space="preserve"> 반쪽 오렌지</t>
    <phoneticPr fontId="1" type="noConversion"/>
  </si>
  <si>
    <t xml:space="preserve"> 반쪽 토마토</t>
    <phoneticPr fontId="1" type="noConversion"/>
  </si>
  <si>
    <t xml:space="preserve"> 반쪽 올리브</t>
    <phoneticPr fontId="1" type="noConversion"/>
  </si>
  <si>
    <t xml:space="preserve"> MC민상의 애창곡 '한국을 빛낸 100명의 위인들'에 등장하지 않는 이름은?</t>
    <phoneticPr fontId="1" type="noConversion"/>
  </si>
  <si>
    <t xml:space="preserve"> 백결</t>
    <phoneticPr fontId="1" type="noConversion"/>
  </si>
  <si>
    <t xml:space="preserve"> 김선달</t>
    <phoneticPr fontId="1" type="noConversion"/>
  </si>
  <si>
    <t xml:space="preserve"> 심순애</t>
    <phoneticPr fontId="1" type="noConversion"/>
  </si>
  <si>
    <t xml:space="preserve"> 동서남북을 지키는 상징적 동물을 그린 그림 '사신도'에 등장하지 않는 것은?</t>
    <phoneticPr fontId="1" type="noConversion"/>
  </si>
  <si>
    <t xml:space="preserve"> 백호</t>
    <phoneticPr fontId="1" type="noConversion"/>
  </si>
  <si>
    <t xml:space="preserve"> 청룡</t>
    <phoneticPr fontId="1" type="noConversion"/>
  </si>
  <si>
    <t xml:space="preserve"> 해태</t>
    <phoneticPr fontId="1" type="noConversion"/>
  </si>
  <si>
    <t xml:space="preserve"> &lt;□오션, □칩, □카드&gt;에서  □안에 공통으로 들어가는 단어는?</t>
    <phoneticPr fontId="1" type="noConversion"/>
  </si>
  <si>
    <t xml:space="preserve"> 블루</t>
    <phoneticPr fontId="1" type="noConversion"/>
  </si>
  <si>
    <t xml:space="preserve"> 라임</t>
    <phoneticPr fontId="1" type="noConversion"/>
  </si>
  <si>
    <t xml:space="preserve"> 아이보리</t>
    <phoneticPr fontId="1" type="noConversion"/>
  </si>
  <si>
    <t xml:space="preserve"> 온라인 예매사이트 '티켓링크'에서 예매할 수 없는 것은?</t>
    <phoneticPr fontId="1" type="noConversion"/>
  </si>
  <si>
    <t xml:space="preserve"> 프로야구</t>
    <phoneticPr fontId="1" type="noConversion"/>
  </si>
  <si>
    <t xml:space="preserve"> e스포츠</t>
    <phoneticPr fontId="1" type="noConversion"/>
  </si>
  <si>
    <t xml:space="preserve"> 아이폰</t>
    <phoneticPr fontId="1" type="noConversion"/>
  </si>
  <si>
    <t xml:space="preserve"> 바이올린 소리를 부드럽게 하기 위에 활에 바르는 것은?</t>
    <phoneticPr fontId="1" type="noConversion"/>
  </si>
  <si>
    <t xml:space="preserve"> 송진가루</t>
    <phoneticPr fontId="1" type="noConversion"/>
  </si>
  <si>
    <t xml:space="preserve"> 꽃가루 </t>
    <phoneticPr fontId="1" type="noConversion"/>
  </si>
  <si>
    <t xml:space="preserve"> 커피가루</t>
    <phoneticPr fontId="1" type="noConversion"/>
  </si>
  <si>
    <t xml:space="preserve"> 영화 &lt;죽은 시인의 사회&gt;, &lt;내 마음의 풍금&gt;, &lt;완득이&gt; 주인공의 공통 직업은?</t>
    <phoneticPr fontId="1" type="noConversion"/>
  </si>
  <si>
    <t xml:space="preserve"> 선생님</t>
    <phoneticPr fontId="1" type="noConversion"/>
  </si>
  <si>
    <t xml:space="preserve"> 청소부</t>
    <phoneticPr fontId="1" type="noConversion"/>
  </si>
  <si>
    <t xml:space="preserve"> 지난 4월 27일 열린 남북정상회담 만찬에서 '제주소년' 오연준 군이 부른 노래는?</t>
    <phoneticPr fontId="1" type="noConversion"/>
  </si>
  <si>
    <t xml:space="preserve"> 바람이 불어오는 곳</t>
    <phoneticPr fontId="1" type="noConversion"/>
  </si>
  <si>
    <t xml:space="preserve"> 아리랑</t>
    <phoneticPr fontId="1" type="noConversion"/>
  </si>
  <si>
    <t xml:space="preserve"> 우리의 소원</t>
    <phoneticPr fontId="1" type="noConversion"/>
  </si>
  <si>
    <t xml:space="preserve"> 나침반의 빨간 바늘이 가리키는 방향은?</t>
    <phoneticPr fontId="1" type="noConversion"/>
  </si>
  <si>
    <t xml:space="preserve"> 남쪽</t>
    <phoneticPr fontId="1" type="noConversion"/>
  </si>
  <si>
    <t xml:space="preserve"> 북쪽</t>
    <phoneticPr fontId="1" type="noConversion"/>
  </si>
  <si>
    <t xml:space="preserve"> 서쪽</t>
    <phoneticPr fontId="1" type="noConversion"/>
  </si>
  <si>
    <t xml:space="preserve"> 좋은 일이 계속 생기고, 나쁜 일도 전화위복이 되는 상황은?</t>
    <phoneticPr fontId="1" type="noConversion"/>
  </si>
  <si>
    <t xml:space="preserve"> 머피의 법칙</t>
    <phoneticPr fontId="1" type="noConversion"/>
  </si>
  <si>
    <t xml:space="preserve"> 해리의 법칙</t>
    <phoneticPr fontId="1" type="noConversion"/>
  </si>
  <si>
    <t xml:space="preserve"> 샐리의 법칙</t>
    <phoneticPr fontId="1" type="noConversion"/>
  </si>
  <si>
    <t xml:space="preserve"> 패션쇼에서 모델이 걷는 무대를 일컫는 말이 아닌 것은?</t>
    <phoneticPr fontId="1" type="noConversion"/>
  </si>
  <si>
    <t xml:space="preserve"> 애비로드</t>
    <phoneticPr fontId="1" type="noConversion"/>
  </si>
  <si>
    <t xml:space="preserve"> 캣워크</t>
    <phoneticPr fontId="1" type="noConversion"/>
  </si>
  <si>
    <t xml:space="preserve"> 런웨이</t>
    <phoneticPr fontId="1" type="noConversion"/>
  </si>
  <si>
    <t xml:space="preserve"> 올해 1월부터 병사 봉급이 올랐다. "병장"의 월급은?</t>
    <phoneticPr fontId="1" type="noConversion"/>
  </si>
  <si>
    <t xml:space="preserve"> 21만 6000원</t>
    <phoneticPr fontId="1" type="noConversion"/>
  </si>
  <si>
    <t xml:space="preserve"> 40만 5700원</t>
    <phoneticPr fontId="1" type="noConversion"/>
  </si>
  <si>
    <t xml:space="preserve"> 69만 7400원</t>
    <phoneticPr fontId="1" type="noConversion"/>
  </si>
  <si>
    <t xml:space="preserve"> 태극기의 사방을 감싸고 있는 괘의 이름이 아닌 것은?</t>
    <phoneticPr fontId="1" type="noConversion"/>
  </si>
  <si>
    <t xml:space="preserve"> 건</t>
    <phoneticPr fontId="1" type="noConversion"/>
  </si>
  <si>
    <t xml:space="preserve"> 감</t>
    <phoneticPr fontId="1" type="noConversion"/>
  </si>
  <si>
    <t xml:space="preserve"> 지</t>
    <phoneticPr fontId="1" type="noConversion"/>
  </si>
  <si>
    <t xml:space="preserve"> &lt;플라멩코, 돈키호테, 가우디&gt; 다음 단어로 연상되느 나라는?</t>
    <phoneticPr fontId="1" type="noConversion"/>
  </si>
  <si>
    <t xml:space="preserve"> 스페인</t>
    <phoneticPr fontId="1" type="noConversion"/>
  </si>
  <si>
    <t xml:space="preserve"> 프랑스</t>
    <phoneticPr fontId="1" type="noConversion"/>
  </si>
  <si>
    <t xml:space="preserve"> 포르투갈</t>
    <phoneticPr fontId="1" type="noConversion"/>
  </si>
  <si>
    <t xml:space="preserve"> 사람의 지문(指紋)처럼 소를 구별할 때 사용하는 부위는?</t>
    <phoneticPr fontId="1" type="noConversion"/>
  </si>
  <si>
    <t xml:space="preserve"> 귀</t>
    <phoneticPr fontId="1" type="noConversion"/>
  </si>
  <si>
    <t xml:space="preserve"> 코</t>
    <phoneticPr fontId="1" type="noConversion"/>
  </si>
  <si>
    <t xml:space="preserve"> 과일에 다량의 설탕을 넣고 조려서 만든 저장식품은?</t>
    <phoneticPr fontId="1" type="noConversion"/>
  </si>
  <si>
    <t xml:space="preserve"> Jam</t>
    <phoneticPr fontId="1" type="noConversion"/>
  </si>
  <si>
    <t xml:space="preserve"> Zam</t>
    <phoneticPr fontId="1" type="noConversion"/>
  </si>
  <si>
    <t xml:space="preserve"> Jem</t>
    <phoneticPr fontId="1" type="noConversion"/>
  </si>
  <si>
    <t xml:space="preserve"> 결혼식 폐백 때 자손번창을 기원하며 신랑, 신부에게 던져주는 것이 아닌 것은?</t>
    <phoneticPr fontId="1" type="noConversion"/>
  </si>
  <si>
    <t xml:space="preserve"> 밤</t>
    <phoneticPr fontId="1" type="noConversion"/>
  </si>
  <si>
    <t xml:space="preserve"> 알사탕</t>
    <phoneticPr fontId="1" type="noConversion"/>
  </si>
  <si>
    <t xml:space="preserve"> 대추</t>
    <phoneticPr fontId="1" type="noConversion"/>
  </si>
  <si>
    <t xml:space="preserve"> 도원결의(桃園結義)와 관계있는 과일은?</t>
    <phoneticPr fontId="1" type="noConversion"/>
  </si>
  <si>
    <t xml:space="preserve"> 포도</t>
    <phoneticPr fontId="1" type="noConversion"/>
  </si>
  <si>
    <t xml:space="preserve"> 살구</t>
    <phoneticPr fontId="1" type="noConversion"/>
  </si>
  <si>
    <t xml:space="preserve"> 우리나라에서 가장 긴 고속도로는?</t>
    <phoneticPr fontId="1" type="noConversion"/>
  </si>
  <si>
    <t xml:space="preserve"> 경부고속도로</t>
    <phoneticPr fontId="1" type="noConversion"/>
  </si>
  <si>
    <t xml:space="preserve"> 서해안고속도로</t>
    <phoneticPr fontId="1" type="noConversion"/>
  </si>
  <si>
    <t xml:space="preserve"> 남해안고속도로</t>
    <phoneticPr fontId="1" type="noConversion"/>
  </si>
  <si>
    <t xml:space="preserve"> 자석에 붙지 않는 것은?</t>
    <phoneticPr fontId="1" type="noConversion"/>
  </si>
  <si>
    <t xml:space="preserve"> 볼트</t>
    <phoneticPr fontId="1" type="noConversion"/>
  </si>
  <si>
    <t xml:space="preserve"> 동전</t>
    <phoneticPr fontId="1" type="noConversion"/>
  </si>
  <si>
    <t xml:space="preserve"> 압정</t>
    <phoneticPr fontId="1" type="noConversion"/>
  </si>
  <si>
    <t xml:space="preserve"> 굿거리장단의 구음은?</t>
    <phoneticPr fontId="1" type="noConversion"/>
  </si>
  <si>
    <t xml:space="preserve"> 덩덕쿵덕쿵덕쿵덕</t>
    <phoneticPr fontId="1" type="noConversion"/>
  </si>
  <si>
    <t xml:space="preserve"> 덩기덕쿵더러러러쿵기덕쿵더러러러</t>
    <phoneticPr fontId="1" type="noConversion"/>
  </si>
  <si>
    <t xml:space="preserve"> 띵띠딩 띵띵</t>
    <phoneticPr fontId="1" type="noConversion"/>
  </si>
  <si>
    <t xml:space="preserve"> 잘못된 표기는?</t>
    <phoneticPr fontId="1" type="noConversion"/>
  </si>
  <si>
    <t xml:space="preserve"> 달걀껍데기</t>
    <phoneticPr fontId="1" type="noConversion"/>
  </si>
  <si>
    <t xml:space="preserve"> 조개껍데기</t>
    <phoneticPr fontId="1" type="noConversion"/>
  </si>
  <si>
    <t xml:space="preserve"> 돼지껍데기</t>
    <phoneticPr fontId="1" type="noConversion"/>
  </si>
  <si>
    <t xml:space="preserve"> 화투 패에 등장하지 않는 새는?</t>
    <phoneticPr fontId="1" type="noConversion"/>
  </si>
  <si>
    <t xml:space="preserve"> 봉황</t>
    <phoneticPr fontId="1" type="noConversion"/>
  </si>
  <si>
    <t xml:space="preserve"> 공작</t>
    <phoneticPr fontId="1" type="noConversion"/>
  </si>
  <si>
    <t xml:space="preserve"> 기러기</t>
    <phoneticPr fontId="1" type="noConversion"/>
  </si>
  <si>
    <t xml:space="preserve"> 다음 중 5월 달력에 없는 날은?</t>
    <phoneticPr fontId="1" type="noConversion"/>
  </si>
  <si>
    <t xml:space="preserve"> 스승의 날</t>
    <phoneticPr fontId="1" type="noConversion"/>
  </si>
  <si>
    <t xml:space="preserve"> 철도의 날</t>
    <phoneticPr fontId="1" type="noConversion"/>
  </si>
  <si>
    <t xml:space="preserve"> 바다의 날</t>
    <phoneticPr fontId="1" type="noConversion"/>
  </si>
  <si>
    <t xml:space="preserve"> 셰익스피어의 대표적 희극으로 연인들의 사랑과 갈등이 초자연적 힘을 빌려 해결되는 이야기는?</t>
    <phoneticPr fontId="1" type="noConversion"/>
  </si>
  <si>
    <t xml:space="preserve"> 한여름 밤의 꿈</t>
    <phoneticPr fontId="1" type="noConversion"/>
  </si>
  <si>
    <t xml:space="preserve"> 한여름 밤의 꿀</t>
    <phoneticPr fontId="1" type="noConversion"/>
  </si>
  <si>
    <t xml:space="preserve"> 한여름 날의 꿈</t>
    <phoneticPr fontId="1" type="noConversion"/>
  </si>
  <si>
    <t xml:space="preserve"> 1조 이상의 기업 가치를 가진 비상장 신생기업(스타트업)을 뜻하는 용어는?</t>
    <phoneticPr fontId="1" type="noConversion"/>
  </si>
  <si>
    <t xml:space="preserve"> 유니콘 기업</t>
    <phoneticPr fontId="1" type="noConversion"/>
  </si>
  <si>
    <t xml:space="preserve"> 팝콘 기업</t>
    <phoneticPr fontId="1" type="noConversion"/>
  </si>
  <si>
    <t xml:space="preserve"> 아이스크림콘 기업</t>
    <phoneticPr fontId="1" type="noConversion"/>
  </si>
  <si>
    <t xml:space="preserve"> 유네스코에서 제정한 국제상 중 '세종대황상'은 어떤 상일까?</t>
    <phoneticPr fontId="1" type="noConversion"/>
  </si>
  <si>
    <t xml:space="preserve"> 문맹퇴치 공로상</t>
    <phoneticPr fontId="1" type="noConversion"/>
  </si>
  <si>
    <t xml:space="preserve"> 바른 한글 사용 장려상</t>
    <phoneticPr fontId="1" type="noConversion"/>
  </si>
  <si>
    <t xml:space="preserve"> 우수 출판사 격려상</t>
    <phoneticPr fontId="1" type="noConversion"/>
  </si>
  <si>
    <t xml:space="preserve"> &lt;똘똘이 스머프, 뽀로로, 해리포터&gt;의 공통점은?</t>
    <phoneticPr fontId="1" type="noConversion"/>
  </si>
  <si>
    <t xml:space="preserve"> 마법을 쓴다</t>
    <phoneticPr fontId="1" type="noConversion"/>
  </si>
  <si>
    <t xml:space="preserve"> 안경을 쓴다</t>
    <phoneticPr fontId="1" type="noConversion"/>
  </si>
  <si>
    <t xml:space="preserve"> 모자를 쓴다</t>
    <phoneticPr fontId="1" type="noConversion"/>
  </si>
  <si>
    <t xml:space="preserve"> 최근 내한한 영화 '데드풀 2' 주연배의 이름은?</t>
    <phoneticPr fontId="1" type="noConversion"/>
  </si>
  <si>
    <t xml:space="preserve"> 라이언 레이놀즈</t>
    <phoneticPr fontId="1" type="noConversion"/>
  </si>
  <si>
    <t xml:space="preserve"> 삼성 라이온즈</t>
    <phoneticPr fontId="1" type="noConversion"/>
  </si>
  <si>
    <t xml:space="preserve"> 블레이크 라이블리</t>
    <phoneticPr fontId="1" type="noConversion"/>
  </si>
  <si>
    <t xml:space="preserve"> 가로형 신호등의 순서로 바른 것은?(#왼쪽부터)</t>
    <phoneticPr fontId="1" type="noConversion"/>
  </si>
  <si>
    <t xml:space="preserve"> 빨강-노랑-초록</t>
    <phoneticPr fontId="1" type="noConversion"/>
  </si>
  <si>
    <t xml:space="preserve"> 초록-노랑-빨강</t>
    <phoneticPr fontId="1" type="noConversion"/>
  </si>
  <si>
    <t xml:space="preserve"> 빨강-초록-노랑</t>
    <phoneticPr fontId="1" type="noConversion"/>
  </si>
  <si>
    <t xml:space="preserve"> 다음 중 박진영이 프로듀싱한 그룹이 아닌 것은?</t>
    <phoneticPr fontId="1" type="noConversion"/>
  </si>
  <si>
    <t xml:space="preserve"> 트와이스</t>
    <phoneticPr fontId="1" type="noConversion"/>
  </si>
  <si>
    <t xml:space="preserve"> 셀럽 파이브</t>
    <phoneticPr fontId="1" type="noConversion"/>
  </si>
  <si>
    <t xml:space="preserve"> 노을</t>
    <phoneticPr fontId="1" type="noConversion"/>
  </si>
  <si>
    <t xml:space="preserve"> 좌우대칭과 관련 있는 미술 기법은?</t>
    <phoneticPr fontId="1" type="noConversion"/>
  </si>
  <si>
    <t xml:space="preserve"> 데칼코마니</t>
    <phoneticPr fontId="1" type="noConversion"/>
  </si>
  <si>
    <t xml:space="preserve"> 콜라주</t>
    <phoneticPr fontId="1" type="noConversion"/>
  </si>
  <si>
    <t xml:space="preserve"> 동전 테두리의 톱니는 왜 생겨난 걸까요?</t>
    <phoneticPr fontId="1" type="noConversion"/>
  </si>
  <si>
    <t xml:space="preserve"> 화폐 훼손 방지</t>
    <phoneticPr fontId="1" type="noConversion"/>
  </si>
  <si>
    <t xml:space="preserve"> 굴러가는 것 방지</t>
    <phoneticPr fontId="1" type="noConversion"/>
  </si>
  <si>
    <t xml:space="preserve"> 시각장애인 배려</t>
    <phoneticPr fontId="1" type="noConversion"/>
  </si>
  <si>
    <t xml:space="preserve"> 빈센트 반 고흐의 작품이 아닌 것은?</t>
    <phoneticPr fontId="1" type="noConversion"/>
  </si>
  <si>
    <t xml:space="preserve"> 해바라기</t>
    <phoneticPr fontId="1" type="noConversion"/>
  </si>
  <si>
    <t xml:space="preserve"> 별이 빛나는 밤</t>
    <phoneticPr fontId="1" type="noConversion"/>
  </si>
  <si>
    <t xml:space="preserve"> 만종</t>
    <phoneticPr fontId="1" type="noConversion"/>
  </si>
  <si>
    <t xml:space="preserve"> 다음 영화 중  주인공이 다른 하나는?</t>
    <phoneticPr fontId="1" type="noConversion"/>
  </si>
  <si>
    <t xml:space="preserve"> 타이타닉</t>
    <phoneticPr fontId="1" type="noConversion"/>
  </si>
  <si>
    <t xml:space="preserve"> 인셉션</t>
    <phoneticPr fontId="1" type="noConversion"/>
  </si>
  <si>
    <t xml:space="preserve"> 레볼루셔너리 로드</t>
    <phoneticPr fontId="1" type="noConversion"/>
  </si>
  <si>
    <t xml:space="preserve"> &lt;개그계 대표 미남미녀 홍윤화, 김민기가 목하 열애 중이다&gt; 에서 '목하'란?</t>
    <phoneticPr fontId="1" type="noConversion"/>
  </si>
  <si>
    <t xml:space="preserve"> 남모르게</t>
    <phoneticPr fontId="1" type="noConversion"/>
  </si>
  <si>
    <t xml:space="preserve"> 지금</t>
    <phoneticPr fontId="1" type="noConversion"/>
  </si>
  <si>
    <t xml:space="preserve"> 열렬하게</t>
    <phoneticPr fontId="1" type="noConversion"/>
  </si>
  <si>
    <t xml:space="preserve"> "잠잘 때 오직 몇 방울의 '샤넬 넘버5'만 걸친다"고 고백한 여배우는?</t>
    <phoneticPr fontId="1" type="noConversion"/>
  </si>
  <si>
    <t xml:space="preserve"> 오드리 헵번</t>
    <phoneticPr fontId="1" type="noConversion"/>
  </si>
  <si>
    <t xml:space="preserve"> 마릴린 먼로</t>
    <phoneticPr fontId="1" type="noConversion"/>
  </si>
  <si>
    <t xml:space="preserve"> 비비안 리</t>
    <phoneticPr fontId="1" type="noConversion"/>
  </si>
  <si>
    <t xml:space="preserve"> '안성맞춤'애서 '안성'이 뜻하는 것은?</t>
    <phoneticPr fontId="1" type="noConversion"/>
  </si>
  <si>
    <t xml:space="preserve"> 경기도 안성</t>
    <phoneticPr fontId="1" type="noConversion"/>
  </si>
  <si>
    <t xml:space="preserve"> 안정적인 상태</t>
    <phoneticPr fontId="1" type="noConversion"/>
  </si>
  <si>
    <t xml:space="preserve"> 눈에 나타나는 특성</t>
    <phoneticPr fontId="1" type="noConversion"/>
  </si>
  <si>
    <t xml:space="preserve"> 체코 보헤미아 지방에서 시작됐으며, 빠른 2박자 리듬이 특징인 민속춤곡은?</t>
    <phoneticPr fontId="1" type="noConversion"/>
  </si>
  <si>
    <t xml:space="preserve"> 왈츠</t>
    <phoneticPr fontId="1" type="noConversion"/>
  </si>
  <si>
    <t xml:space="preserve"> 폴카</t>
    <phoneticPr fontId="1" type="noConversion"/>
  </si>
  <si>
    <t xml:space="preserve"> 마주르카</t>
    <phoneticPr fontId="1" type="noConversion"/>
  </si>
  <si>
    <t xml:space="preserve"> 다음 중 뽀로로에 등장하지 않는 캐릭터는</t>
    <phoneticPr fontId="1" type="noConversion"/>
  </si>
  <si>
    <t xml:space="preserve"> 크롱</t>
    <phoneticPr fontId="1" type="noConversion"/>
  </si>
  <si>
    <t xml:space="preserve"> 루피</t>
    <phoneticPr fontId="1" type="noConversion"/>
  </si>
  <si>
    <t xml:space="preserve"> 쵸파</t>
    <phoneticPr fontId="1" type="noConversion"/>
  </si>
  <si>
    <t xml:space="preserve"> 이 캐릭터는 무엇일까요?(푸우사진)</t>
    <phoneticPr fontId="1" type="noConversion"/>
  </si>
  <si>
    <t xml:space="preserve"> 스펀지 밥</t>
    <phoneticPr fontId="1" type="noConversion"/>
  </si>
  <si>
    <t xml:space="preserve"> 곰돌이 푸우</t>
    <phoneticPr fontId="1" type="noConversion"/>
  </si>
  <si>
    <t xml:space="preserve"> 피카츄</t>
    <phoneticPr fontId="1" type="noConversion"/>
  </si>
  <si>
    <t xml:space="preserve"> 민상이 들었던 노래의 제목은?</t>
    <phoneticPr fontId="1" type="noConversion"/>
  </si>
  <si>
    <t xml:space="preserve"> 선미 - 가시나</t>
    <phoneticPr fontId="1" type="noConversion"/>
  </si>
  <si>
    <t xml:space="preserve"> 씨스타 - Loving U</t>
    <phoneticPr fontId="1" type="noConversion"/>
  </si>
  <si>
    <t xml:space="preserve"> 트와이스- CHEER UP</t>
    <phoneticPr fontId="1" type="noConversion"/>
  </si>
  <si>
    <t xml:space="preserve"> 이 동요의 제목은?(어린이날 특집, 유민상이 실로폰으로 연주)</t>
    <phoneticPr fontId="1" type="noConversion"/>
  </si>
  <si>
    <t xml:space="preserve"> 아빠하고 나하고</t>
    <phoneticPr fontId="1" type="noConversion"/>
  </si>
  <si>
    <t xml:space="preserve"> 꽃밭에서</t>
    <phoneticPr fontId="1" type="noConversion"/>
  </si>
  <si>
    <t xml:space="preserve"> 채송화와 봉숭아</t>
    <phoneticPr fontId="1" type="noConversion"/>
  </si>
  <si>
    <t xml:space="preserve"> 법원 통계정보에 따르면 2016~2017년도 출생 신고한 남녀 신생아 이름 1위는?</t>
    <phoneticPr fontId="1" type="noConversion"/>
  </si>
  <si>
    <t xml:space="preserve"> 하준-서윤</t>
    <phoneticPr fontId="1" type="noConversion"/>
  </si>
  <si>
    <t xml:space="preserve"> 주원-지우</t>
    <phoneticPr fontId="1" type="noConversion"/>
  </si>
  <si>
    <t xml:space="preserve"> 민상-윤화</t>
    <phoneticPr fontId="1" type="noConversion"/>
  </si>
  <si>
    <t xml:space="preserve"> 민상이 만든 것은 무엇일까요?(어린이날 특집, 유민상이 고무찰흙으로 만듬)</t>
    <phoneticPr fontId="1" type="noConversion"/>
  </si>
  <si>
    <t xml:space="preserve"> 눈사람</t>
    <phoneticPr fontId="1" type="noConversion"/>
  </si>
  <si>
    <t xml:space="preserve"> 사마귀</t>
    <phoneticPr fontId="1" type="noConversion"/>
  </si>
  <si>
    <t xml:space="preserve"> 나비</t>
    <phoneticPr fontId="1" type="noConversion"/>
  </si>
  <si>
    <t xml:space="preserve"> 심슨 가족의 호머가 놀라거나 좋지 않은 일이 생길 때 하는 이 말은?</t>
    <phoneticPr fontId="1" type="noConversion"/>
  </si>
  <si>
    <t xml:space="preserve"> 엄마야! (Ummayah!)</t>
    <phoneticPr fontId="1" type="noConversion"/>
  </si>
  <si>
    <t xml:space="preserve"> 붐바야! (Boombayah!)</t>
    <phoneticPr fontId="1" type="noConversion"/>
  </si>
  <si>
    <t xml:space="preserve"> 도우! (D'oh!)</t>
    <phoneticPr fontId="1" type="noConversion"/>
  </si>
  <si>
    <t xml:space="preserve"> 아이들의 간식 '머랭쿠키'에 들어가지 않는 재료는?</t>
    <phoneticPr fontId="1" type="noConversion"/>
  </si>
  <si>
    <t xml:space="preserve"> 달걀흰자</t>
    <phoneticPr fontId="1" type="noConversion"/>
  </si>
  <si>
    <t xml:space="preserve"> 달걀노른자</t>
    <phoneticPr fontId="1" type="noConversion"/>
  </si>
  <si>
    <t xml:space="preserve"> 설탕</t>
    <phoneticPr fontId="1" type="noConversion"/>
  </si>
  <si>
    <t xml:space="preserve"> "어린이 날"을 만든 사람은?</t>
    <phoneticPr fontId="1" type="noConversion"/>
  </si>
  <si>
    <t xml:space="preserve"> 백범 김구(첫번째 사진)</t>
    <phoneticPr fontId="1" type="noConversion"/>
  </si>
  <si>
    <t xml:space="preserve"> 안중근(두번째 사진)</t>
    <phoneticPr fontId="1" type="noConversion"/>
  </si>
  <si>
    <t xml:space="preserve"> 방정환(세번째 사진)</t>
    <phoneticPr fontId="1" type="noConversion"/>
  </si>
  <si>
    <t xml:space="preserve"> 어린이 날을 만든 방정환 선생의 호 '소파'의 뜻은?</t>
    <phoneticPr fontId="1" type="noConversion"/>
  </si>
  <si>
    <t xml:space="preserve"> 작은 아이</t>
    <phoneticPr fontId="1" type="noConversion"/>
  </si>
  <si>
    <t xml:space="preserve"> 색동회</t>
    <phoneticPr fontId="1" type="noConversion"/>
  </si>
  <si>
    <t xml:space="preserve"> 잔물결</t>
    <phoneticPr fontId="1" type="noConversion"/>
  </si>
  <si>
    <t xml:space="preserve"> 다음 중 '육아'와 관련된 신조어가 아닌 것은?</t>
    <phoneticPr fontId="1" type="noConversion"/>
  </si>
  <si>
    <t xml:space="preserve"> 프렌디</t>
    <phoneticPr fontId="1" type="noConversion"/>
  </si>
  <si>
    <t xml:space="preserve"> 피딩족</t>
    <phoneticPr fontId="1" type="noConversion"/>
  </si>
  <si>
    <t xml:space="preserve"> 프레퍼족</t>
    <phoneticPr fontId="1" type="noConversion"/>
  </si>
  <si>
    <t xml:space="preserve"> 라떼파파</t>
    <phoneticPr fontId="1" type="noConversion"/>
  </si>
  <si>
    <t xml:space="preserve"> 밀크파파</t>
    <phoneticPr fontId="1" type="noConversion"/>
  </si>
  <si>
    <t xml:space="preserve"> 댄디파파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</si>
  <si>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월드컵의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진출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</si>
  <si>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고속도로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통행료를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무선으로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결제하는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시스템을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하이패스의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영문표기법으로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</si>
  <si>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유명세의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세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</si>
  <si>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다날</t>
    </r>
    <r>
      <rPr>
        <sz val="10"/>
        <color rgb="FF000000"/>
        <rFont val="Times New Roman"/>
        <family val="1"/>
      </rPr>
      <t/>
    </r>
    <phoneticPr fontId="1" type="noConversion"/>
  </si>
  <si>
    <t>달콤</t>
  </si>
  <si>
    <t>달콤</t>
    <phoneticPr fontId="1" type="noConversion"/>
  </si>
  <si>
    <r>
      <rPr>
        <sz val="10"/>
        <color rgb="FFFF0000"/>
        <rFont val="바탕"/>
        <family val="1"/>
        <charset val="129"/>
      </rPr>
      <t>비트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</si>
  <si>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스타크래프트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프로게이머가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</si>
  <si>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하늬바람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</si>
  <si>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하트시그널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</si>
  <si>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디지털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위성방송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수신기를</t>
    </r>
    <r>
      <rPr>
        <sz val="10"/>
        <color rgb="FF000000"/>
        <rFont val="Times New Roman"/>
        <family val="1"/>
      </rPr>
      <t xml:space="preserve"> oo</t>
    </r>
    <r>
      <rPr>
        <sz val="10"/>
        <color rgb="FF000000"/>
        <rFont val="바탕"/>
        <family val="1"/>
        <charset val="129"/>
      </rPr>
      <t>박스라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>. oo</t>
    </r>
    <r>
      <rPr>
        <sz val="10"/>
        <color rgb="FF000000"/>
        <rFont val="바탕"/>
        <family val="1"/>
        <charset val="129"/>
      </rPr>
      <t>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</si>
  <si>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독일어로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신경증이란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스트레스로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생겨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심리적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긴장과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변화를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무엇이라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하는가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</si>
  <si>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새로운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정보를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사람보다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먼저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접하고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구입하는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</si>
  <si>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서양식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병원은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</si>
  <si>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6.15 </t>
    </r>
    <r>
      <rPr>
        <sz val="10"/>
        <color rgb="FF000000"/>
        <rFont val="바탕"/>
        <family val="1"/>
        <charset val="129"/>
      </rPr>
      <t>남북공동선언의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참가자가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</si>
  <si>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t>DMZ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</si>
  <si>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종이나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재료를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붙이는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방식은</t>
    </r>
    <r>
      <rPr>
        <sz val="10"/>
        <color rgb="FF000000"/>
        <rFont val="Times New Roman"/>
        <family val="1"/>
      </rPr>
      <t>?</t>
    </r>
    <phoneticPr fontId="1" type="noConversion"/>
  </si>
  <si>
    <t>데칼코마니</t>
  </si>
  <si>
    <t>데칼코마니</t>
    <phoneticPr fontId="1" type="noConversion"/>
  </si>
  <si>
    <t>마리아주</t>
  </si>
  <si>
    <t>마리아주</t>
    <phoneticPr fontId="1" type="noConversion"/>
  </si>
  <si>
    <t>콜라주</t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</si>
  <si>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고속도로에서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안전벨트를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않아도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좌석은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</si>
  <si>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손님으로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직원의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서비스를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평가하는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oo </t>
    </r>
    <r>
      <rPr>
        <sz val="10"/>
        <color rgb="FF000000"/>
        <rFont val="바탕"/>
        <family val="1"/>
        <charset val="129"/>
      </rPr>
      <t>쇼퍼라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</si>
  <si>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차마의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교통사고위험으로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보호해야하는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구간을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명칭은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무엇인가</t>
    </r>
    <r>
      <rPr>
        <sz val="10"/>
        <color rgb="FF000000"/>
        <rFont val="Times New Roman"/>
        <family val="1"/>
      </rPr>
      <t xml:space="preserve"> ?</t>
    </r>
    <phoneticPr fontId="1" type="noConversion"/>
  </si>
  <si>
    <r>
      <rPr>
        <sz val="10"/>
        <color rgb="FF000000"/>
        <rFont val="바탕"/>
        <family val="1"/>
        <charset val="129"/>
      </rPr>
      <t>북미정상회담의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맡게된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용병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민족은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</si>
  <si>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싱어송라이터의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표기법은</t>
    </r>
    <r>
      <rPr>
        <sz val="10"/>
        <color rgb="FF000000"/>
        <rFont val="Times New Roman"/>
        <family val="1"/>
      </rPr>
      <t>?</t>
    </r>
    <phoneticPr fontId="1" type="noConversion"/>
  </si>
  <si>
    <r>
      <t>100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</si>
  <si>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</si>
  <si>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10000</t>
    </r>
    <r>
      <rPr>
        <sz val="10"/>
        <color rgb="FFFF0000"/>
        <rFont val="바탕"/>
        <family val="1"/>
        <charset val="129"/>
      </rPr>
      <t>배</t>
    </r>
    <phoneticPr fontId="1" type="noConversion"/>
  </si>
  <si>
    <r>
      <rPr>
        <sz val="10"/>
        <color rgb="FF000000"/>
        <rFont val="바탕"/>
        <family val="1"/>
        <charset val="129"/>
      </rPr>
      <t>뛰어난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예술작품을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보았을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순간적으로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흥분</t>
    </r>
    <r>
      <rPr>
        <sz val="10"/>
        <color rgb="FF000000"/>
        <rFont val="Times New Roman"/>
        <family val="1"/>
      </rPr>
      <t>,</t>
    </r>
    <r>
      <rPr>
        <sz val="10"/>
        <color rgb="FF000000"/>
        <rFont val="바탕"/>
        <family val="1"/>
        <charset val="129"/>
      </rPr>
      <t>호흡곤란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정신적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충동을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</si>
  <si>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베아트리체 신드롬</t>
  </si>
  <si>
    <r>
      <t>베아트리체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신드롬</t>
    </r>
  </si>
  <si>
    <t>스탕달 신드롬</t>
  </si>
  <si>
    <t xml:space="preserve">피렌체 신드롬 </t>
  </si>
  <si>
    <r>
      <t>스탕달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신드롬</t>
    </r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</si>
  <si>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인공위성은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</si>
  <si>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무궁화 1호</t>
  </si>
  <si>
    <r>
      <t>무궁화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</si>
  <si>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t>우리별1호</t>
  </si>
  <si>
    <t>아리랑 1호</t>
  </si>
  <si>
    <r>
      <t>아리랑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</si>
  <si>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r>
      <t>우리별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</si>
  <si>
    <r>
      <rPr>
        <sz val="10"/>
        <color rgb="FF000000"/>
        <rFont val="바탕"/>
        <family val="1"/>
        <charset val="129"/>
      </rPr>
      <t>오지랖은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것일까</t>
    </r>
    <r>
      <rPr>
        <sz val="10"/>
        <color rgb="FF000000"/>
        <rFont val="Times New Roman"/>
        <family val="1"/>
      </rPr>
      <t>?</t>
    </r>
    <phoneticPr fontId="1" type="noConversion"/>
  </si>
  <si>
    <t>냉장고</t>
  </si>
  <si>
    <t>인터넷</t>
  </si>
  <si>
    <t>인터넷</t>
    <phoneticPr fontId="1" type="noConversion"/>
  </si>
  <si>
    <t>자동차</t>
  </si>
  <si>
    <t>자동차</t>
    <phoneticPr fontId="1" type="noConversion"/>
  </si>
  <si>
    <r>
      <rPr>
        <sz val="10"/>
        <color rgb="FF000000"/>
        <rFont val="바탕"/>
        <family val="1"/>
        <charset val="129"/>
      </rPr>
      <t>단오에는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창포물로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머리감는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풍속이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있었다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창포에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설명으로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틀린것은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</si>
  <si>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분명하지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우물우물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이치와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소용에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닿지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빈정거려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</si>
  <si>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기업등을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상대로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취하고자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구매한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고의적으로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악성민원을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제기하는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무엇입니까</t>
    </r>
    <r>
      <rPr>
        <sz val="10"/>
        <color rgb="FF000000"/>
        <rFont val="Times New Roman"/>
        <family val="1"/>
      </rPr>
      <t>?</t>
    </r>
    <phoneticPr fontId="1" type="noConversion"/>
  </si>
  <si>
    <t>멕시코</t>
    <phoneticPr fontId="1" type="noConversion"/>
  </si>
  <si>
    <r>
      <t>2018 FIFA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본선진출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</t>
    </r>
    <r>
      <rPr>
        <sz val="10"/>
        <color rgb="FF000000"/>
        <rFont val="바탕"/>
        <family val="1"/>
        <charset val="129"/>
      </rPr>
      <t>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</si>
  <si>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이내</t>
    </r>
    <r>
      <rPr>
        <sz val="10"/>
        <color rgb="FF000000"/>
        <rFont val="Times New Roman"/>
        <family val="1"/>
      </rPr>
      <t xml:space="preserve">  </t>
    </r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맛있는녀석들에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</si>
  <si>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t xml:space="preserve"> 다음 중 ‘누어서 하는 방송’을 뜻하는 신조어는?</t>
  </si>
  <si>
    <t>눕방</t>
  </si>
  <si>
    <t>먹방</t>
  </si>
  <si>
    <t>샤방</t>
  </si>
  <si>
    <t xml:space="preserve">  </t>
  </si>
  <si>
    <t xml:space="preserve"> &lt;임금님 귀, 「동물의 사육제」 제 3곡, ‘슈렉’의 동키&gt; 연상되는 것은?</t>
  </si>
  <si>
    <t>당나귀</t>
  </si>
  <si>
    <t xml:space="preserve"> 터키 국기에 들어가지 않는 것은?</t>
  </si>
  <si>
    <t xml:space="preserve"> 다음 중 &lt;버닝&gt;을 연출한 이창동 감독의 영화가 아닌 것은?</t>
  </si>
  <si>
    <t>오아시스</t>
  </si>
  <si>
    <t>친구</t>
  </si>
  <si>
    <t>밀양</t>
  </si>
  <si>
    <t xml:space="preserve"> 사자성어 &lt;양두구육(羊頭狗肉)&gt;에 등장하지 않는 동물은?</t>
  </si>
  <si>
    <t xml:space="preserve"> 오페라에서 주인공이 부르는 독창곡은?</t>
  </si>
  <si>
    <t>소나타</t>
  </si>
  <si>
    <t>아리아</t>
  </si>
  <si>
    <t>서곡</t>
  </si>
  <si>
    <t xml:space="preserve"> 정치인이나 고위 관료들의 ‘홍보 전문가’를 지칭하는 용어는?</t>
  </si>
  <si>
    <t>스핀 닥터</t>
  </si>
  <si>
    <t>오버 닥터</t>
  </si>
  <si>
    <t xml:space="preserve"> 북한의 야구 용어가 잘못 연결된 것은?</t>
  </si>
  <si>
    <t>넣는 사람 – 투수</t>
  </si>
  <si>
    <t>살짝치기 – 번트</t>
  </si>
  <si>
    <t>진격수 - 스트라이크</t>
  </si>
  <si>
    <t xml:space="preserve"> 추억은 항상 아름답다고 하며 좋은 기억만 남겨두려는 심리는?</t>
  </si>
  <si>
    <t>노아 증후군</t>
  </si>
  <si>
    <t>순교자 증후군</t>
  </si>
  <si>
    <t>므두셀라 증후군</t>
  </si>
  <si>
    <t xml:space="preserve"> 다음 중 땅 면적이 가장 큰 나라는?</t>
  </si>
  <si>
    <t xml:space="preserve"> 대한민국의 유네스코 세계문화유산이 아닌 것은?</t>
  </si>
  <si>
    <t>행주산성</t>
  </si>
  <si>
    <t>수원화성</t>
  </si>
  <si>
    <t xml:space="preserve"> 남자 나이를 가리키는 ‘약관(弱冠)’과 숫자가 다른 것은?</t>
  </si>
  <si>
    <t>낙지 한 코</t>
  </si>
  <si>
    <t>북어 한 쾌</t>
  </si>
  <si>
    <t>오이 한 거리</t>
  </si>
  <si>
    <t xml:space="preserve"> 둉요&lt;개구리&gt;에서 노래를 하지 않는 개구리는?</t>
  </si>
  <si>
    <t>며느리</t>
  </si>
  <si>
    <t>손자</t>
  </si>
  <si>
    <t>삼촌</t>
  </si>
  <si>
    <t xml:space="preserve"> 다음 중 ‘민호’라는 이름의 멤버가 없는 그룹은?</t>
  </si>
  <si>
    <t>위너</t>
  </si>
  <si>
    <t>샤이니</t>
  </si>
  <si>
    <t xml:space="preserve"> ‘봅슬레이, 스켈레톤,, 루지’의 공통점은?</t>
  </si>
  <si>
    <t>썰매</t>
  </si>
  <si>
    <t>스키</t>
  </si>
  <si>
    <t>스케이트</t>
  </si>
  <si>
    <t xml:space="preserve"> ‘몽마르트르, 몽블랑’에서 ‘몽’의 뜻은?</t>
  </si>
  <si>
    <t>산</t>
  </si>
  <si>
    <t>꿈</t>
  </si>
  <si>
    <t>사랑스러운</t>
  </si>
  <si>
    <t xml:space="preserve"> 2018년 시간당 최저 임금은?</t>
  </si>
  <si>
    <t>6,470원</t>
  </si>
  <si>
    <t>7,530원</t>
  </si>
  <si>
    <t>8,430원</t>
  </si>
  <si>
    <t xml:space="preserve"> ‘춘향전’ 등장인물 중 직업과 관계있는 이름은?</t>
  </si>
  <si>
    <t>변학도</t>
  </si>
  <si>
    <t>방자</t>
  </si>
  <si>
    <t>향단</t>
  </si>
  <si>
    <t xml:space="preserve"> 매년 ‘노벨상 시상식’이 열리는 12월 10일은 어떤 날일까?</t>
  </si>
  <si>
    <t>노벨의 출생일</t>
  </si>
  <si>
    <t>노벨의 첫 특허권 획득일</t>
  </si>
  <si>
    <t>노벨의 사망일</t>
  </si>
  <si>
    <t xml:space="preserve"> 스웨덴의 수도는?</t>
  </si>
  <si>
    <t>헬싱키</t>
  </si>
  <si>
    <t>코펜하겐</t>
  </si>
  <si>
    <t>스톡홀름</t>
  </si>
  <si>
    <t xml:space="preserve"> 우리나라 돈 단위 중 ‘경(京)’에는 ‘0’이 몇 개일까?</t>
  </si>
  <si>
    <t>14개</t>
  </si>
  <si>
    <t>16개</t>
  </si>
  <si>
    <t>18개</t>
  </si>
  <si>
    <t xml:space="preserve"> 푸치니의 오페라 ‘나비부인’의 무대가 된 일본의 도시는?</t>
  </si>
  <si>
    <t>나가사키</t>
  </si>
  <si>
    <t>히로시마</t>
  </si>
  <si>
    <t>교토</t>
  </si>
  <si>
    <t xml:space="preserve"> 다음 중 축구경기장과 팀이 바르게 연결 된 것은?(현재기준)</t>
  </si>
  <si>
    <t>토트넘 – 스탬포드 브릿지</t>
  </si>
  <si>
    <t>아틀레티코 마드리드 –캄프누</t>
  </si>
  <si>
    <t>아스날 – 에미레이트 스타디움</t>
  </si>
  <si>
    <t xml:space="preserve"> 다음 중 ‘금’의 뜻이 다른 한자는?</t>
  </si>
  <si>
    <t>금수강산</t>
  </si>
  <si>
    <t>금상첨화</t>
  </si>
  <si>
    <t>금지옥엽</t>
  </si>
  <si>
    <t xml:space="preserve"> “그의 안주가 되어도 좋다/ 짝짝 찢어지어 내 몸은 없어질지라도” 이 가곡의 제목은?</t>
  </si>
  <si>
    <t>명태</t>
  </si>
  <si>
    <t>스트레칭</t>
  </si>
  <si>
    <t>모듬 소시지</t>
  </si>
  <si>
    <t xml:space="preserve"> &lt;인도의 국화, 심청, 연근&gt;다음에서 연상되는 꽃은?</t>
  </si>
  <si>
    <t>민들레</t>
  </si>
  <si>
    <t>연꽃</t>
  </si>
  <si>
    <t xml:space="preserve"> 톱밥은 무엇의 부산물인가?</t>
  </si>
  <si>
    <t>쌀밥</t>
  </si>
  <si>
    <t>톱</t>
  </si>
  <si>
    <t>목재</t>
  </si>
  <si>
    <t xml:space="preserve"> 다음 중 조기(弔旗)를 게양하는 날은?</t>
  </si>
  <si>
    <t>삼일절</t>
  </si>
  <si>
    <t>국군의 날</t>
  </si>
  <si>
    <t xml:space="preserve"> 제 7회 전국동시지방선거의 사전투표일이 아닌 날은?</t>
  </si>
  <si>
    <t>6월 8일 (금)</t>
  </si>
  <si>
    <t>6월 9일 (토)</t>
  </si>
  <si>
    <t>6월 10일 (일)</t>
  </si>
  <si>
    <t xml:space="preserve"> 러시아의 대표적 민예품으로 인형안에 더 작은 인형안에 더 작은 인형이 들어있는 이것은?</t>
  </si>
  <si>
    <t>마트료시카</t>
  </si>
  <si>
    <t>마요르카</t>
  </si>
  <si>
    <t>샤슬릭</t>
  </si>
  <si>
    <t xml:space="preserve"> &lt;고개를 들어 □을 보라&gt; - 스티븐 호킹</t>
  </si>
  <si>
    <t xml:space="preserve"> 다음 중 맞춤법이 바른 것은?</t>
  </si>
  <si>
    <t>무르팍</t>
  </si>
  <si>
    <t>무릎팍</t>
  </si>
  <si>
    <t>무릅팍</t>
  </si>
  <si>
    <t xml:space="preserve"> 다음 꽃 이름 중 ‘수’의 한자가 다른 하나는?</t>
  </si>
  <si>
    <t xml:space="preserve"> 옛 선조들이 경칩에 사랑의 징표로 주고받은 이것은?</t>
  </si>
  <si>
    <t>율무</t>
  </si>
  <si>
    <t>은행 씨앗</t>
  </si>
  <si>
    <t>감 씨앗</t>
  </si>
  <si>
    <t xml:space="preserve"> ‘묘령의 여인’에서 ‘묘령’이란?</t>
  </si>
  <si>
    <t>20살 안팎의 여자 나이</t>
  </si>
  <si>
    <t>40살 안팎의 여자 나이</t>
  </si>
  <si>
    <t>짐작이 안 되는 나이</t>
  </si>
  <si>
    <t xml:space="preserve"> 다음 중 ‘송도삼절(松都三絶)’이 아닌 것은?</t>
  </si>
  <si>
    <t>황진이</t>
  </si>
  <si>
    <t>송강 정철</t>
  </si>
  <si>
    <t>박연폭포</t>
  </si>
  <si>
    <t xml:space="preserve"> 영화에서 엔딩 크레딧 전후에 짧게 추가된 장면을 뜻하는 말은?</t>
  </si>
  <si>
    <t>쿠키</t>
  </si>
  <si>
    <t>캔디</t>
  </si>
  <si>
    <t xml:space="preserve"> 열대 지방에서 한낮에 강한 일사로 인한 대기의 상승 작용에 의해 내리는 소낙비는?</t>
  </si>
  <si>
    <t>스콜</t>
  </si>
  <si>
    <t>맥콜</t>
  </si>
  <si>
    <t>다산콜</t>
  </si>
  <si>
    <t xml:space="preserve"> 동요 ‘과수원 길’의 도입부 가사로 알맞은 것은?</t>
  </si>
  <si>
    <t>동구밭 과수원 길~</t>
  </si>
  <si>
    <t>동구박 과수원 길~</t>
  </si>
  <si>
    <t>동구 밖 과수원 길~</t>
  </si>
  <si>
    <t xml:space="preserve"> 1696년 영국의 윌리엄 3세는, 소유한 집의 (이것) 개수를 근거해 재산세를 부과했다. 이것은?</t>
  </si>
  <si>
    <t>화장실</t>
  </si>
  <si>
    <t>창문</t>
  </si>
  <si>
    <t>벽난로</t>
  </si>
  <si>
    <t xml:space="preserve"> 헤밍웨이의 소설 ‘무기여 잘 있거라’의 배경이 된 전쟁은?</t>
  </si>
  <si>
    <t>제1차 세계대전</t>
  </si>
  <si>
    <t>제2차 세계대전</t>
  </si>
  <si>
    <t>킹덤스토리 대전</t>
  </si>
  <si>
    <t xml:space="preserve"> 어두운 곳에서 인물사진을 찍을 때 눈동자가 붉게 나타나는 현상은?</t>
  </si>
  <si>
    <t>병목현상</t>
  </si>
  <si>
    <t>적목현상</t>
  </si>
  <si>
    <t>거북목현상</t>
  </si>
  <si>
    <t xml:space="preserve"> 애플이 6월 4일(현지시간) WWDC에서 공개한 차기 iOS버전은?</t>
  </si>
  <si>
    <t>iOS11</t>
  </si>
  <si>
    <t>iOS12</t>
  </si>
  <si>
    <t>iOS13</t>
  </si>
  <si>
    <t xml:space="preserve"> 네팔에서 ‘살아 있는 여신’으로 추앙받는 소녀를 가리키는 말은?</t>
  </si>
  <si>
    <t>쿠마리</t>
  </si>
  <si>
    <t>달밧 타카리</t>
  </si>
  <si>
    <t>사로드</t>
  </si>
  <si>
    <t xml:space="preserve"> 신혼 여행지로 유명한 나라 ‘몰디브’의 수도는 어디일까?</t>
  </si>
  <si>
    <t>멀리</t>
  </si>
  <si>
    <t>말리</t>
  </si>
  <si>
    <t>말레</t>
  </si>
  <si>
    <t xml:space="preserve"> 위, 아래 구분이 없는 USB 포트를 칭하는 말은?</t>
  </si>
  <si>
    <t>USB Type A</t>
  </si>
  <si>
    <t>USB Type B</t>
  </si>
  <si>
    <t>USB Type C</t>
  </si>
  <si>
    <t xml:space="preserve"> 르네상스 미술을 대표하는 3대 거장이 아닌 사람은?</t>
  </si>
  <si>
    <t>레오나르도 다빈치</t>
  </si>
  <si>
    <t>라파엘로 산치오</t>
  </si>
  <si>
    <t>얀 반 에이크</t>
  </si>
  <si>
    <t xml:space="preserve"> 우리나라와 워킹홀리데이 체결 국가가 아닌 것은?</t>
  </si>
  <si>
    <t>이스라엘</t>
  </si>
  <si>
    <t xml:space="preserve"> 컴퓨터가 작동하는데 꼭 필요한 것은?</t>
  </si>
  <si>
    <t>분위기</t>
  </si>
  <si>
    <t>전기</t>
  </si>
  <si>
    <t>송중기</t>
  </si>
  <si>
    <t xml:space="preserve"> 대한민국 유일한 노벨상 수상자는?</t>
  </si>
  <si>
    <t>김영삼 전 대통령</t>
  </si>
  <si>
    <t xml:space="preserve"> &lt;경세유포, 목민심서, 흠흠신서&gt; 다음은 누구의 저서인가?</t>
  </si>
  <si>
    <t>김시습</t>
  </si>
  <si>
    <t>이황</t>
  </si>
  <si>
    <t xml:space="preserve"> 다음 중 옳은 표기는? </t>
  </si>
  <si>
    <t>호텔의 ‘Sweet Room’</t>
  </si>
  <si>
    <t>잔디에 물을 줄 때 ‘Spring cooler’</t>
  </si>
  <si>
    <t>야구의 ‘Called Game’</t>
  </si>
  <si>
    <t xml:space="preserve"> 덜 마른 장작을 의미하는 순우리말은?</t>
  </si>
  <si>
    <t>화나리</t>
  </si>
  <si>
    <t>회나리</t>
  </si>
  <si>
    <t>희나리</t>
  </si>
  <si>
    <t xml:space="preserve"> 제7회 전국동시지방선거에서 선출하지 않는 직은?</t>
  </si>
  <si>
    <t>동의원</t>
  </si>
  <si>
    <t>군의원</t>
  </si>
  <si>
    <t>구의원</t>
  </si>
  <si>
    <t xml:space="preserve"> 지력, 심력, 체력, 자기관리, 인간관계 능력을 두루 갖춘 사람을 가리키는 말은?</t>
  </si>
  <si>
    <t>골드 칼라</t>
  </si>
  <si>
    <t>레인보우 칼라</t>
  </si>
  <si>
    <t>다이아몬드 칼라</t>
  </si>
  <si>
    <t xml:space="preserve"> 만화 &lt;닌자거북이&gt;에서 주인공 거북이의 이름이 아닌 것은?</t>
  </si>
  <si>
    <t>레오나르도</t>
  </si>
  <si>
    <t>도나텔로</t>
  </si>
  <si>
    <t>마르첼로</t>
  </si>
  <si>
    <t xml:space="preserve"> 타인의 기대나 관심으로 인해 능률이 오르거나 결과가 좋아지는 현상은?</t>
  </si>
  <si>
    <t>피그말리온 효과</t>
  </si>
  <si>
    <t>플라시보 효과</t>
  </si>
  <si>
    <t>파파게노 효과</t>
  </si>
  <si>
    <t xml:space="preserve"> 다음 중 지명(地名)에서 유래한 커피 이름은?</t>
  </si>
  <si>
    <t>헤이즐넛커피</t>
  </si>
  <si>
    <t>모카커피</t>
  </si>
  <si>
    <t>룽고커피</t>
  </si>
  <si>
    <t xml:space="preserve"> 일정 연령이 된 근로자의 임금을 삭감하는 대신 근로자의 고용을 보장하는 제도는?</t>
  </si>
  <si>
    <t>오픈 프라이머리</t>
  </si>
  <si>
    <t>임금피크제</t>
  </si>
  <si>
    <t>연공서열제도</t>
  </si>
  <si>
    <t xml:space="preserve"> 북한에서 1990년대 이후에 태어난 세대를 의미하는 말은?</t>
  </si>
  <si>
    <t>장마당 세대</t>
  </si>
  <si>
    <t>항일 빨치산 세대</t>
  </si>
  <si>
    <t>천리마 세대</t>
  </si>
  <si>
    <t xml:space="preserve"> &lt;페르시안, 러시안블루, 샴&gt; 다음에서 연상되는 것은?</t>
  </si>
  <si>
    <t>칵테일</t>
  </si>
  <si>
    <t>물감</t>
  </si>
  <si>
    <t xml:space="preserve"> 버선 앞쪽 끝에 뾰족하게 올라온 부분을 가리키는 말은?</t>
  </si>
  <si>
    <t xml:space="preserve"> 독도는 울릉도의 어느 방향에 위치할까?</t>
  </si>
  <si>
    <t>남쪽</t>
  </si>
  <si>
    <t>동남쪽</t>
  </si>
  <si>
    <t>동북쪽</t>
  </si>
  <si>
    <t xml:space="preserve"> 볼링 게임에서 볼링 핀의 개수는?</t>
  </si>
  <si>
    <t>12개</t>
  </si>
  <si>
    <t>15개</t>
  </si>
  <si>
    <t xml:space="preserve"> 북미정상회담이 열리는 싱가포르와 대한민국의 시차는 몇시간일까?</t>
  </si>
  <si>
    <t>1시간</t>
  </si>
  <si>
    <t>2시간</t>
  </si>
  <si>
    <t xml:space="preserve"> &lt;아바나, 시가, 부에나 비스타 소셜 클럽&gt; 다음에서 연상되는 나라는?</t>
  </si>
  <si>
    <t>쿠바</t>
  </si>
  <si>
    <t xml:space="preserve"> 탄생 20주년 기념, 처음으로 내한하는 브로드웨이 뮤지컬은?</t>
  </si>
  <si>
    <t>라이언 킹</t>
  </si>
  <si>
    <t>캣츠</t>
  </si>
  <si>
    <t>브로드웨이 42번가</t>
  </si>
  <si>
    <t xml:space="preserve"> 호주를 상징하는 동물 '캥거루(kangaroo)'의 뜻은?</t>
  </si>
  <si>
    <t>뛰어다닌다</t>
  </si>
  <si>
    <t>주머니가 있다</t>
  </si>
  <si>
    <t>나는 모른다</t>
  </si>
  <si>
    <t xml:space="preserve"> 다음 중 '청'의 의미가 다른 것은?</t>
  </si>
  <si>
    <t>청과물</t>
  </si>
  <si>
    <t>청바지</t>
  </si>
  <si>
    <t>청량음료</t>
  </si>
  <si>
    <t xml:space="preserve"> 뉴턴의 3대 운동 법칙에 해당하지 않는 것은?</t>
  </si>
  <si>
    <t>관성의 법칙</t>
  </si>
  <si>
    <t>질량보존의 법칙</t>
  </si>
  <si>
    <t>가속도의 법칙</t>
  </si>
  <si>
    <t xml:space="preserve"> '부부'와 관련한 사자성어가 아닌 것은?</t>
  </si>
  <si>
    <t>부창부수</t>
  </si>
  <si>
    <t>애인하사</t>
  </si>
  <si>
    <t>금슬지락</t>
  </si>
  <si>
    <t xml:space="preserve"> 인도의 대표적 건축물 '타지마할'에서 '타지'의 뜻은?</t>
  </si>
  <si>
    <t>무덤</t>
  </si>
  <si>
    <t>왕관</t>
  </si>
  <si>
    <t>궁전</t>
  </si>
  <si>
    <t xml:space="preserve"> 다음 중 크기가 가장 작은 공은?</t>
  </si>
  <si>
    <t>테니스공</t>
  </si>
  <si>
    <t>탁구공</t>
  </si>
  <si>
    <t>배구공</t>
  </si>
  <si>
    <t xml:space="preserve"> 올림픽 경기 중 남녀구분 없이 겨루는 경기는?</t>
  </si>
  <si>
    <t>승마</t>
  </si>
  <si>
    <t>복싱</t>
  </si>
  <si>
    <t>역도</t>
  </si>
  <si>
    <t xml:space="preserve"> 골프 4대 메이저 대회 중 하나인 '마스터스' 우승자에게 주어지는 이것은?</t>
  </si>
  <si>
    <t>그린 골프공</t>
  </si>
  <si>
    <t>그린 재킷</t>
  </si>
  <si>
    <t>그린 밸트</t>
  </si>
  <si>
    <t xml:space="preserve"> 2018년 현재 우리나라 프로야구 구단의 숫자는?</t>
  </si>
  <si>
    <t xml:space="preserve"> 2018년 러시아 월드컵의 마스코트는 어떤 동물일까?</t>
  </si>
  <si>
    <t>늑대</t>
  </si>
  <si>
    <t xml:space="preserve"> 축구경기에서 '펠레 스코어'란?</t>
  </si>
  <si>
    <t xml:space="preserve"> 메이저리그에서 최우수 투수에게 주어지는 상은?</t>
  </si>
  <si>
    <t>야신상</t>
  </si>
  <si>
    <t>사이영상</t>
  </si>
  <si>
    <t>골든글러브</t>
  </si>
  <si>
    <t xml:space="preserve"> 2020년 도쿄 올림픽에 새롭게 채택된 정식 종목이 아닌 것은?</t>
  </si>
  <si>
    <t>스케이트보드</t>
  </si>
  <si>
    <t>50m 권총</t>
  </si>
  <si>
    <t>서핑</t>
  </si>
  <si>
    <t xml:space="preserve"> 6월 3일 한화-롯데전에 나왔던 1-6-2 더블플레이에서 6이 뜻하는 것은?</t>
  </si>
  <si>
    <t xml:space="preserve"> 올림픽 허들 경기에서 한 선수가 넘는 허들의 개수는?</t>
  </si>
  <si>
    <t>11개</t>
  </si>
  <si>
    <t xml:space="preserve"> 2018년 러시아 월드컵 대한민국 국가대표의 등번호가 잘못 짝지어진 것은?</t>
  </si>
  <si>
    <t>이승우 -10번</t>
  </si>
  <si>
    <t>기성용 -17번</t>
  </si>
  <si>
    <t>손흥민 -7번</t>
  </si>
  <si>
    <t xml:space="preserve"> 2018 러시아 월드컵 예선 조와 나라가 잘못 연결된 것은?</t>
  </si>
  <si>
    <t>A조 -러시아</t>
  </si>
  <si>
    <t>D조 -코스타리카</t>
  </si>
  <si>
    <t>F조 -스웨덴</t>
  </si>
  <si>
    <t>염소</t>
    <phoneticPr fontId="1" type="noConversion"/>
  </si>
  <si>
    <t xml:space="preserve"> ‘iPod’과 ‘방송’의 합성어로 인터넷망을 통해 다양한 콘테츠를 구독하는 서비스는?</t>
  </si>
  <si>
    <t>팟티</t>
  </si>
  <si>
    <t xml:space="preserve">팟캐스트 </t>
    <phoneticPr fontId="1" type="noConversion"/>
  </si>
  <si>
    <t>페이큐</t>
  </si>
  <si>
    <t xml:space="preserve"> 태극기의 건곤감리에 포함되지 않는 것은</t>
  </si>
  <si>
    <t>바람</t>
  </si>
  <si>
    <t xml:space="preserve"> 다음 중 날지 못하는 새는?</t>
  </si>
  <si>
    <t>공작</t>
  </si>
  <si>
    <t>비둘기</t>
  </si>
  <si>
    <t xml:space="preserve"> 다음 중 바다와 접해있지 않은 지역은?</t>
  </si>
  <si>
    <t>충청북도</t>
  </si>
  <si>
    <t>경기도</t>
  </si>
  <si>
    <t xml:space="preserve"> 선인장의 가시는 무엇이 변한 것일까?</t>
  </si>
  <si>
    <t>잎</t>
  </si>
  <si>
    <t>줄기</t>
  </si>
  <si>
    <t>가지</t>
  </si>
  <si>
    <t xml:space="preserve"> 비행기의 비행거리를 나타내는데 쓰이는 단위는?</t>
  </si>
  <si>
    <t>atm</t>
  </si>
  <si>
    <t>mile</t>
  </si>
  <si>
    <t>ft</t>
  </si>
  <si>
    <t xml:space="preserve"> 알파벳 'A'로 시작하는 단어는?</t>
  </si>
  <si>
    <t>오디션</t>
  </si>
  <si>
    <t>오리지널</t>
  </si>
  <si>
    <t xml:space="preserve"> 삼강오륜의 '오륜'에 해당하지 않은 것은?</t>
  </si>
  <si>
    <t>붕유유신</t>
  </si>
  <si>
    <t>부위자강</t>
  </si>
  <si>
    <t xml:space="preserve"> 추사 김정희가 추사체를 완성하고 &lt;세한도&gt;를 그린 귀양지는?</t>
  </si>
  <si>
    <t>강진</t>
  </si>
  <si>
    <t>영월</t>
  </si>
  <si>
    <t xml:space="preserve"> 물건값을 제하고 거슬러 받는 잔돈이라는 뜻의 순우리말은? </t>
  </si>
  <si>
    <t>우수리</t>
  </si>
  <si>
    <t>시겟돈</t>
  </si>
  <si>
    <t>되수리</t>
  </si>
  <si>
    <t xml:space="preserve"> 스카우트 연맹에서 개최하는 야영대회 '잼버리(jamboree)'의 뜻은?</t>
  </si>
  <si>
    <t>열정적 경쟁</t>
  </si>
  <si>
    <t>행복한 삶</t>
  </si>
  <si>
    <t>유쾌한 잔치</t>
  </si>
  <si>
    <t xml:space="preserve"> 십이지신에 속하지 않는 동물은?</t>
  </si>
  <si>
    <t>뱀</t>
  </si>
  <si>
    <t>곰</t>
  </si>
  <si>
    <t>&lt;아기공룡 둘리&gt;에 나오는 또치는 어떤 동물인가?</t>
  </si>
  <si>
    <t xml:space="preserve"> 소비자가 온라인, 오프라인 등 다양한 경로로 상품을 구매할 수 있도록 한 서비스는?</t>
  </si>
  <si>
    <t>언니채널</t>
  </si>
  <si>
    <t>옴니채널</t>
  </si>
  <si>
    <t>엄니채널</t>
  </si>
  <si>
    <t xml:space="preserve"> 비디오와 블로그의 합성어로 일상 동영상으로 촬영한 영상 콘텐츠는?</t>
  </si>
  <si>
    <t>빌로그</t>
  </si>
  <si>
    <t>브이로그</t>
  </si>
  <si>
    <t>비델로그</t>
  </si>
  <si>
    <t xml:space="preserve"> &lt;가새, 가시개, 가왜&gt;는 어떤 단어의 방언일까?</t>
  </si>
  <si>
    <t>집</t>
  </si>
  <si>
    <t>가시</t>
  </si>
  <si>
    <t>가위</t>
  </si>
  <si>
    <t xml:space="preserve"> 인류가 보낸 우주선 중 세계 최초로 화성에 착륙한 우주선은?</t>
  </si>
  <si>
    <t>디스커버리호</t>
  </si>
  <si>
    <t>바이킹1호</t>
  </si>
  <si>
    <t>아폴로11호</t>
  </si>
  <si>
    <t xml:space="preserve"> 농구 골대에서 그물이 달려있는 둥근 쇠 부분을 부르는 영어 단어는?</t>
  </si>
  <si>
    <t>RIM</t>
  </si>
  <si>
    <t>RING</t>
  </si>
  <si>
    <t>LING</t>
  </si>
  <si>
    <t xml:space="preserve"> 다음 중 국토 면적이 가장 작은 나라는?</t>
  </si>
  <si>
    <t>호주</t>
  </si>
  <si>
    <t xml:space="preserve"> 다음 중 가장 가벼운 것은?</t>
  </si>
  <si>
    <t>물 500ml</t>
  </si>
  <si>
    <t>에탄올 500ml</t>
  </si>
  <si>
    <t xml:space="preserve">가솔린 500ml </t>
  </si>
  <si>
    <t xml:space="preserve"> 불교에서 금지하는 다섯 개의 채소인 ‘오신채’에 속하지 않는 것은?</t>
  </si>
  <si>
    <t>달래</t>
  </si>
  <si>
    <t>부추</t>
  </si>
  <si>
    <t>고추</t>
  </si>
  <si>
    <t xml:space="preserve"> 다음 중 부산에서 가장 긴 다리는?</t>
  </si>
  <si>
    <t>광안대교</t>
  </si>
  <si>
    <t>동서고가교</t>
  </si>
  <si>
    <t xml:space="preserve"> 작가의 필명과 본명이 바르게 짝지어진 것은?</t>
  </si>
  <si>
    <t>백석 – 백천희</t>
  </si>
  <si>
    <t>김소월 – 김중석</t>
  </si>
  <si>
    <t>이상 – 김해경</t>
  </si>
  <si>
    <t xml:space="preserve"> 배가 물에 뜨는 원리와 관계있는 것은?</t>
  </si>
  <si>
    <t>부력</t>
  </si>
  <si>
    <t>매력</t>
  </si>
  <si>
    <t>괴력</t>
  </si>
  <si>
    <t xml:space="preserve"> ‘사람의 본성은 근본적으로 악(惡)하다’는 성악설을 주장한 사람은?</t>
  </si>
  <si>
    <t>공신</t>
  </si>
  <si>
    <t>맹구</t>
  </si>
  <si>
    <t>순자</t>
  </si>
  <si>
    <t xml:space="preserve"> ‘구걸을 통해 여행경비를 버는 사람’을 뜻하는 말?</t>
  </si>
  <si>
    <t>베이스캠프</t>
  </si>
  <si>
    <t>베그패커</t>
  </si>
  <si>
    <t xml:space="preserve"> 현실 배경에 3차원 가상이미지를 겹쳐서 하나의 영상으로 보여주는 기술은?</t>
  </si>
  <si>
    <t>AR</t>
  </si>
  <si>
    <t>BR</t>
  </si>
  <si>
    <t>CR</t>
  </si>
  <si>
    <t xml:space="preserve"> ‘운동경기에서 심판이 경기종료를 선언하는 게임’의 바른 표기는?</t>
  </si>
  <si>
    <t>Kold game</t>
  </si>
  <si>
    <t>Called game</t>
  </si>
  <si>
    <t>Cold play</t>
  </si>
  <si>
    <t xml:space="preserve"> &lt;서당, 씨름도, 활쏘기, 무동&gt; 연상되는 사람은?</t>
  </si>
  <si>
    <t>김홍도</t>
  </si>
  <si>
    <t xml:space="preserve"> 알파벳 ‘C’로 시작하지 않는 외래어는?</t>
  </si>
  <si>
    <t>칼로리</t>
  </si>
  <si>
    <t>코알라</t>
  </si>
  <si>
    <t xml:space="preserve"> 축구경기 중 경고·퇴장 등의 숫자를 점수화하는 것으로 일본 ‘러시아월드컵’ 16강행을 결정지은 것은?</t>
  </si>
  <si>
    <t>페어플레이 점수</t>
  </si>
  <si>
    <t>골득실</t>
  </si>
  <si>
    <t>동전 던지기</t>
  </si>
  <si>
    <t xml:space="preserve"> 본인의 취향, 신념 등을 소비를 통해 적극적으로 표출하는 트렌드는?</t>
  </si>
  <si>
    <t>플레이슈머</t>
  </si>
  <si>
    <t>미닝아웃</t>
  </si>
  <si>
    <t>플라시보</t>
  </si>
  <si>
    <t xml:space="preserve"> 북극해 자원을 확보하기 위해 세계 각국이 벌이는 치열한 경쟁은?</t>
  </si>
  <si>
    <t>노스 러시</t>
  </si>
  <si>
    <t>콜드 러시</t>
  </si>
  <si>
    <t>버닝 러시</t>
  </si>
  <si>
    <t xml:space="preserve"> 고대의 세계 7대 불가사의가 아닌 것은?</t>
  </si>
  <si>
    <t>쿠푸왕의 피라미드</t>
  </si>
  <si>
    <t>파로스 등대</t>
  </si>
  <si>
    <t>메테오라 수도원</t>
  </si>
  <si>
    <t xml:space="preserve"> ‘정부의 섣부른 시장개입이 악영향을 줄 수 있다’는 것을 빗댄 말은?</t>
  </si>
  <si>
    <t>목욕탕의 때</t>
  </si>
  <si>
    <t>샤워실의 바보</t>
  </si>
  <si>
    <t>수영장의 오리</t>
  </si>
  <si>
    <t xml:space="preserve"> 다음 중 하늘을 날 수 없는 새는?</t>
  </si>
  <si>
    <t>참새</t>
  </si>
  <si>
    <t>황새</t>
  </si>
  <si>
    <t>눈깜짝할새</t>
  </si>
  <si>
    <t xml:space="preserve"> ‘은하수’를 뜻하는 순우리말은?</t>
  </si>
  <si>
    <t>미리내</t>
  </si>
  <si>
    <t>빨리내</t>
  </si>
  <si>
    <t>비린내</t>
  </si>
  <si>
    <t xml:space="preserve"> 블랙홀의 반대개념으로 천체물리학에서 이론상으로만 존재하는 개념은?</t>
  </si>
  <si>
    <t>화이트홀</t>
  </si>
  <si>
    <t xml:space="preserve"> 농구에서 수비수를 속이기 위해 자기편이 아닌 다른 쪽을 보면서 패스하는 것은?</t>
  </si>
  <si>
    <t>하이패스</t>
  </si>
  <si>
    <t>노룩패스</t>
  </si>
  <si>
    <t>보딩패스</t>
  </si>
  <si>
    <t xml:space="preserve"> 불국사에 없는 건축물은?</t>
  </si>
  <si>
    <t>첨성대</t>
  </si>
  <si>
    <t>대웅전</t>
  </si>
  <si>
    <t>석가탑</t>
  </si>
  <si>
    <t xml:space="preserve"> 세계 주요 지진대와 화산대 활동이 겹치는 환태평양 조산대를 칭하는 말은?</t>
  </si>
  <si>
    <t>물의 고리</t>
  </si>
  <si>
    <t>불의 고리</t>
  </si>
  <si>
    <t>빛의 고리</t>
  </si>
  <si>
    <t xml:space="preserve"> 단어나 문장을 구성하고 있는 문자의 순서를 바꾸어 다른 단어나 문장을 만드는 놀이는?</t>
  </si>
  <si>
    <t>애너그램</t>
  </si>
  <si>
    <t>끝말잇기</t>
  </si>
  <si>
    <t>십자말풀이</t>
  </si>
  <si>
    <t xml:space="preserve"> 다음 중 ‘천왕봉’이 있는 산은?</t>
  </si>
  <si>
    <t xml:space="preserve"> ‘슈뢰딩거의 고양이’는 슈뢰딩거가 □의 불완전함을 증명하려고 고안한 사고실험이다.</t>
  </si>
  <si>
    <t>고전역학</t>
  </si>
  <si>
    <t>열역학</t>
  </si>
  <si>
    <t>양자역학</t>
  </si>
  <si>
    <t xml:space="preserve"> 다음 중 달에 착륙하지 못한 우주선은?</t>
  </si>
  <si>
    <t>아폴로12</t>
  </si>
  <si>
    <t>아폴로13</t>
  </si>
  <si>
    <t>아폴로14</t>
  </si>
  <si>
    <t xml:space="preserve"> ‘에이즈 환자들의 인권을 보호하자’는 내용의 캠페인은?</t>
  </si>
  <si>
    <t>퍼플리본</t>
  </si>
  <si>
    <t>핑크리본</t>
  </si>
  <si>
    <t>레드리본</t>
  </si>
  <si>
    <t xml:space="preserve"> 자살에 대한 언론보도 자제를 통해 모방자살을 예방하는 것은?</t>
  </si>
  <si>
    <t>트라우마</t>
  </si>
  <si>
    <t>베르테르 효과</t>
  </si>
  <si>
    <t xml:space="preserve"> ♪“비내리는 호남선~”으로 시작하는 김희수의 대표곡 “□열차”에서 □는?</t>
  </si>
  <si>
    <t>입영</t>
  </si>
  <si>
    <t>특급</t>
  </si>
  <si>
    <t>남행</t>
  </si>
  <si>
    <t xml:space="preserve"> 다음 중 경기도에 속하지 않는 도시는?</t>
  </si>
  <si>
    <t>부천시</t>
  </si>
  <si>
    <t>시흥시</t>
  </si>
  <si>
    <t>원주시</t>
  </si>
  <si>
    <t xml:space="preserve"> 두 개 이상의 서로 다른 비행체가 우주 공간에서 결합하는 것은?</t>
  </si>
  <si>
    <t>뱅킹</t>
  </si>
  <si>
    <t>파킹</t>
  </si>
  <si>
    <t xml:space="preserve"> 다음 중 ‘아이폰x’의 기능으로, 얼굴인식 센서를 이용해 움직이는 이모티콘은?</t>
  </si>
  <si>
    <t>부라보콘</t>
  </si>
  <si>
    <t>동물티콘</t>
  </si>
  <si>
    <t>애니모티콘</t>
  </si>
  <si>
    <t xml:space="preserve"> 애니메이션 ‘인사이드아웃’에 등장하지 않는 감정캐릭터는?(우리나라ver.)</t>
  </si>
  <si>
    <t>기쁨이</t>
  </si>
  <si>
    <t>버럭이</t>
  </si>
  <si>
    <t>우울이</t>
  </si>
  <si>
    <t xml:space="preserve"> 다음 중 원주율(∏)의 값은?</t>
  </si>
  <si>
    <t>3.141265...</t>
  </si>
  <si>
    <t>3.141829...</t>
  </si>
  <si>
    <t>3.141592...</t>
  </si>
  <si>
    <t xml:space="preserve"> 구조신호 ‘메이데이(mayday)’는 어느 나라 말에서 유래했을까?</t>
  </si>
  <si>
    <t>프랑스어</t>
  </si>
  <si>
    <t>독일어</t>
  </si>
  <si>
    <t xml:space="preserve"> 옷, 시계, 안경처럼 몸에 착용하고 다닐 수 있는, 작고 가벼운 컴퓨터는?</t>
  </si>
  <si>
    <t>미니미니 컴퓨터</t>
  </si>
  <si>
    <t>컴포터블 컴퓨터</t>
  </si>
  <si>
    <t>웨어러블 컴퓨터</t>
  </si>
  <si>
    <t xml:space="preserve"> 우리나라 장마 전선 형성에 영향을 끼치지 않는 기단은?</t>
  </si>
  <si>
    <t>오호츠크해 기단</t>
  </si>
  <si>
    <t xml:space="preserve"> 일식이 일어났을 때 태양, 지구, 달의 순서는?</t>
  </si>
  <si>
    <t>태양-지구-달</t>
  </si>
  <si>
    <t>태양-달-지구</t>
  </si>
  <si>
    <t>달-태양-지구</t>
  </si>
  <si>
    <t xml:space="preserve"> ‘인간은 패배하도록 만들어지지 않았다’라는 명대사를 남긴 소설은?</t>
  </si>
  <si>
    <t>데미안</t>
  </si>
  <si>
    <t>노인과 바다</t>
  </si>
  <si>
    <t>인간실격</t>
  </si>
  <si>
    <t xml:space="preserve"> 서비스와 상품 등을 고객과 대면하지 않고 판매하는 마케팅 방식은?</t>
  </si>
  <si>
    <t>노페이스 마케팅</t>
  </si>
  <si>
    <t>언택트 마케팅</t>
  </si>
  <si>
    <t>언페이스 마케팅</t>
  </si>
  <si>
    <t xml:space="preserve"> 단군왕검이 세운 나라의 이름은?</t>
  </si>
  <si>
    <t>고조선</t>
  </si>
  <si>
    <t>와칸다</t>
  </si>
  <si>
    <t xml:space="preserve"> ‘삼권분립’의 삼권에 해당하지 않는 것은?</t>
  </si>
  <si>
    <t>입법부</t>
  </si>
  <si>
    <t>행정부</t>
  </si>
  <si>
    <t>순두부</t>
  </si>
  <si>
    <t xml:space="preserve"> IQ가 지능지수라면, 감성지수는?</t>
  </si>
  <si>
    <t>PAYQ</t>
  </si>
  <si>
    <t>EQ</t>
  </si>
  <si>
    <t>SQ</t>
  </si>
  <si>
    <t xml:space="preserve"> 부당함에 대항하기 위해 정치·사회 등의 분야에서 집단적으로 벌이는 거부운동이란 뜻의 단어는?</t>
  </si>
  <si>
    <t>백도어</t>
  </si>
  <si>
    <t>엠바고</t>
  </si>
  <si>
    <t>보이콧</t>
  </si>
  <si>
    <t xml:space="preserve"> 자동차 주차를 위해 후진할 때, 기어레버는 어디다 둬야 할까?</t>
  </si>
  <si>
    <t>D</t>
  </si>
  <si>
    <t>R</t>
  </si>
  <si>
    <t>P</t>
  </si>
  <si>
    <t>맥베스</t>
  </si>
  <si>
    <t>오셀로</t>
  </si>
  <si>
    <t>아더왕</t>
  </si>
  <si>
    <t xml:space="preserve"> 그룹사의 지분을 가지고 그룹을 관리하고 경영하기 위해 만들어진 지주회사를 뜻하는 말은?</t>
  </si>
  <si>
    <t>스톡</t>
  </si>
  <si>
    <t>홀딩스</t>
  </si>
  <si>
    <t>코퍼레이션</t>
  </si>
  <si>
    <t xml:space="preserve"> 클레오파트라가 로마 황제 안토니우스를 유혹하기 위해 술에 넣어 마신 보석은?</t>
  </si>
  <si>
    <t>진주</t>
  </si>
  <si>
    <t>루비</t>
  </si>
  <si>
    <t>에메랄드</t>
  </si>
  <si>
    <t xml:space="preserve"> 멕시코 국기에 있는 동물이 아닌 것은?</t>
  </si>
  <si>
    <t xml:space="preserve"> 다음 중 멕시코와 국경이 접한 나라는?</t>
  </si>
  <si>
    <t>과테말라</t>
  </si>
  <si>
    <t>온두라스</t>
  </si>
  <si>
    <t xml:space="preserve"> 지구 중심의 내핵을 발견한 인물은?</t>
  </si>
  <si>
    <t xml:space="preserve"> 아라비아 숫자 1에서 100사이에 ‘9’는 모두 몇 개 일까?</t>
  </si>
  <si>
    <t>19번</t>
  </si>
  <si>
    <t>20번</t>
  </si>
  <si>
    <t>21번</t>
  </si>
  <si>
    <t xml:space="preserve"> ‘뽀통령’ 뽀로로는 어떤 동물인가?</t>
  </si>
  <si>
    <t>팽귄</t>
  </si>
  <si>
    <t>오리</t>
  </si>
  <si>
    <t>북극곰</t>
  </si>
  <si>
    <t xml:space="preserve"> 제주도의 별명 ‘삼다도(三多島)’에 포함되지 않는 것은?</t>
  </si>
  <si>
    <t>카페</t>
  </si>
  <si>
    <t>돌</t>
  </si>
  <si>
    <t xml:space="preserve"> 잘 나가는 제품을 모방해 만든 상품을 비하하는 용어는?</t>
  </si>
  <si>
    <t>카피북</t>
  </si>
  <si>
    <t>카피독</t>
  </si>
  <si>
    <t>카피켓</t>
  </si>
  <si>
    <t xml:space="preserve"> ‘창포물에 머리감는 날’이라는 민속 명절은?</t>
  </si>
  <si>
    <t>정월대보름</t>
  </si>
  <si>
    <t>단오</t>
  </si>
  <si>
    <t>동지</t>
  </si>
  <si>
    <t xml:space="preserve"> 커피의 새두와 원두의 맛, 특성 등을 감별하는 직업은?</t>
  </si>
  <si>
    <t>그라인더</t>
  </si>
  <si>
    <t>큐그레이더</t>
  </si>
  <si>
    <t>인스타그래머</t>
  </si>
  <si>
    <t xml:space="preserve"> ‘실력이 □ 좋아지고 있구나.’에서 빈칸에 알맞은 것은?</t>
  </si>
  <si>
    <t>나날이</t>
  </si>
  <si>
    <t>나날히</t>
  </si>
  <si>
    <t>나나리</t>
  </si>
  <si>
    <t xml:space="preserve"> 베네치아(benezia)를 칭하는 단어가 아닌 것은?</t>
  </si>
  <si>
    <t>베니스(Venice)</t>
  </si>
  <si>
    <t>베네디히(Venedig)</t>
  </si>
  <si>
    <t>베네토(Veneto)</t>
  </si>
  <si>
    <t xml:space="preserve"> 다음 중 본명이 아닌 스포츠 스타는?</t>
  </si>
  <si>
    <t xml:space="preserve"> 커피가 19세기 한국에 들어왔을 때 불렸던 이름은?</t>
  </si>
  <si>
    <t>가세</t>
  </si>
  <si>
    <t>검은물</t>
  </si>
  <si>
    <t>양탕국</t>
  </si>
  <si>
    <t xml:space="preserve"> 고속도로·고속철도의 개통으로 주변 도시의 경제력을 흡수하는 대도시 집중현상은?</t>
  </si>
  <si>
    <t>풍선효과</t>
  </si>
  <si>
    <t>나비효과</t>
  </si>
  <si>
    <t>빨대효과</t>
  </si>
  <si>
    <t xml:space="preserve"> 연극의 3요소가 아닌 것은?</t>
  </si>
  <si>
    <t>감독</t>
  </si>
  <si>
    <t>배우</t>
  </si>
  <si>
    <t>관객</t>
  </si>
  <si>
    <t xml:space="preserve"> 유교의 기본 경전인 ‘사서삼경(四書三經)’ 중 삼경이 아닌 것은?</t>
  </si>
  <si>
    <t>주역</t>
  </si>
  <si>
    <t>중용</t>
  </si>
  <si>
    <t>시경</t>
  </si>
  <si>
    <t>샤방</t>
    <phoneticPr fontId="1" type="noConversion"/>
  </si>
  <si>
    <t>사자</t>
    <phoneticPr fontId="1" type="noConversion"/>
  </si>
  <si>
    <t>달</t>
    <phoneticPr fontId="1" type="noConversion"/>
  </si>
  <si>
    <t>별</t>
    <phoneticPr fontId="1" type="noConversion"/>
  </si>
  <si>
    <t>친구</t>
    <phoneticPr fontId="1" type="noConversion"/>
  </si>
  <si>
    <t>밀양</t>
    <phoneticPr fontId="1" type="noConversion"/>
  </si>
  <si>
    <t>양</t>
    <phoneticPr fontId="1" type="noConversion"/>
  </si>
  <si>
    <t>소나타</t>
    <phoneticPr fontId="1" type="noConversion"/>
  </si>
  <si>
    <t>아리아</t>
    <phoneticPr fontId="1" type="noConversion"/>
  </si>
  <si>
    <t xml:space="preserve"> 정치인이나 고위 관료들의 ‘홍보 전문가’를 지칭하는 용어는?</t>
    <phoneticPr fontId="1" type="noConversion"/>
  </si>
  <si>
    <t>순교자 증후군</t>
    <phoneticPr fontId="1" type="noConversion"/>
  </si>
  <si>
    <t>중국</t>
    <phoneticPr fontId="1" type="noConversion"/>
  </si>
  <si>
    <t>행주산성</t>
    <phoneticPr fontId="1" type="noConversion"/>
  </si>
  <si>
    <t>수원화성</t>
    <phoneticPr fontId="1" type="noConversion"/>
  </si>
  <si>
    <t>남한산성</t>
    <phoneticPr fontId="1" type="noConversion"/>
  </si>
  <si>
    <t>낙지 한 코</t>
    <phoneticPr fontId="1" type="noConversion"/>
  </si>
  <si>
    <t>오이 한 거리</t>
    <phoneticPr fontId="1" type="noConversion"/>
  </si>
  <si>
    <t>삼촌</t>
    <phoneticPr fontId="1" type="noConversion"/>
  </si>
  <si>
    <t>위너</t>
    <phoneticPr fontId="1" type="noConversion"/>
  </si>
  <si>
    <t>샤이니</t>
    <phoneticPr fontId="1" type="noConversion"/>
  </si>
  <si>
    <t>스키</t>
    <phoneticPr fontId="1" type="noConversion"/>
  </si>
  <si>
    <t>산</t>
    <phoneticPr fontId="1" type="noConversion"/>
  </si>
  <si>
    <t>6,470원</t>
    <phoneticPr fontId="1" type="noConversion"/>
  </si>
  <si>
    <t>7,530원</t>
    <phoneticPr fontId="1" type="noConversion"/>
  </si>
  <si>
    <t>8,430원</t>
    <phoneticPr fontId="1" type="noConversion"/>
  </si>
  <si>
    <t>변학도</t>
    <phoneticPr fontId="1" type="noConversion"/>
  </si>
  <si>
    <t>향단</t>
    <phoneticPr fontId="1" type="noConversion"/>
  </si>
  <si>
    <t>노벨의 첫 특허권 획득일</t>
    <phoneticPr fontId="1" type="noConversion"/>
  </si>
  <si>
    <t>노벨의 사망일</t>
    <phoneticPr fontId="1" type="noConversion"/>
  </si>
  <si>
    <t>나가사키</t>
    <phoneticPr fontId="1" type="noConversion"/>
  </si>
  <si>
    <t>히로시마</t>
    <phoneticPr fontId="1" type="noConversion"/>
  </si>
  <si>
    <t>토트넘 – 스탬포드 브릿지</t>
    <phoneticPr fontId="1" type="noConversion"/>
  </si>
  <si>
    <t>아스날 – 에미레이트 스타디움</t>
    <phoneticPr fontId="1" type="noConversion"/>
  </si>
  <si>
    <t>금상첨화</t>
    <phoneticPr fontId="1" type="noConversion"/>
  </si>
  <si>
    <t>국화</t>
    <phoneticPr fontId="1" type="noConversion"/>
  </si>
  <si>
    <t>민들레</t>
    <phoneticPr fontId="1" type="noConversion"/>
  </si>
  <si>
    <t>현충일</t>
    <phoneticPr fontId="1" type="noConversion"/>
  </si>
  <si>
    <t>6월 9일 (토)</t>
    <phoneticPr fontId="1" type="noConversion"/>
  </si>
  <si>
    <t>샤슬릭</t>
    <phoneticPr fontId="1" type="noConversion"/>
  </si>
  <si>
    <t>눈</t>
    <phoneticPr fontId="1" type="noConversion"/>
  </si>
  <si>
    <t>무릎팍</t>
    <phoneticPr fontId="1" type="noConversion"/>
  </si>
  <si>
    <t>무릅팍</t>
    <phoneticPr fontId="1" type="noConversion"/>
  </si>
  <si>
    <t>수국</t>
    <phoneticPr fontId="1" type="noConversion"/>
  </si>
  <si>
    <t>수선화</t>
    <phoneticPr fontId="1" type="noConversion"/>
  </si>
  <si>
    <t>감 씨앗</t>
    <phoneticPr fontId="1" type="noConversion"/>
  </si>
  <si>
    <t>송강 정철</t>
    <phoneticPr fontId="1" type="noConversion"/>
  </si>
  <si>
    <t>박연폭포</t>
    <phoneticPr fontId="1" type="noConversion"/>
  </si>
  <si>
    <t>캔디</t>
    <phoneticPr fontId="1" type="noConversion"/>
  </si>
  <si>
    <t>스콜</t>
    <phoneticPr fontId="1" type="noConversion"/>
  </si>
  <si>
    <t>동구밭 과수원 길~</t>
    <phoneticPr fontId="1" type="noConversion"/>
  </si>
  <si>
    <t>창문</t>
    <phoneticPr fontId="1" type="noConversion"/>
  </si>
  <si>
    <t>벽난로</t>
    <phoneticPr fontId="1" type="noConversion"/>
  </si>
  <si>
    <t>킹덤스토리 대전</t>
    <phoneticPr fontId="1" type="noConversion"/>
  </si>
  <si>
    <t>병목현상</t>
    <phoneticPr fontId="1" type="noConversion"/>
  </si>
  <si>
    <t>iOS11</t>
    <phoneticPr fontId="1" type="noConversion"/>
  </si>
  <si>
    <t>멀리</t>
    <phoneticPr fontId="1" type="noConversion"/>
  </si>
  <si>
    <t>말리</t>
    <phoneticPr fontId="1" type="noConversion"/>
  </si>
  <si>
    <t>USB Type B</t>
    <phoneticPr fontId="1" type="noConversion"/>
  </si>
  <si>
    <t>레오나르도 다빈치</t>
    <phoneticPr fontId="1" type="noConversion"/>
  </si>
  <si>
    <t>얀 반 에이크</t>
    <phoneticPr fontId="1" type="noConversion"/>
  </si>
  <si>
    <t>이스라엘</t>
    <phoneticPr fontId="1" type="noConversion"/>
  </si>
  <si>
    <t>브라질</t>
    <phoneticPr fontId="1" type="noConversion"/>
  </si>
  <si>
    <t>분위기</t>
    <phoneticPr fontId="1" type="noConversion"/>
  </si>
  <si>
    <t>송중기</t>
    <phoneticPr fontId="1" type="noConversion"/>
  </si>
  <si>
    <t>노무현 전 대통령</t>
    <phoneticPr fontId="1" type="noConversion"/>
  </si>
  <si>
    <t>김대중 전 대통령</t>
    <phoneticPr fontId="1" type="noConversion"/>
  </si>
  <si>
    <t>정약용</t>
    <phoneticPr fontId="1" type="noConversion"/>
  </si>
  <si>
    <t>호텔의 ‘Sweet Room’</t>
    <phoneticPr fontId="1" type="noConversion"/>
  </si>
  <si>
    <t>야구의 ‘Called Game’</t>
    <phoneticPr fontId="1" type="noConversion"/>
  </si>
  <si>
    <t>화나리</t>
    <phoneticPr fontId="1" type="noConversion"/>
  </si>
  <si>
    <t>군의원</t>
    <phoneticPr fontId="1" type="noConversion"/>
  </si>
  <si>
    <t>골드 칼라</t>
    <phoneticPr fontId="1" type="noConversion"/>
  </si>
  <si>
    <t>마르첼로</t>
    <phoneticPr fontId="1" type="noConversion"/>
  </si>
  <si>
    <t>플라시보 효과</t>
    <phoneticPr fontId="1" type="noConversion"/>
  </si>
  <si>
    <t>임금피크제</t>
    <phoneticPr fontId="1" type="noConversion"/>
  </si>
  <si>
    <t>칵테일</t>
    <phoneticPr fontId="1" type="noConversion"/>
  </si>
  <si>
    <t>물감</t>
    <phoneticPr fontId="1" type="noConversion"/>
  </si>
  <si>
    <t>고양이</t>
    <phoneticPr fontId="1" type="noConversion"/>
  </si>
  <si>
    <t>눈</t>
    <phoneticPr fontId="1" type="noConversion"/>
  </si>
  <si>
    <t>동남쪽</t>
    <phoneticPr fontId="1" type="noConversion"/>
  </si>
  <si>
    <t>동북쪽</t>
    <phoneticPr fontId="1" type="noConversion"/>
  </si>
  <si>
    <t>10개</t>
    <phoneticPr fontId="1" type="noConversion"/>
  </si>
  <si>
    <t>12개</t>
    <phoneticPr fontId="1" type="noConversion"/>
  </si>
  <si>
    <t>15개</t>
    <phoneticPr fontId="1" type="noConversion"/>
  </si>
  <si>
    <t>2시간</t>
    <phoneticPr fontId="1" type="noConversion"/>
  </si>
  <si>
    <t>3시간</t>
    <phoneticPr fontId="1" type="noConversion"/>
  </si>
  <si>
    <t>아르헨티나</t>
    <phoneticPr fontId="1" type="noConversion"/>
  </si>
  <si>
    <t>왕관</t>
    <phoneticPr fontId="1" type="noConversion"/>
  </si>
  <si>
    <t>궁전</t>
    <phoneticPr fontId="1" type="noConversion"/>
  </si>
  <si>
    <t>배구공</t>
    <phoneticPr fontId="1" type="noConversion"/>
  </si>
  <si>
    <t>그린 재킷</t>
    <phoneticPr fontId="1" type="noConversion"/>
  </si>
  <si>
    <t>그린 밸트</t>
    <phoneticPr fontId="1" type="noConversion"/>
  </si>
  <si>
    <t>10개</t>
    <phoneticPr fontId="1" type="noConversion"/>
  </si>
  <si>
    <t>늑대</t>
    <phoneticPr fontId="1" type="noConversion"/>
  </si>
  <si>
    <t>골든글러브</t>
    <phoneticPr fontId="1" type="noConversion"/>
  </si>
  <si>
    <t>서핑</t>
    <phoneticPr fontId="1" type="noConversion"/>
  </si>
  <si>
    <t>유격수</t>
    <phoneticPr fontId="1" type="noConversion"/>
  </si>
  <si>
    <t>12개</t>
    <phoneticPr fontId="1" type="noConversion"/>
  </si>
  <si>
    <t>손흥민 -7번</t>
    <phoneticPr fontId="1" type="noConversion"/>
  </si>
  <si>
    <t>A조 -러시아</t>
    <phoneticPr fontId="1" type="noConversion"/>
  </si>
  <si>
    <t>수소</t>
    <phoneticPr fontId="1" type="noConversion"/>
  </si>
  <si>
    <t>페이큐</t>
    <phoneticPr fontId="1" type="noConversion"/>
  </si>
  <si>
    <t>바람</t>
    <phoneticPr fontId="1" type="noConversion"/>
  </si>
  <si>
    <t>공작</t>
    <phoneticPr fontId="1" type="noConversion"/>
  </si>
  <si>
    <t>타조</t>
    <phoneticPr fontId="1" type="noConversion"/>
  </si>
  <si>
    <t>잎</t>
    <phoneticPr fontId="1" type="noConversion"/>
  </si>
  <si>
    <t>가지</t>
    <phoneticPr fontId="1" type="noConversion"/>
  </si>
  <si>
    <t>atm</t>
    <phoneticPr fontId="1" type="noConversion"/>
  </si>
  <si>
    <t>mile</t>
    <phoneticPr fontId="1" type="noConversion"/>
  </si>
  <si>
    <t>ft</t>
    <phoneticPr fontId="1" type="noConversion"/>
  </si>
  <si>
    <t>오디션</t>
    <phoneticPr fontId="1" type="noConversion"/>
  </si>
  <si>
    <t>오리지널</t>
    <phoneticPr fontId="1" type="noConversion"/>
  </si>
  <si>
    <t>부위자강</t>
    <phoneticPr fontId="1" type="noConversion"/>
  </si>
  <si>
    <t>제주</t>
    <phoneticPr fontId="1" type="noConversion"/>
  </si>
  <si>
    <t>우수리</t>
    <phoneticPr fontId="1" type="noConversion"/>
  </si>
  <si>
    <t>닭</t>
    <phoneticPr fontId="1" type="noConversion"/>
  </si>
  <si>
    <t>독수리</t>
    <phoneticPr fontId="1" type="noConversion"/>
  </si>
  <si>
    <t>옴니채널</t>
    <phoneticPr fontId="1" type="noConversion"/>
  </si>
  <si>
    <t>브이로그</t>
    <phoneticPr fontId="1" type="noConversion"/>
  </si>
  <si>
    <t>비델로그</t>
    <phoneticPr fontId="1" type="noConversion"/>
  </si>
  <si>
    <t>가위</t>
    <phoneticPr fontId="1" type="noConversion"/>
  </si>
  <si>
    <t>디스커버리호</t>
    <phoneticPr fontId="1" type="noConversion"/>
  </si>
  <si>
    <t>바이킹1호</t>
    <phoneticPr fontId="1" type="noConversion"/>
  </si>
  <si>
    <t>RING</t>
    <phoneticPr fontId="1" type="noConversion"/>
  </si>
  <si>
    <t>LING</t>
    <phoneticPr fontId="1" type="noConversion"/>
  </si>
  <si>
    <t>중국</t>
    <phoneticPr fontId="1" type="noConversion"/>
  </si>
  <si>
    <t>캐나다</t>
    <phoneticPr fontId="1" type="noConversion"/>
  </si>
  <si>
    <t>물 500ml</t>
    <phoneticPr fontId="1" type="noConversion"/>
  </si>
  <si>
    <t>에탄올 500ml</t>
    <phoneticPr fontId="1" type="noConversion"/>
  </si>
  <si>
    <t xml:space="preserve">가솔린 500ml </t>
    <phoneticPr fontId="1" type="noConversion"/>
  </si>
  <si>
    <t>영도대교</t>
    <phoneticPr fontId="1" type="noConversion"/>
  </si>
  <si>
    <t>백석 – 백천희</t>
    <phoneticPr fontId="1" type="noConversion"/>
  </si>
  <si>
    <t>부력</t>
    <phoneticPr fontId="1" type="noConversion"/>
  </si>
  <si>
    <t>매력</t>
    <phoneticPr fontId="1" type="noConversion"/>
  </si>
  <si>
    <t>공신</t>
    <phoneticPr fontId="1" type="noConversion"/>
  </si>
  <si>
    <t>맹구</t>
    <phoneticPr fontId="1" type="noConversion"/>
  </si>
  <si>
    <t>순자</t>
    <phoneticPr fontId="1" type="noConversion"/>
  </si>
  <si>
    <t>BR</t>
    <phoneticPr fontId="1" type="noConversion"/>
  </si>
  <si>
    <t>Kold game</t>
    <phoneticPr fontId="1" type="noConversion"/>
  </si>
  <si>
    <t>칼로리</t>
    <phoneticPr fontId="1" type="noConversion"/>
  </si>
  <si>
    <t>코알라</t>
    <phoneticPr fontId="1" type="noConversion"/>
  </si>
  <si>
    <t>골득실</t>
    <phoneticPr fontId="1" type="noConversion"/>
  </si>
  <si>
    <t>미닝아웃</t>
    <phoneticPr fontId="1" type="noConversion"/>
  </si>
  <si>
    <t>콜드 러시</t>
    <phoneticPr fontId="1" type="noConversion"/>
  </si>
  <si>
    <t>버닝 러시</t>
    <phoneticPr fontId="1" type="noConversion"/>
  </si>
  <si>
    <t>쿠푸왕의 피라미드</t>
    <phoneticPr fontId="1" type="noConversion"/>
  </si>
  <si>
    <t>파로스 등대</t>
    <phoneticPr fontId="1" type="noConversion"/>
  </si>
  <si>
    <t>메테오라 수도원</t>
    <phoneticPr fontId="1" type="noConversion"/>
  </si>
  <si>
    <t>수영장의 오리</t>
    <phoneticPr fontId="1" type="noConversion"/>
  </si>
  <si>
    <t>빨리내</t>
    <phoneticPr fontId="1" type="noConversion"/>
  </si>
  <si>
    <t>비린내</t>
    <phoneticPr fontId="1" type="noConversion"/>
  </si>
  <si>
    <t>화이트홀</t>
    <phoneticPr fontId="1" type="noConversion"/>
  </si>
  <si>
    <t>노룩패스</t>
    <phoneticPr fontId="1" type="noConversion"/>
  </si>
  <si>
    <t>첨성대</t>
    <phoneticPr fontId="1" type="noConversion"/>
  </si>
  <si>
    <t>물의 고리</t>
    <phoneticPr fontId="1" type="noConversion"/>
  </si>
  <si>
    <t>불의 고리</t>
    <phoneticPr fontId="1" type="noConversion"/>
  </si>
  <si>
    <t>애너그램</t>
    <phoneticPr fontId="1" type="noConversion"/>
  </si>
  <si>
    <t>지리산</t>
    <phoneticPr fontId="1" type="noConversion"/>
  </si>
  <si>
    <t>아폴로12</t>
    <phoneticPr fontId="1" type="noConversion"/>
  </si>
  <si>
    <t>베르테르 효과</t>
    <phoneticPr fontId="1" type="noConversion"/>
  </si>
  <si>
    <t>특급</t>
    <phoneticPr fontId="1" type="noConversion"/>
  </si>
  <si>
    <t>부천시</t>
    <phoneticPr fontId="1" type="noConversion"/>
  </si>
  <si>
    <t>시흥시</t>
    <phoneticPr fontId="1" type="noConversion"/>
  </si>
  <si>
    <t>원주시</t>
    <phoneticPr fontId="1" type="noConversion"/>
  </si>
  <si>
    <t>도킹</t>
    <phoneticPr fontId="1" type="noConversion"/>
  </si>
  <si>
    <t>기쁨이</t>
    <phoneticPr fontId="1" type="noConversion"/>
  </si>
  <si>
    <t>버럭이</t>
    <phoneticPr fontId="1" type="noConversion"/>
  </si>
  <si>
    <t>우울이</t>
    <phoneticPr fontId="1" type="noConversion"/>
  </si>
  <si>
    <t>스페인어</t>
    <phoneticPr fontId="1" type="noConversion"/>
  </si>
  <si>
    <t>미니미니 컴퓨터</t>
    <phoneticPr fontId="1" type="noConversion"/>
  </si>
  <si>
    <t>컴포터블 컴퓨터</t>
    <phoneticPr fontId="1" type="noConversion"/>
  </si>
  <si>
    <t>웨어러블 컴퓨터</t>
    <phoneticPr fontId="1" type="noConversion"/>
  </si>
  <si>
    <t>북태평양 기단</t>
    <phoneticPr fontId="1" type="noConversion"/>
  </si>
  <si>
    <t>태양-지구-달</t>
    <phoneticPr fontId="1" type="noConversion"/>
  </si>
  <si>
    <t>노인과 바다</t>
    <phoneticPr fontId="1" type="noConversion"/>
  </si>
  <si>
    <t>인간실격</t>
    <phoneticPr fontId="1" type="noConversion"/>
  </si>
  <si>
    <t>노페이스 마케팅</t>
    <phoneticPr fontId="1" type="noConversion"/>
  </si>
  <si>
    <t>언페이스 마케팅</t>
    <phoneticPr fontId="1" type="noConversion"/>
  </si>
  <si>
    <t>고조선</t>
    <phoneticPr fontId="1" type="noConversion"/>
  </si>
  <si>
    <t>순두부</t>
    <phoneticPr fontId="1" type="noConversion"/>
  </si>
  <si>
    <t>EQ</t>
    <phoneticPr fontId="1" type="noConversion"/>
  </si>
  <si>
    <t>SQ</t>
    <phoneticPr fontId="1" type="noConversion"/>
  </si>
  <si>
    <t>백도어</t>
    <phoneticPr fontId="1" type="noConversion"/>
  </si>
  <si>
    <t>보이콧</t>
    <phoneticPr fontId="1" type="noConversion"/>
  </si>
  <si>
    <t>R</t>
    <phoneticPr fontId="1" type="noConversion"/>
  </si>
  <si>
    <t>맥베스</t>
    <phoneticPr fontId="1" type="noConversion"/>
  </si>
  <si>
    <t>아더왕</t>
    <phoneticPr fontId="1" type="noConversion"/>
  </si>
  <si>
    <t>코퍼레이션</t>
    <phoneticPr fontId="1" type="noConversion"/>
  </si>
  <si>
    <t>과테말라</t>
    <phoneticPr fontId="1" type="noConversion"/>
  </si>
  <si>
    <t>구텐베르크</t>
    <phoneticPr fontId="1" type="noConversion"/>
  </si>
  <si>
    <t>모호로비치치</t>
    <phoneticPr fontId="1" type="noConversion"/>
  </si>
  <si>
    <t>19번</t>
    <phoneticPr fontId="1" type="noConversion"/>
  </si>
  <si>
    <t>20번</t>
    <phoneticPr fontId="1" type="noConversion"/>
  </si>
  <si>
    <t>북극곰</t>
    <phoneticPr fontId="1" type="noConversion"/>
  </si>
  <si>
    <t>카페</t>
    <phoneticPr fontId="1" type="noConversion"/>
  </si>
  <si>
    <t>돌</t>
    <phoneticPr fontId="1" type="noConversion"/>
  </si>
  <si>
    <t>카피북</t>
    <phoneticPr fontId="1" type="noConversion"/>
  </si>
  <si>
    <t>카피독</t>
    <phoneticPr fontId="1" type="noConversion"/>
  </si>
  <si>
    <t>나날이</t>
    <phoneticPr fontId="1" type="noConversion"/>
  </si>
  <si>
    <t>나나리</t>
    <phoneticPr fontId="1" type="noConversion"/>
  </si>
  <si>
    <t>베니스(Venice)</t>
    <phoneticPr fontId="1" type="noConversion"/>
  </si>
  <si>
    <t>베네토(Veneto)</t>
    <phoneticPr fontId="1" type="noConversion"/>
  </si>
  <si>
    <t>켄 그리피 주니어</t>
    <phoneticPr fontId="1" type="noConversion"/>
  </si>
  <si>
    <t>우사인 볼트</t>
    <phoneticPr fontId="1" type="noConversion"/>
  </si>
  <si>
    <t>검은물</t>
    <phoneticPr fontId="1" type="noConversion"/>
  </si>
  <si>
    <t>양탕국</t>
    <phoneticPr fontId="1" type="noConversion"/>
  </si>
  <si>
    <t>나비효과</t>
    <phoneticPr fontId="1" type="noConversion"/>
  </si>
  <si>
    <t>감독</t>
    <phoneticPr fontId="1" type="noConversion"/>
  </si>
  <si>
    <t>중용</t>
    <phoneticPr fontId="1" type="noConversion"/>
  </si>
  <si>
    <t>시경</t>
    <phoneticPr fontId="1" type="noConversion"/>
  </si>
  <si>
    <t xml:space="preserve"> 다음 중 ‘누어서 하는 방송’을 뜻하는 신조어는?</t>
    <phoneticPr fontId="1" type="noConversion"/>
  </si>
  <si>
    <t>눕방</t>
    <phoneticPr fontId="1" type="noConversion"/>
  </si>
  <si>
    <t>먹방</t>
    <phoneticPr fontId="1" type="noConversion"/>
  </si>
  <si>
    <t xml:space="preserve"> &lt;임금님 귀, 「동물의 사육제」 제 3곡, ‘슈렉’의 동키&gt; 연상되는 것은?</t>
    <phoneticPr fontId="1" type="noConversion"/>
  </si>
  <si>
    <t>당나귀</t>
    <phoneticPr fontId="1" type="noConversion"/>
  </si>
  <si>
    <t xml:space="preserve"> 터키 국기에 들어가지 않는 것은?</t>
    <phoneticPr fontId="1" type="noConversion"/>
  </si>
  <si>
    <t>해</t>
    <phoneticPr fontId="1" type="noConversion"/>
  </si>
  <si>
    <t xml:space="preserve"> 다음 중 &lt;버닝&gt;을 연출한 이창동 감독의 영화가 아닌 것은?</t>
    <phoneticPr fontId="1" type="noConversion"/>
  </si>
  <si>
    <t>오아시스</t>
    <phoneticPr fontId="1" type="noConversion"/>
  </si>
  <si>
    <t xml:space="preserve"> 사자성어 &lt;양두구육(羊頭狗肉)&gt;에 등장하지 않는 동물은?</t>
    <phoneticPr fontId="1" type="noConversion"/>
  </si>
  <si>
    <t>개</t>
    <phoneticPr fontId="1" type="noConversion"/>
  </si>
  <si>
    <t>고양이</t>
    <phoneticPr fontId="1" type="noConversion"/>
  </si>
  <si>
    <t xml:space="preserve"> 오페라에서 주인공이 부르는 독창곡은?</t>
    <phoneticPr fontId="1" type="noConversion"/>
  </si>
  <si>
    <t>서곡</t>
    <phoneticPr fontId="1" type="noConversion"/>
  </si>
  <si>
    <t>스핀 닥터</t>
    <phoneticPr fontId="1" type="noConversion"/>
  </si>
  <si>
    <t>오버 닥터</t>
    <phoneticPr fontId="1" type="noConversion"/>
  </si>
  <si>
    <t>닥터 스트레인지</t>
    <phoneticPr fontId="1" type="noConversion"/>
  </si>
  <si>
    <t xml:space="preserve"> 북한의 야구 용어가 잘못 연결된 것은?</t>
    <phoneticPr fontId="1" type="noConversion"/>
  </si>
  <si>
    <t>넣는 사람 – 투수</t>
    <phoneticPr fontId="1" type="noConversion"/>
  </si>
  <si>
    <t>살짝치기 – 번트</t>
    <phoneticPr fontId="1" type="noConversion"/>
  </si>
  <si>
    <t>진격수 - 스트라이크</t>
    <phoneticPr fontId="1" type="noConversion"/>
  </si>
  <si>
    <t xml:space="preserve"> 추억은 항상 아름답다고 하며 좋은 기억만 남겨두려는 심리는?</t>
    <phoneticPr fontId="1" type="noConversion"/>
  </si>
  <si>
    <t>노아 증후군</t>
    <phoneticPr fontId="1" type="noConversion"/>
  </si>
  <si>
    <t>므두셀라 증후군</t>
    <phoneticPr fontId="1" type="noConversion"/>
  </si>
  <si>
    <t xml:space="preserve"> 다음 중 땅 면적이 가장 큰 나라는?</t>
    <phoneticPr fontId="1" type="noConversion"/>
  </si>
  <si>
    <t>브라질</t>
    <phoneticPr fontId="1" type="noConversion"/>
  </si>
  <si>
    <t>미국</t>
    <phoneticPr fontId="1" type="noConversion"/>
  </si>
  <si>
    <t xml:space="preserve"> 대한민국의 유네스코 세계문화유산이 아닌 것은?</t>
    <phoneticPr fontId="1" type="noConversion"/>
  </si>
  <si>
    <t xml:space="preserve"> 남자 나이를 가리키는 ‘약관(弱冠)’과 숫자가 다른 것은?</t>
    <phoneticPr fontId="1" type="noConversion"/>
  </si>
  <si>
    <t>북어 한 쾌</t>
    <phoneticPr fontId="1" type="noConversion"/>
  </si>
  <si>
    <t xml:space="preserve"> 둉요&lt;개구리&gt;에서 노래를 하지 않는 개구리는?</t>
    <phoneticPr fontId="1" type="noConversion"/>
  </si>
  <si>
    <t>며느리</t>
    <phoneticPr fontId="1" type="noConversion"/>
  </si>
  <si>
    <t>손자</t>
    <phoneticPr fontId="1" type="noConversion"/>
  </si>
  <si>
    <t xml:space="preserve"> 다음 중 ‘민호’라는 이름의 멤버가 없는 그룹은?</t>
    <phoneticPr fontId="1" type="noConversion"/>
  </si>
  <si>
    <t>레드벨벳</t>
    <phoneticPr fontId="1" type="noConversion"/>
  </si>
  <si>
    <t xml:space="preserve"> ‘봅슬레이, 스켈레톤,, 루지’의 공통점은?</t>
    <phoneticPr fontId="1" type="noConversion"/>
  </si>
  <si>
    <t>썰매</t>
    <phoneticPr fontId="1" type="noConversion"/>
  </si>
  <si>
    <t>스케이트</t>
    <phoneticPr fontId="1" type="noConversion"/>
  </si>
  <si>
    <t xml:space="preserve"> ‘몽마르트르, 몽블랑’에서 ‘몽’의 뜻은?</t>
    <phoneticPr fontId="1" type="noConversion"/>
  </si>
  <si>
    <t>꿈</t>
    <phoneticPr fontId="1" type="noConversion"/>
  </si>
  <si>
    <t>사랑스러운</t>
    <phoneticPr fontId="1" type="noConversion"/>
  </si>
  <si>
    <t xml:space="preserve"> 2018년 시간당 최저 임금은?</t>
    <phoneticPr fontId="1" type="noConversion"/>
  </si>
  <si>
    <t xml:space="preserve"> ‘춘향전’ 등장인물 중 직업과 관계있는 이름은?</t>
    <phoneticPr fontId="1" type="noConversion"/>
  </si>
  <si>
    <t>방자</t>
    <phoneticPr fontId="1" type="noConversion"/>
  </si>
  <si>
    <t xml:space="preserve"> 매년 ‘노벨상 시상식’이 열리는 12월 10일은 어떤 날일까?</t>
    <phoneticPr fontId="1" type="noConversion"/>
  </si>
  <si>
    <t>노벨의 출생일</t>
    <phoneticPr fontId="1" type="noConversion"/>
  </si>
  <si>
    <t xml:space="preserve"> 스웨덴의 수도는?</t>
    <phoneticPr fontId="1" type="noConversion"/>
  </si>
  <si>
    <t>헬싱키</t>
    <phoneticPr fontId="1" type="noConversion"/>
  </si>
  <si>
    <t>코펜하겐</t>
    <phoneticPr fontId="1" type="noConversion"/>
  </si>
  <si>
    <t>스톡홀름</t>
    <phoneticPr fontId="1" type="noConversion"/>
  </si>
  <si>
    <t xml:space="preserve"> 우리나라 돈 단위 중 ‘경(京)’에는 ‘0’이 몇 개일까?</t>
    <phoneticPr fontId="1" type="noConversion"/>
  </si>
  <si>
    <t>14개</t>
    <phoneticPr fontId="1" type="noConversion"/>
  </si>
  <si>
    <t>16개</t>
    <phoneticPr fontId="1" type="noConversion"/>
  </si>
  <si>
    <t xml:space="preserve"> 푸치니의 오페라 ‘나비부인’의 무대가 된 일본의 도시는?</t>
    <phoneticPr fontId="1" type="noConversion"/>
  </si>
  <si>
    <t>교토</t>
    <phoneticPr fontId="1" type="noConversion"/>
  </si>
  <si>
    <t xml:space="preserve"> 다음 중 축구경기장과 팀이 바르게 연결 된 것은?(현재기준)</t>
    <phoneticPr fontId="1" type="noConversion"/>
  </si>
  <si>
    <t>아틀레티코 마드리드 –캄프누</t>
    <phoneticPr fontId="1" type="noConversion"/>
  </si>
  <si>
    <t xml:space="preserve"> 다음 중 ‘금’의 뜻이 다른 한자는?</t>
    <phoneticPr fontId="1" type="noConversion"/>
  </si>
  <si>
    <t>금수강산</t>
    <phoneticPr fontId="1" type="noConversion"/>
  </si>
  <si>
    <t>금지옥엽</t>
    <phoneticPr fontId="1" type="noConversion"/>
  </si>
  <si>
    <t xml:space="preserve"> “그의 안주가 되어도 좋다/ 짝짝 찢어지어 내 몸은 없어질지라도” 이 가곡의 제목은?</t>
    <phoneticPr fontId="1" type="noConversion"/>
  </si>
  <si>
    <t>명태</t>
    <phoneticPr fontId="1" type="noConversion"/>
  </si>
  <si>
    <t>스트레칭</t>
    <phoneticPr fontId="1" type="noConversion"/>
  </si>
  <si>
    <t>모듬 소시지</t>
    <phoneticPr fontId="1" type="noConversion"/>
  </si>
  <si>
    <t xml:space="preserve"> &lt;인도의 국화, 심청, 연근&gt;다음에서 연상되는 꽃은?</t>
    <phoneticPr fontId="1" type="noConversion"/>
  </si>
  <si>
    <t>연꽃</t>
    <phoneticPr fontId="1" type="noConversion"/>
  </si>
  <si>
    <t xml:space="preserve"> 톱밥은 무엇의 부산물인가?</t>
    <phoneticPr fontId="1" type="noConversion"/>
  </si>
  <si>
    <t>쌀밥</t>
    <phoneticPr fontId="1" type="noConversion"/>
  </si>
  <si>
    <t>톱</t>
    <phoneticPr fontId="1" type="noConversion"/>
  </si>
  <si>
    <t>목재</t>
    <phoneticPr fontId="1" type="noConversion"/>
  </si>
  <si>
    <t xml:space="preserve"> 다음 중 조기(弔旗)를 게양하는 날은?</t>
    <phoneticPr fontId="1" type="noConversion"/>
  </si>
  <si>
    <t>삼일절</t>
    <phoneticPr fontId="1" type="noConversion"/>
  </si>
  <si>
    <t>국군의 날</t>
    <phoneticPr fontId="1" type="noConversion"/>
  </si>
  <si>
    <t xml:space="preserve"> 제 7회 전국동시지방선거의 사전투표일이 아닌 날은?</t>
    <phoneticPr fontId="1" type="noConversion"/>
  </si>
  <si>
    <t>6월 8일 (금)</t>
    <phoneticPr fontId="1" type="noConversion"/>
  </si>
  <si>
    <t>6월 10일 (일)</t>
    <phoneticPr fontId="1" type="noConversion"/>
  </si>
  <si>
    <t xml:space="preserve"> 러시아의 대표적 민예품으로 인형안에 더 작은 인형안에 더 작은 인형이 들어있는 이것은?</t>
    <phoneticPr fontId="1" type="noConversion"/>
  </si>
  <si>
    <t>마트료시카</t>
    <phoneticPr fontId="1" type="noConversion"/>
  </si>
  <si>
    <t>마요르카</t>
    <phoneticPr fontId="1" type="noConversion"/>
  </si>
  <si>
    <t xml:space="preserve"> &lt;고개를 들어 □을 보라&gt; - 스티븐 호킹</t>
    <phoneticPr fontId="1" type="noConversion"/>
  </si>
  <si>
    <t>꿈</t>
    <phoneticPr fontId="1" type="noConversion"/>
  </si>
  <si>
    <t>별</t>
    <phoneticPr fontId="1" type="noConversion"/>
  </si>
  <si>
    <t xml:space="preserve"> 다음 중 맞춤법이 바른 것은?</t>
    <phoneticPr fontId="1" type="noConversion"/>
  </si>
  <si>
    <t>무르팍</t>
    <phoneticPr fontId="1" type="noConversion"/>
  </si>
  <si>
    <t xml:space="preserve"> 다음 꽃 이름 중 ‘수’의 한자가 다른 하나는?</t>
    <phoneticPr fontId="1" type="noConversion"/>
  </si>
  <si>
    <t>수련</t>
    <phoneticPr fontId="1" type="noConversion"/>
  </si>
  <si>
    <t xml:space="preserve"> 옛 선조들이 경칩에 사랑의 징표로 주고받은 이것은?</t>
    <phoneticPr fontId="1" type="noConversion"/>
  </si>
  <si>
    <t>율무</t>
    <phoneticPr fontId="1" type="noConversion"/>
  </si>
  <si>
    <t>은행 씨앗</t>
    <phoneticPr fontId="1" type="noConversion"/>
  </si>
  <si>
    <t xml:space="preserve"> ‘묘령의 여인’에서 ‘묘령’이란?</t>
    <phoneticPr fontId="1" type="noConversion"/>
  </si>
  <si>
    <t>20살 안팎의 여자 나이</t>
    <phoneticPr fontId="1" type="noConversion"/>
  </si>
  <si>
    <t>40살 안팎의 여자 나이</t>
    <phoneticPr fontId="1" type="noConversion"/>
  </si>
  <si>
    <t>짐작이 안 되는 나이</t>
    <phoneticPr fontId="1" type="noConversion"/>
  </si>
  <si>
    <t xml:space="preserve"> 다음 중 ‘송도삼절(松都三絶)’이 아닌 것은?</t>
    <phoneticPr fontId="1" type="noConversion"/>
  </si>
  <si>
    <t>황진이</t>
    <phoneticPr fontId="1" type="noConversion"/>
  </si>
  <si>
    <t xml:space="preserve"> 영화에서 엔딩 크레딧 전후에 짧게 추가된 장면을 뜻하는 말은?</t>
    <phoneticPr fontId="1" type="noConversion"/>
  </si>
  <si>
    <t>쿠키</t>
    <phoneticPr fontId="1" type="noConversion"/>
  </si>
  <si>
    <t>젤리</t>
    <phoneticPr fontId="1" type="noConversion"/>
  </si>
  <si>
    <t xml:space="preserve"> 열대 지방에서 한낮에 강한 일사로 인한 대기의 상승 작용에 의해 내리는 소낙비는?</t>
    <phoneticPr fontId="1" type="noConversion"/>
  </si>
  <si>
    <t>맥콜</t>
    <phoneticPr fontId="1" type="noConversion"/>
  </si>
  <si>
    <t xml:space="preserve"> 동요 ‘과수원 길’의 도입부 가사로 알맞은 것은?</t>
    <phoneticPr fontId="1" type="noConversion"/>
  </si>
  <si>
    <t>동구박 과수원 길~</t>
    <phoneticPr fontId="1" type="noConversion"/>
  </si>
  <si>
    <t>동구 밖 과수원 길~</t>
    <phoneticPr fontId="1" type="noConversion"/>
  </si>
  <si>
    <t xml:space="preserve"> 1696년 영국의 윌리엄 3세는, 소유한 집의 (이것) 개수를 근거해 재산세를 부과했다. 이것은?</t>
    <phoneticPr fontId="1" type="noConversion"/>
  </si>
  <si>
    <t>화장실</t>
    <phoneticPr fontId="1" type="noConversion"/>
  </si>
  <si>
    <t xml:space="preserve"> 헤밍웨이의 소설 ‘무기여 잘 있거라’의 배경이 된 전쟁은?</t>
    <phoneticPr fontId="1" type="noConversion"/>
  </si>
  <si>
    <t>제1차 세계대전</t>
    <phoneticPr fontId="1" type="noConversion"/>
  </si>
  <si>
    <t>제2차 세계대전</t>
    <phoneticPr fontId="1" type="noConversion"/>
  </si>
  <si>
    <t xml:space="preserve"> 어두운 곳에서 인물사진을 찍을 때 눈동자가 붉게 나타나는 현상은?</t>
    <phoneticPr fontId="1" type="noConversion"/>
  </si>
  <si>
    <t>적목현상</t>
    <phoneticPr fontId="1" type="noConversion"/>
  </si>
  <si>
    <t xml:space="preserve"> 애플이 6월 4일(현지시간) WWDC에서 공개한 차기 iOS버전은?</t>
    <phoneticPr fontId="1" type="noConversion"/>
  </si>
  <si>
    <t>iOS12</t>
    <phoneticPr fontId="1" type="noConversion"/>
  </si>
  <si>
    <t>iOS13</t>
    <phoneticPr fontId="1" type="noConversion"/>
  </si>
  <si>
    <t xml:space="preserve"> 네팔에서 ‘살아 있는 여신’으로 추앙받는 소녀를 가리키는 말은?</t>
    <phoneticPr fontId="1" type="noConversion"/>
  </si>
  <si>
    <t>쿠마리</t>
    <phoneticPr fontId="1" type="noConversion"/>
  </si>
  <si>
    <t>달밧 타카리</t>
    <phoneticPr fontId="1" type="noConversion"/>
  </si>
  <si>
    <t xml:space="preserve"> 신혼 여행지로 유명한 나라 ‘몰디브’의 수도는 어디일까?</t>
    <phoneticPr fontId="1" type="noConversion"/>
  </si>
  <si>
    <t>말레</t>
    <phoneticPr fontId="1" type="noConversion"/>
  </si>
  <si>
    <t xml:space="preserve"> 위, 아래 구분이 없는 USB 포트를 칭하는 말은?</t>
    <phoneticPr fontId="1" type="noConversion"/>
  </si>
  <si>
    <t>USB Type A</t>
    <phoneticPr fontId="1" type="noConversion"/>
  </si>
  <si>
    <t>USB Type C</t>
    <phoneticPr fontId="1" type="noConversion"/>
  </si>
  <si>
    <t xml:space="preserve"> 르네상스 미술을 대표하는 3대 거장이 아닌 사람은?</t>
    <phoneticPr fontId="1" type="noConversion"/>
  </si>
  <si>
    <t>라파엘로 산치오</t>
    <phoneticPr fontId="1" type="noConversion"/>
  </si>
  <si>
    <t xml:space="preserve"> 우리나라와 워킹홀리데이 체결 국가가 아닌 것은?</t>
    <phoneticPr fontId="1" type="noConversion"/>
  </si>
  <si>
    <t>칠레</t>
    <phoneticPr fontId="1" type="noConversion"/>
  </si>
  <si>
    <t xml:space="preserve"> 컴퓨터가 작동하는데 꼭 필요한 것은?</t>
    <phoneticPr fontId="1" type="noConversion"/>
  </si>
  <si>
    <t>전기</t>
    <phoneticPr fontId="1" type="noConversion"/>
  </si>
  <si>
    <t xml:space="preserve"> 대한민국 유일한 노벨상 수상자는?</t>
    <phoneticPr fontId="1" type="noConversion"/>
  </si>
  <si>
    <t>김영삼 전 대통령</t>
    <phoneticPr fontId="1" type="noConversion"/>
  </si>
  <si>
    <t xml:space="preserve"> &lt;경세유포, 목민심서, 흠흠신서&gt; 다음은 누구의 저서인가?</t>
    <phoneticPr fontId="1" type="noConversion"/>
  </si>
  <si>
    <t>김시습</t>
    <phoneticPr fontId="1" type="noConversion"/>
  </si>
  <si>
    <t>이황</t>
    <phoneticPr fontId="1" type="noConversion"/>
  </si>
  <si>
    <t xml:space="preserve"> 다음 중 옳은 표기는? </t>
    <phoneticPr fontId="1" type="noConversion"/>
  </si>
  <si>
    <t>잔디에 물을 줄 때 ‘Spring cooler’</t>
    <phoneticPr fontId="1" type="noConversion"/>
  </si>
  <si>
    <t xml:space="preserve"> 덜 마른 장작을 의미하는 순우리말은?</t>
    <phoneticPr fontId="1" type="noConversion"/>
  </si>
  <si>
    <t>회나리</t>
    <phoneticPr fontId="1" type="noConversion"/>
  </si>
  <si>
    <t>희나리</t>
    <phoneticPr fontId="1" type="noConversion"/>
  </si>
  <si>
    <t xml:space="preserve"> 제7회 전국동시지방선거에서 선출하지 않는 직은?</t>
    <phoneticPr fontId="1" type="noConversion"/>
  </si>
  <si>
    <t>동의원</t>
    <phoneticPr fontId="1" type="noConversion"/>
  </si>
  <si>
    <t>구의원</t>
    <phoneticPr fontId="1" type="noConversion"/>
  </si>
  <si>
    <t xml:space="preserve"> 지력, 심력, 체력, 자기관리, 인간관계 능력을 두루 갖춘 사람을 가리키는 말은?</t>
    <phoneticPr fontId="1" type="noConversion"/>
  </si>
  <si>
    <t>레인보우 칼라</t>
    <phoneticPr fontId="1" type="noConversion"/>
  </si>
  <si>
    <t>다이아몬드 칼라</t>
    <phoneticPr fontId="1" type="noConversion"/>
  </si>
  <si>
    <t xml:space="preserve"> 만화 &lt;닌자거북이&gt;에서 주인공 거북이의 이름이 아닌 것은?</t>
    <phoneticPr fontId="1" type="noConversion"/>
  </si>
  <si>
    <t>레오나르도</t>
    <phoneticPr fontId="1" type="noConversion"/>
  </si>
  <si>
    <t>도나텔로</t>
    <phoneticPr fontId="1" type="noConversion"/>
  </si>
  <si>
    <t xml:space="preserve"> 타인의 기대나 관심으로 인해 능률이 오르거나 결과가 좋아지는 현상은?</t>
    <phoneticPr fontId="1" type="noConversion"/>
  </si>
  <si>
    <t>피그말리온 효과</t>
    <phoneticPr fontId="1" type="noConversion"/>
  </si>
  <si>
    <t>파파게노 효과</t>
    <phoneticPr fontId="1" type="noConversion"/>
  </si>
  <si>
    <t xml:space="preserve"> 다음 중 지명(地名)에서 유래한 커피 이름은?</t>
    <phoneticPr fontId="1" type="noConversion"/>
  </si>
  <si>
    <t>헤이즐넛커피</t>
    <phoneticPr fontId="1" type="noConversion"/>
  </si>
  <si>
    <t>모카커피</t>
    <phoneticPr fontId="1" type="noConversion"/>
  </si>
  <si>
    <t>룽고커피</t>
    <phoneticPr fontId="1" type="noConversion"/>
  </si>
  <si>
    <t xml:space="preserve"> 일정 연령이 된 근로자의 임금을 삭감하는 대신 근로자의 고용을 보장하는 제도는?</t>
    <phoneticPr fontId="1" type="noConversion"/>
  </si>
  <si>
    <t>오픈 프라이머리</t>
    <phoneticPr fontId="1" type="noConversion"/>
  </si>
  <si>
    <t>연공서열제도</t>
    <phoneticPr fontId="1" type="noConversion"/>
  </si>
  <si>
    <t xml:space="preserve"> 북한에서 1990년대 이후에 태어난 세대를 의미하는 말은?</t>
    <phoneticPr fontId="1" type="noConversion"/>
  </si>
  <si>
    <t>장마당 세대</t>
    <phoneticPr fontId="1" type="noConversion"/>
  </si>
  <si>
    <t>항일 빨치산 세대</t>
    <phoneticPr fontId="1" type="noConversion"/>
  </si>
  <si>
    <t>천리마 세대</t>
    <phoneticPr fontId="1" type="noConversion"/>
  </si>
  <si>
    <t xml:space="preserve"> &lt;페르시안, 러시안블루, 샴&gt; 다음에서 연상되는 것은?</t>
    <phoneticPr fontId="1" type="noConversion"/>
  </si>
  <si>
    <t>칵테일</t>
    <phoneticPr fontId="1" type="noConversion"/>
  </si>
  <si>
    <t xml:space="preserve"> 버선 앞쪽 끝에 뾰족하게 올라온 부분을 가리키는 말은?</t>
    <phoneticPr fontId="1" type="noConversion"/>
  </si>
  <si>
    <t>코</t>
    <phoneticPr fontId="1" type="noConversion"/>
  </si>
  <si>
    <t>입</t>
    <phoneticPr fontId="1" type="noConversion"/>
  </si>
  <si>
    <t xml:space="preserve"> 독도는 울릉도의 어느 방향에 위치할까?</t>
    <phoneticPr fontId="1" type="noConversion"/>
  </si>
  <si>
    <t>남쪽</t>
    <phoneticPr fontId="1" type="noConversion"/>
  </si>
  <si>
    <t xml:space="preserve"> 볼링 게임에서 볼링 핀의 개수는?</t>
    <phoneticPr fontId="1" type="noConversion"/>
  </si>
  <si>
    <t xml:space="preserve"> 북미정상회담이 열리는 싱가포르와 대한민국의 시차는 몇시간일까?</t>
    <phoneticPr fontId="1" type="noConversion"/>
  </si>
  <si>
    <t>1시간</t>
    <phoneticPr fontId="1" type="noConversion"/>
  </si>
  <si>
    <t xml:space="preserve"> &lt;아바나, 시가, 부에나 비스타 소셜 클럽&gt; 다음에서 연상되는 나라는?</t>
    <phoneticPr fontId="1" type="noConversion"/>
  </si>
  <si>
    <t>쿠바</t>
    <phoneticPr fontId="1" type="noConversion"/>
  </si>
  <si>
    <t xml:space="preserve"> 탄생 20주년 기념, 처음으로 내한하는 브로드웨이 뮤지컬은?</t>
    <phoneticPr fontId="1" type="noConversion"/>
  </si>
  <si>
    <t>라이언 킹</t>
    <phoneticPr fontId="1" type="noConversion"/>
  </si>
  <si>
    <t>캣츠</t>
    <phoneticPr fontId="1" type="noConversion"/>
  </si>
  <si>
    <t>브로드웨이 42번가</t>
    <phoneticPr fontId="1" type="noConversion"/>
  </si>
  <si>
    <t>뛰어다닌다</t>
    <phoneticPr fontId="1" type="noConversion"/>
  </si>
  <si>
    <t>주머니가 있다</t>
    <phoneticPr fontId="1" type="noConversion"/>
  </si>
  <si>
    <t>청과물</t>
    <phoneticPr fontId="1" type="noConversion"/>
  </si>
  <si>
    <t>청바지</t>
    <phoneticPr fontId="1" type="noConversion"/>
  </si>
  <si>
    <t>청량음료</t>
    <phoneticPr fontId="1" type="noConversion"/>
  </si>
  <si>
    <t>부창부수</t>
    <phoneticPr fontId="1" type="noConversion"/>
  </si>
  <si>
    <t>애인하사</t>
    <phoneticPr fontId="1" type="noConversion"/>
  </si>
  <si>
    <t>금슬지락</t>
    <phoneticPr fontId="1" type="noConversion"/>
  </si>
  <si>
    <t>무덤</t>
    <phoneticPr fontId="1" type="noConversion"/>
  </si>
  <si>
    <t xml:space="preserve"> 다음 중 크기가 가장 작은 공은?</t>
    <phoneticPr fontId="1" type="noConversion"/>
  </si>
  <si>
    <t>테니스공</t>
    <phoneticPr fontId="1" type="noConversion"/>
  </si>
  <si>
    <t>탁구공</t>
    <phoneticPr fontId="1" type="noConversion"/>
  </si>
  <si>
    <t xml:space="preserve"> 올림픽 경기 중 남녀구분 없이 겨루는 경기는?</t>
    <phoneticPr fontId="1" type="noConversion"/>
  </si>
  <si>
    <t>승마</t>
    <phoneticPr fontId="1" type="noConversion"/>
  </si>
  <si>
    <t>복싱</t>
    <phoneticPr fontId="1" type="noConversion"/>
  </si>
  <si>
    <t>역도</t>
    <phoneticPr fontId="1" type="noConversion"/>
  </si>
  <si>
    <t>그린 골프공</t>
    <phoneticPr fontId="1" type="noConversion"/>
  </si>
  <si>
    <t xml:space="preserve"> 2018년 현재 우리나라 프로야구 구단의 숫자는?</t>
    <phoneticPr fontId="1" type="noConversion"/>
  </si>
  <si>
    <t>8개</t>
    <phoneticPr fontId="1" type="noConversion"/>
  </si>
  <si>
    <t xml:space="preserve"> 2018년 러시아 월드컵의 마스코트는 어떤 동물일까?</t>
    <phoneticPr fontId="1" type="noConversion"/>
  </si>
  <si>
    <t>표범</t>
    <phoneticPr fontId="1" type="noConversion"/>
  </si>
  <si>
    <t>강아지</t>
    <phoneticPr fontId="1" type="noConversion"/>
  </si>
  <si>
    <t xml:space="preserve"> 2020년 도쿄 올림픽에 새롭게 채택된 정식 종목이 아닌 것은?</t>
    <phoneticPr fontId="1" type="noConversion"/>
  </si>
  <si>
    <t>스케이트보드</t>
    <phoneticPr fontId="1" type="noConversion"/>
  </si>
  <si>
    <t>50m 권총</t>
    <phoneticPr fontId="1" type="noConversion"/>
  </si>
  <si>
    <t xml:space="preserve"> 6월 3일 한화-롯데전에 나왔던 1-6-2 더블플레이에서 6이 뜻하는 것은?</t>
    <phoneticPr fontId="1" type="noConversion"/>
  </si>
  <si>
    <t>3루수</t>
    <phoneticPr fontId="1" type="noConversion"/>
  </si>
  <si>
    <t>2루수</t>
    <phoneticPr fontId="1" type="noConversion"/>
  </si>
  <si>
    <t xml:space="preserve"> 올림픽 허들 경기에서 한 선수가 넘는 허들의 개수는?</t>
    <phoneticPr fontId="1" type="noConversion"/>
  </si>
  <si>
    <t>11개</t>
    <phoneticPr fontId="1" type="noConversion"/>
  </si>
  <si>
    <t xml:space="preserve"> 2018년 러시아 월드컵 대한민국 국가대표의 등번호가 잘못 짝지어진 것은?</t>
    <phoneticPr fontId="1" type="noConversion"/>
  </si>
  <si>
    <t>이승우 -10번</t>
    <phoneticPr fontId="1" type="noConversion"/>
  </si>
  <si>
    <t>기성용 -17번</t>
    <phoneticPr fontId="1" type="noConversion"/>
  </si>
  <si>
    <t xml:space="preserve"> 2018 러시아 월드컵 예선 조와 나라가 잘못 연결된 것은?</t>
    <phoneticPr fontId="1" type="noConversion"/>
  </si>
  <si>
    <t>D조 -코스타리카</t>
    <phoneticPr fontId="1" type="noConversion"/>
  </si>
  <si>
    <t>F조 -스웨덴</t>
    <phoneticPr fontId="1" type="noConversion"/>
  </si>
  <si>
    <t xml:space="preserve"> 물을 구성하는 원소가 아닌 것은?</t>
    <phoneticPr fontId="1" type="noConversion"/>
  </si>
  <si>
    <t>산소</t>
    <phoneticPr fontId="1" type="noConversion"/>
  </si>
  <si>
    <t>염소</t>
    <phoneticPr fontId="1" type="noConversion"/>
  </si>
  <si>
    <t xml:space="preserve"> ‘iPod’과 ‘방송’의 합성어로 인터넷망을 통해 다양한 콘테츠를 구독하는 서비스는?</t>
    <phoneticPr fontId="1" type="noConversion"/>
  </si>
  <si>
    <t>팟티</t>
    <phoneticPr fontId="1" type="noConversion"/>
  </si>
  <si>
    <t xml:space="preserve"> 태극기의 건곤감리에 포함되지 않는 것은</t>
    <phoneticPr fontId="1" type="noConversion"/>
  </si>
  <si>
    <t>하늘</t>
    <phoneticPr fontId="1" type="noConversion"/>
  </si>
  <si>
    <t>물</t>
    <phoneticPr fontId="1" type="noConversion"/>
  </si>
  <si>
    <t xml:space="preserve"> 다음 중 날지 못하는 새는?</t>
    <phoneticPr fontId="1" type="noConversion"/>
  </si>
  <si>
    <t>비둘기</t>
    <phoneticPr fontId="1" type="noConversion"/>
  </si>
  <si>
    <t xml:space="preserve"> 다음 중 바다와 접해있지 않은 지역은?</t>
    <phoneticPr fontId="1" type="noConversion"/>
  </si>
  <si>
    <t>충청북도</t>
    <phoneticPr fontId="1" type="noConversion"/>
  </si>
  <si>
    <t>강원도</t>
    <phoneticPr fontId="1" type="noConversion"/>
  </si>
  <si>
    <t xml:space="preserve"> 선인장의 가시는 무엇이 변한 것일까?</t>
    <phoneticPr fontId="1" type="noConversion"/>
  </si>
  <si>
    <t>줄기</t>
    <phoneticPr fontId="1" type="noConversion"/>
  </si>
  <si>
    <t xml:space="preserve"> 비행기의 비행거리를 나타내는데 쓰이는 단위는?</t>
    <phoneticPr fontId="1" type="noConversion"/>
  </si>
  <si>
    <t>오아시스</t>
    <phoneticPr fontId="1" type="noConversion"/>
  </si>
  <si>
    <t>군신유의</t>
    <phoneticPr fontId="1" type="noConversion"/>
  </si>
  <si>
    <t>붕유유신</t>
    <phoneticPr fontId="1" type="noConversion"/>
  </si>
  <si>
    <t xml:space="preserve"> 추사 김정희가 추사체를 완성하고 &lt;세한도&gt;를 그린 귀양지는?</t>
    <phoneticPr fontId="1" type="noConversion"/>
  </si>
  <si>
    <t>강진</t>
    <phoneticPr fontId="1" type="noConversion"/>
  </si>
  <si>
    <t>제주</t>
    <phoneticPr fontId="1" type="noConversion"/>
  </si>
  <si>
    <t xml:space="preserve"> 물건값을 제하고 거슬러 받는 잔돈이라는 뜻의 순우리말은? </t>
    <phoneticPr fontId="1" type="noConversion"/>
  </si>
  <si>
    <t>시겟돈</t>
    <phoneticPr fontId="1" type="noConversion"/>
  </si>
  <si>
    <t>되수리</t>
    <phoneticPr fontId="1" type="noConversion"/>
  </si>
  <si>
    <t>열정적 경쟁</t>
    <phoneticPr fontId="1" type="noConversion"/>
  </si>
  <si>
    <t>행복한 삶</t>
    <phoneticPr fontId="1" type="noConversion"/>
  </si>
  <si>
    <t>유쾌한 잔치</t>
    <phoneticPr fontId="1" type="noConversion"/>
  </si>
  <si>
    <t xml:space="preserve"> 십이지신에 속하지 않는 동물은?</t>
    <phoneticPr fontId="1" type="noConversion"/>
  </si>
  <si>
    <t>토끼</t>
    <phoneticPr fontId="1" type="noConversion"/>
  </si>
  <si>
    <t>뱀</t>
    <phoneticPr fontId="1" type="noConversion"/>
  </si>
  <si>
    <t>&lt;아기공룡 둘리&gt;에 나오는 또치는 어떤 동물인가?</t>
    <phoneticPr fontId="1" type="noConversion"/>
  </si>
  <si>
    <t>타조</t>
    <phoneticPr fontId="1" type="noConversion"/>
  </si>
  <si>
    <t xml:space="preserve"> 소비자가 온라인, 오프라인 등 다양한 경로로 상품을 구매할 수 있도록 한 서비스는?</t>
    <phoneticPr fontId="1" type="noConversion"/>
  </si>
  <si>
    <t>언니채널</t>
    <phoneticPr fontId="1" type="noConversion"/>
  </si>
  <si>
    <t>엄니채널</t>
    <phoneticPr fontId="1" type="noConversion"/>
  </si>
  <si>
    <t xml:space="preserve"> 비디오와 블로그의 합성어로 일상 동영상으로 촬영한 영상 콘텐츠는?</t>
    <phoneticPr fontId="1" type="noConversion"/>
  </si>
  <si>
    <t>빌로그</t>
    <phoneticPr fontId="1" type="noConversion"/>
  </si>
  <si>
    <t xml:space="preserve"> &lt;가새, 가시개, 가왜&gt;는 어떤 단어의 방언일까?</t>
    <phoneticPr fontId="1" type="noConversion"/>
  </si>
  <si>
    <t>집</t>
    <phoneticPr fontId="1" type="noConversion"/>
  </si>
  <si>
    <t>가시</t>
    <phoneticPr fontId="1" type="noConversion"/>
  </si>
  <si>
    <t xml:space="preserve"> 인류가 보낸 우주선 중 세계 최초로 화성에 착륙한 우주선은?</t>
    <phoneticPr fontId="1" type="noConversion"/>
  </si>
  <si>
    <t xml:space="preserve"> 농구 골대에서 그물이 달려있는 둥근 쇠 부분을 부르는 영어 단어는?</t>
    <phoneticPr fontId="1" type="noConversion"/>
  </si>
  <si>
    <t>RIM</t>
    <phoneticPr fontId="1" type="noConversion"/>
  </si>
  <si>
    <t xml:space="preserve"> 다음 중 국토 면적이 가장 작은 나라는?</t>
    <phoneticPr fontId="1" type="noConversion"/>
  </si>
  <si>
    <t>호주</t>
    <phoneticPr fontId="1" type="noConversion"/>
  </si>
  <si>
    <t xml:space="preserve"> 다음 중 가장 가벼운 것은?</t>
    <phoneticPr fontId="1" type="noConversion"/>
  </si>
  <si>
    <t xml:space="preserve"> 불교에서 금지하는 다섯 개의 채소인 ‘오신채’에 속하지 않는 것은?</t>
    <phoneticPr fontId="1" type="noConversion"/>
  </si>
  <si>
    <t>달래</t>
    <phoneticPr fontId="1" type="noConversion"/>
  </si>
  <si>
    <t>부추</t>
    <phoneticPr fontId="1" type="noConversion"/>
  </si>
  <si>
    <t xml:space="preserve"> 다음 중 부산에서 가장 긴 다리는?</t>
    <phoneticPr fontId="1" type="noConversion"/>
  </si>
  <si>
    <t>광안대교</t>
    <phoneticPr fontId="1" type="noConversion"/>
  </si>
  <si>
    <t>동서고가교</t>
    <phoneticPr fontId="1" type="noConversion"/>
  </si>
  <si>
    <t xml:space="preserve"> 작가의 필명과 본명이 바르게 짝지어진 것은?</t>
    <phoneticPr fontId="1" type="noConversion"/>
  </si>
  <si>
    <t>김소월 – 김중석</t>
    <phoneticPr fontId="1" type="noConversion"/>
  </si>
  <si>
    <t>이상 – 김해경</t>
    <phoneticPr fontId="1" type="noConversion"/>
  </si>
  <si>
    <t xml:space="preserve"> 배가 물에 뜨는 원리와 관계있는 것은?</t>
    <phoneticPr fontId="1" type="noConversion"/>
  </si>
  <si>
    <t xml:space="preserve"> ‘사람의 본성은 근본적으로 악(惡)하다’는 성악설을 주장한 사람은?</t>
    <phoneticPr fontId="1" type="noConversion"/>
  </si>
  <si>
    <t xml:space="preserve"> ‘구걸을 통해 여행경비를 버는 사람’을 뜻하는 말?</t>
    <phoneticPr fontId="1" type="noConversion"/>
  </si>
  <si>
    <t>베이스캠프</t>
    <phoneticPr fontId="1" type="noConversion"/>
  </si>
  <si>
    <t>베그패커</t>
    <phoneticPr fontId="1" type="noConversion"/>
  </si>
  <si>
    <t>배틀그라운드</t>
    <phoneticPr fontId="1" type="noConversion"/>
  </si>
  <si>
    <t xml:space="preserve"> 현실 배경에 3차원 가상이미지를 겹쳐서 하나의 영상으로 보여주는 기술은?</t>
    <phoneticPr fontId="1" type="noConversion"/>
  </si>
  <si>
    <t>AR</t>
    <phoneticPr fontId="1" type="noConversion"/>
  </si>
  <si>
    <t>CR</t>
    <phoneticPr fontId="1" type="noConversion"/>
  </si>
  <si>
    <t xml:space="preserve"> ‘운동경기에서 심판이 경기종료를 선언하는 게임’의 바른 표기는?</t>
    <phoneticPr fontId="1" type="noConversion"/>
  </si>
  <si>
    <t>Called game</t>
    <phoneticPr fontId="1" type="noConversion"/>
  </si>
  <si>
    <t>Cold play</t>
    <phoneticPr fontId="1" type="noConversion"/>
  </si>
  <si>
    <t xml:space="preserve"> &lt;서당, 씨름도, 활쏘기, 무동&gt; 연상되는 사람은?</t>
    <phoneticPr fontId="1" type="noConversion"/>
  </si>
  <si>
    <t>신윤복</t>
    <phoneticPr fontId="1" type="noConversion"/>
  </si>
  <si>
    <t>김홍도</t>
    <phoneticPr fontId="1" type="noConversion"/>
  </si>
  <si>
    <t>강호동</t>
    <phoneticPr fontId="1" type="noConversion"/>
  </si>
  <si>
    <t xml:space="preserve"> 알파벳 ‘C’로 시작하지 않는 외래어는?</t>
    <phoneticPr fontId="1" type="noConversion"/>
  </si>
  <si>
    <t xml:space="preserve"> 축구경기 중 경고·퇴장 등의 숫자를 점수화하는 것으로 일본 ‘러시아월드컵’ 16강행을 결정지은 것은?</t>
    <phoneticPr fontId="1" type="noConversion"/>
  </si>
  <si>
    <t>페어플레이 점수</t>
    <phoneticPr fontId="1" type="noConversion"/>
  </si>
  <si>
    <t>동전 던지기</t>
    <phoneticPr fontId="1" type="noConversion"/>
  </si>
  <si>
    <t xml:space="preserve"> 본인의 취향, 신념 등을 소비를 통해 적극적으로 표출하는 트렌드는?</t>
    <phoneticPr fontId="1" type="noConversion"/>
  </si>
  <si>
    <t>플레이슈머</t>
    <phoneticPr fontId="1" type="noConversion"/>
  </si>
  <si>
    <t xml:space="preserve"> 북극해 자원을 확보하기 위해 세계 각국이 벌이는 치열한 경쟁은?</t>
    <phoneticPr fontId="1" type="noConversion"/>
  </si>
  <si>
    <t>노스 러시</t>
    <phoneticPr fontId="1" type="noConversion"/>
  </si>
  <si>
    <t xml:space="preserve"> 고대의 세계 7대 불가사의가 아닌 것은?</t>
    <phoneticPr fontId="1" type="noConversion"/>
  </si>
  <si>
    <t xml:space="preserve"> ‘정부의 섣부른 시장개입이 악영향을 줄 수 있다’는 것을 빗댄 말은?</t>
    <phoneticPr fontId="1" type="noConversion"/>
  </si>
  <si>
    <t>목욕탕의 때</t>
    <phoneticPr fontId="1" type="noConversion"/>
  </si>
  <si>
    <t>샤워실의 바보</t>
    <phoneticPr fontId="1" type="noConversion"/>
  </si>
  <si>
    <t xml:space="preserve"> 다음 중 하늘을 날 수 없는 새는?</t>
    <phoneticPr fontId="1" type="noConversion"/>
  </si>
  <si>
    <t>참새</t>
    <phoneticPr fontId="1" type="noConversion"/>
  </si>
  <si>
    <t>황새</t>
    <phoneticPr fontId="1" type="noConversion"/>
  </si>
  <si>
    <t xml:space="preserve"> ‘은하수’를 뜻하는 순우리말은?</t>
    <phoneticPr fontId="1" type="noConversion"/>
  </si>
  <si>
    <t>미리내</t>
    <phoneticPr fontId="1" type="noConversion"/>
  </si>
  <si>
    <t xml:space="preserve"> 블랙홀의 반대개념으로 천체물리학에서 이론상으로만 존재하는 개념은?</t>
    <phoneticPr fontId="1" type="noConversion"/>
  </si>
  <si>
    <t>레드벨벳</t>
    <phoneticPr fontId="1" type="noConversion"/>
  </si>
  <si>
    <t xml:space="preserve"> 농구에서 수비수를 속이기 위해 자기편이 아닌 다른 쪽을 보면서 패스하는 것은?</t>
    <phoneticPr fontId="1" type="noConversion"/>
  </si>
  <si>
    <t>하이패스</t>
    <phoneticPr fontId="1" type="noConversion"/>
  </si>
  <si>
    <t>보딩패스</t>
    <phoneticPr fontId="1" type="noConversion"/>
  </si>
  <si>
    <t xml:space="preserve"> 불국사에 없는 건축물은?</t>
    <phoneticPr fontId="1" type="noConversion"/>
  </si>
  <si>
    <t>대웅전</t>
    <phoneticPr fontId="1" type="noConversion"/>
  </si>
  <si>
    <t>석가탑</t>
    <phoneticPr fontId="1" type="noConversion"/>
  </si>
  <si>
    <t xml:space="preserve"> 세계 주요 지진대와 화산대 활동이 겹치는 환태평양 조산대를 칭하는 말은?</t>
    <phoneticPr fontId="1" type="noConversion"/>
  </si>
  <si>
    <t>빛의 고리</t>
    <phoneticPr fontId="1" type="noConversion"/>
  </si>
  <si>
    <t xml:space="preserve"> 단어나 문장을 구성하고 있는 문자의 순서를 바꾸어 다른 단어나 문장을 만드는 놀이는?</t>
    <phoneticPr fontId="1" type="noConversion"/>
  </si>
  <si>
    <t>끝말잇기</t>
    <phoneticPr fontId="1" type="noConversion"/>
  </si>
  <si>
    <t>십자말풀이</t>
    <phoneticPr fontId="1" type="noConversion"/>
  </si>
  <si>
    <t xml:space="preserve"> 다음 중 ‘천왕봉’이 있는 산은?</t>
    <phoneticPr fontId="1" type="noConversion"/>
  </si>
  <si>
    <t>설악산</t>
    <phoneticPr fontId="1" type="noConversion"/>
  </si>
  <si>
    <t>한라산</t>
    <phoneticPr fontId="1" type="noConversion"/>
  </si>
  <si>
    <t xml:space="preserve"> ‘슈뢰딩거의 고양이’는 슈뢰딩거가 □의 불완전함을 증명하려고 고안한 사고실험이다.</t>
    <phoneticPr fontId="1" type="noConversion"/>
  </si>
  <si>
    <t>고전역학</t>
    <phoneticPr fontId="1" type="noConversion"/>
  </si>
  <si>
    <t>열역학</t>
    <phoneticPr fontId="1" type="noConversion"/>
  </si>
  <si>
    <t xml:space="preserve"> 다음 중 달에 착륙하지 못한 우주선은?</t>
    <phoneticPr fontId="1" type="noConversion"/>
  </si>
  <si>
    <t>아폴로13</t>
    <phoneticPr fontId="1" type="noConversion"/>
  </si>
  <si>
    <t xml:space="preserve"> ‘에이즈 환자들의 인권을 보호하자’는 내용의 캠페인은?</t>
    <phoneticPr fontId="1" type="noConversion"/>
  </si>
  <si>
    <t>퍼플리본</t>
    <phoneticPr fontId="1" type="noConversion"/>
  </si>
  <si>
    <t>핑크리본</t>
    <phoneticPr fontId="1" type="noConversion"/>
  </si>
  <si>
    <t xml:space="preserve"> 자살에 대한 언론보도 자제를 통해 모방자살을 예방하는 것은?</t>
    <phoneticPr fontId="1" type="noConversion"/>
  </si>
  <si>
    <t>트라우마</t>
    <phoneticPr fontId="1" type="noConversion"/>
  </si>
  <si>
    <t xml:space="preserve"> ♪“비내리는 호남선~”으로 시작하는 김희수의 대표곡 “□열차”에서 □는?</t>
    <phoneticPr fontId="1" type="noConversion"/>
  </si>
  <si>
    <t>입영</t>
    <phoneticPr fontId="1" type="noConversion"/>
  </si>
  <si>
    <t xml:space="preserve"> 다음 중 경기도에 속하지 않는 도시는?</t>
    <phoneticPr fontId="1" type="noConversion"/>
  </si>
  <si>
    <t xml:space="preserve"> 두 개 이상의 서로 다른 비행체가 우주 공간에서 결합하는 것은?</t>
    <phoneticPr fontId="1" type="noConversion"/>
  </si>
  <si>
    <t>뱅킹</t>
    <phoneticPr fontId="1" type="noConversion"/>
  </si>
  <si>
    <t xml:space="preserve"> 다음 중 ‘아이폰x’의 기능으로, 얼굴인식 센서를 이용해 움직이는 이모티콘은?</t>
    <phoneticPr fontId="1" type="noConversion"/>
  </si>
  <si>
    <t>부라보콘</t>
    <phoneticPr fontId="1" type="noConversion"/>
  </si>
  <si>
    <t>동물티콘</t>
    <phoneticPr fontId="1" type="noConversion"/>
  </si>
  <si>
    <t>애니모티콘</t>
    <phoneticPr fontId="1" type="noConversion"/>
  </si>
  <si>
    <t xml:space="preserve"> 애니메이션 ‘인사이드아웃’에 등장하지 않는 감정캐릭터는?(우리나라ver.)</t>
    <phoneticPr fontId="1" type="noConversion"/>
  </si>
  <si>
    <t xml:space="preserve"> 다음 중 원주율(∏)의 값은?</t>
    <phoneticPr fontId="1" type="noConversion"/>
  </si>
  <si>
    <t>3.141265...</t>
    <phoneticPr fontId="1" type="noConversion"/>
  </si>
  <si>
    <t>3.141829...</t>
    <phoneticPr fontId="1" type="noConversion"/>
  </si>
  <si>
    <t>3.141592...</t>
    <phoneticPr fontId="1" type="noConversion"/>
  </si>
  <si>
    <t xml:space="preserve"> 구조신호 ‘메이데이(mayday)’는 어느 나라 말에서 유래했을까?</t>
    <phoneticPr fontId="1" type="noConversion"/>
  </si>
  <si>
    <t>프랑스어</t>
    <phoneticPr fontId="1" type="noConversion"/>
  </si>
  <si>
    <t>독일어</t>
    <phoneticPr fontId="1" type="noConversion"/>
  </si>
  <si>
    <t xml:space="preserve"> 옷, 시계, 안경처럼 몸에 착용하고 다닐 수 있는, 작고 가벼운 컴퓨터는?</t>
    <phoneticPr fontId="1" type="noConversion"/>
  </si>
  <si>
    <t xml:space="preserve"> 우리나라 장마 전선 형성에 영향을 끼치지 않는 기단은?</t>
    <phoneticPr fontId="1" type="noConversion"/>
  </si>
  <si>
    <t>오호츠크해 기단</t>
    <phoneticPr fontId="1" type="noConversion"/>
  </si>
  <si>
    <t xml:space="preserve"> 일식이 일어났을 때 태양, 지구, 달의 순서는?</t>
    <phoneticPr fontId="1" type="noConversion"/>
  </si>
  <si>
    <t>태양-달-지구</t>
    <phoneticPr fontId="1" type="noConversion"/>
  </si>
  <si>
    <t xml:space="preserve"> ‘인간은 패배하도록 만들어지지 않았다’라는 명대사를 남긴 소설은?</t>
    <phoneticPr fontId="1" type="noConversion"/>
  </si>
  <si>
    <t>데미안</t>
    <phoneticPr fontId="1" type="noConversion"/>
  </si>
  <si>
    <t xml:space="preserve"> 서비스와 상품 등을 고객과 대면하지 않고 판매하는 마케팅 방식은?</t>
    <phoneticPr fontId="1" type="noConversion"/>
  </si>
  <si>
    <t>언택트 마케팅</t>
    <phoneticPr fontId="1" type="noConversion"/>
  </si>
  <si>
    <t xml:space="preserve"> 단군왕검이 세운 나라의 이름은?</t>
    <phoneticPr fontId="1" type="noConversion"/>
  </si>
  <si>
    <t>고구려</t>
    <phoneticPr fontId="1" type="noConversion"/>
  </si>
  <si>
    <t>와칸다</t>
    <phoneticPr fontId="1" type="noConversion"/>
  </si>
  <si>
    <t xml:space="preserve"> ‘삼권분립’의 삼권에 해당하지 않는 것은?</t>
    <phoneticPr fontId="1" type="noConversion"/>
  </si>
  <si>
    <t>입법부</t>
    <phoneticPr fontId="1" type="noConversion"/>
  </si>
  <si>
    <t>행정부</t>
    <phoneticPr fontId="1" type="noConversion"/>
  </si>
  <si>
    <t xml:space="preserve"> IQ가 지능지수라면, 감성지수는?</t>
    <phoneticPr fontId="1" type="noConversion"/>
  </si>
  <si>
    <t>PAYQ</t>
    <phoneticPr fontId="1" type="noConversion"/>
  </si>
  <si>
    <t xml:space="preserve"> 부당함에 대항하기 위해 정치·사회 등의 분야에서 집단적으로 벌이는 거부운동이란 뜻의 단어는?</t>
    <phoneticPr fontId="1" type="noConversion"/>
  </si>
  <si>
    <t>엠바고</t>
    <phoneticPr fontId="1" type="noConversion"/>
  </si>
  <si>
    <t xml:space="preserve"> 자동차 주차를 위해 후진할 때, 기어레버는 어디다 둬야 할까?</t>
    <phoneticPr fontId="1" type="noConversion"/>
  </si>
  <si>
    <t>D</t>
    <phoneticPr fontId="1" type="noConversion"/>
  </si>
  <si>
    <t>P</t>
    <phoneticPr fontId="1" type="noConversion"/>
  </si>
  <si>
    <t>오셀로</t>
    <phoneticPr fontId="1" type="noConversion"/>
  </si>
  <si>
    <t xml:space="preserve"> 그룹사의 지분을 가지고 그룹을 관리하고 경영하기 위해 만들어진 지주회사를 뜻하는 말은?</t>
    <phoneticPr fontId="1" type="noConversion"/>
  </si>
  <si>
    <t>스톡</t>
    <phoneticPr fontId="1" type="noConversion"/>
  </si>
  <si>
    <t>홀딩스</t>
    <phoneticPr fontId="1" type="noConversion"/>
  </si>
  <si>
    <t xml:space="preserve"> 클레오파트라가 로마 황제 안토니우스를 유혹하기 위해 술에 넣어 마신 보석은?</t>
    <phoneticPr fontId="1" type="noConversion"/>
  </si>
  <si>
    <t>진주</t>
    <phoneticPr fontId="1" type="noConversion"/>
  </si>
  <si>
    <t>루비</t>
    <phoneticPr fontId="1" type="noConversion"/>
  </si>
  <si>
    <t>에메랄드</t>
    <phoneticPr fontId="1" type="noConversion"/>
  </si>
  <si>
    <t xml:space="preserve"> 멕시코 국기에 있는 동물이 아닌 것은?</t>
    <phoneticPr fontId="1" type="noConversion"/>
  </si>
  <si>
    <t>사자</t>
    <phoneticPr fontId="1" type="noConversion"/>
  </si>
  <si>
    <t xml:space="preserve"> 다음 중 멕시코와 국경이 접한 나라는?</t>
    <phoneticPr fontId="1" type="noConversion"/>
  </si>
  <si>
    <t>온두라스</t>
    <phoneticPr fontId="1" type="noConversion"/>
  </si>
  <si>
    <t xml:space="preserve"> 지구 중심의 내핵을 발견한 인물은?</t>
    <phoneticPr fontId="1" type="noConversion"/>
  </si>
  <si>
    <t>레만</t>
    <phoneticPr fontId="1" type="noConversion"/>
  </si>
  <si>
    <t xml:space="preserve"> 아라비아 숫자 1에서 100사이에 ‘9’는 모두 몇 개 일까?</t>
    <phoneticPr fontId="1" type="noConversion"/>
  </si>
  <si>
    <t>21번</t>
    <phoneticPr fontId="1" type="noConversion"/>
  </si>
  <si>
    <t xml:space="preserve"> ‘뽀통령’ 뽀로로는 어떤 동물인가?</t>
    <phoneticPr fontId="1" type="noConversion"/>
  </si>
  <si>
    <t>팽귄</t>
    <phoneticPr fontId="1" type="noConversion"/>
  </si>
  <si>
    <t>오리</t>
    <phoneticPr fontId="1" type="noConversion"/>
  </si>
  <si>
    <t xml:space="preserve"> 제주도의 별명 ‘삼다도(三多島)’에 포함되지 않는 것은?</t>
    <phoneticPr fontId="1" type="noConversion"/>
  </si>
  <si>
    <t xml:space="preserve"> 잘 나가는 제품을 모방해 만든 상품을 비하하는 용어는?</t>
    <phoneticPr fontId="1" type="noConversion"/>
  </si>
  <si>
    <t>카피켓</t>
    <phoneticPr fontId="1" type="noConversion"/>
  </si>
  <si>
    <t xml:space="preserve"> ‘창포물에 머리감는 날’이라는 민속 명절은?</t>
    <phoneticPr fontId="1" type="noConversion"/>
  </si>
  <si>
    <t>정월대보름</t>
    <phoneticPr fontId="1" type="noConversion"/>
  </si>
  <si>
    <t>단오</t>
    <phoneticPr fontId="1" type="noConversion"/>
  </si>
  <si>
    <t>동지</t>
    <phoneticPr fontId="1" type="noConversion"/>
  </si>
  <si>
    <t xml:space="preserve"> 커피의 새두와 원두의 맛, 특성 등을 감별하는 직업은?</t>
    <phoneticPr fontId="1" type="noConversion"/>
  </si>
  <si>
    <t>그라인더</t>
    <phoneticPr fontId="1" type="noConversion"/>
  </si>
  <si>
    <t>큐그레이더</t>
    <phoneticPr fontId="1" type="noConversion"/>
  </si>
  <si>
    <t>인스타그래머</t>
    <phoneticPr fontId="1" type="noConversion"/>
  </si>
  <si>
    <t xml:space="preserve"> ‘실력이 □ 좋아지고 있구나.’에서 빈칸에 알맞은 것은?</t>
    <phoneticPr fontId="1" type="noConversion"/>
  </si>
  <si>
    <t>나날히</t>
    <phoneticPr fontId="1" type="noConversion"/>
  </si>
  <si>
    <t xml:space="preserve"> 베네치아(benezia)를 칭하는 단어가 아닌 것은?</t>
    <phoneticPr fontId="1" type="noConversion"/>
  </si>
  <si>
    <t>베네디히(Venedig)</t>
    <phoneticPr fontId="1" type="noConversion"/>
  </si>
  <si>
    <t xml:space="preserve"> 다음 중 본명이 아닌 스포츠 스타는?</t>
    <phoneticPr fontId="1" type="noConversion"/>
  </si>
  <si>
    <t>펠레</t>
    <phoneticPr fontId="1" type="noConversion"/>
  </si>
  <si>
    <t xml:space="preserve"> 커피가 19세기 한국에 들어왔을 때 불렸던 이름은?</t>
    <phoneticPr fontId="1" type="noConversion"/>
  </si>
  <si>
    <t>가세</t>
    <phoneticPr fontId="1" type="noConversion"/>
  </si>
  <si>
    <t xml:space="preserve"> 고속도로·고속철도의 개통으로 주변 도시의 경제력을 흡수하는 대도시 집중현상은?</t>
    <phoneticPr fontId="1" type="noConversion"/>
  </si>
  <si>
    <t>풍선효과</t>
    <phoneticPr fontId="1" type="noConversion"/>
  </si>
  <si>
    <t>배우</t>
    <phoneticPr fontId="1" type="noConversion"/>
  </si>
  <si>
    <t>관객</t>
    <phoneticPr fontId="1" type="noConversion"/>
  </si>
  <si>
    <t>주역</t>
    <phoneticPr fontId="1" type="noConversion"/>
  </si>
  <si>
    <t xml:space="preserve"> 유교의 기본 경전인 ‘사서삼경(四書三經)’ 중 삼경이 아닌 것은?</t>
    <phoneticPr fontId="1" type="noConversion"/>
  </si>
  <si>
    <t xml:space="preserve"> 연극의 3요소가 아닌 것은?</t>
    <phoneticPr fontId="1" type="noConversion"/>
  </si>
  <si>
    <t xml:space="preserve"> 호주를 상징하는 동물 "캥거루(kangaroo)"의 뜻은?</t>
  </si>
  <si>
    <t xml:space="preserve"> 다음 중 "청"의 의미가 다른 것은?</t>
  </si>
  <si>
    <t xml:space="preserve"> "부부"와 관련한 사자성어가 아닌 것은?</t>
  </si>
  <si>
    <t xml:space="preserve"> 인도의 대표적 건축물 "타지마할"에서 "타지"의 뜻은?</t>
  </si>
  <si>
    <t xml:space="preserve"> 골프 4대 메이저 대회 중 하나인 "마스터스" 우승자에게 주어지는 이것은?</t>
  </si>
  <si>
    <t xml:space="preserve"> 축구경기에서 "펠레 스코어"란?</t>
  </si>
  <si>
    <t xml:space="preserve"> 알파벳 "A"로 시작하는 단어는?</t>
  </si>
  <si>
    <t xml:space="preserve"> 삼강오륜의 "오륜"에 해당하지 않은 것은?</t>
  </si>
  <si>
    <t xml:space="preserve"> 스카우트 연맹에서 개최하는 야영대회 "잼버리(jamboree)"의 뜻은?</t>
  </si>
  <si>
    <t>짱</t>
  </si>
  <si>
    <t>단백질</t>
  </si>
  <si>
    <t>칼슘</t>
  </si>
  <si>
    <t>때</t>
  </si>
  <si>
    <t>형돈</t>
  </si>
  <si>
    <t>사돈</t>
  </si>
  <si>
    <t>라돈</t>
  </si>
  <si>
    <t>얼레</t>
  </si>
  <si>
    <t>굴레</t>
  </si>
  <si>
    <t>수영</t>
  </si>
  <si>
    <t>사이클</t>
  </si>
  <si>
    <t>경보</t>
  </si>
  <si>
    <t>미스터고</t>
  </si>
  <si>
    <t>글러브</t>
  </si>
  <si>
    <t>국가대표2</t>
  </si>
  <si>
    <t>치아바타</t>
  </si>
  <si>
    <t>포카치아</t>
  </si>
  <si>
    <t>파니니</t>
  </si>
  <si>
    <t>♪ □야 누나야 강변 살자~</t>
  </si>
  <si>
    <t>♪ □가 섬 그늘에 굴 따러 가면~</t>
  </si>
  <si>
    <t>♪ 어젯밤에 우리 □가 다정하신 모습으로~</t>
  </si>
  <si>
    <t>호모 사이언스</t>
  </si>
  <si>
    <t>호모 모빌리스</t>
  </si>
  <si>
    <t>표준 마법서</t>
  </si>
  <si>
    <t>삼국지연의</t>
  </si>
  <si>
    <t>손자병법</t>
  </si>
  <si>
    <t>영웅</t>
  </si>
  <si>
    <t>운명</t>
  </si>
  <si>
    <t>합창</t>
  </si>
  <si>
    <t>치료하다</t>
  </si>
  <si>
    <t>끈기있다</t>
  </si>
  <si>
    <t>달콤하다</t>
  </si>
  <si>
    <t>넷플릭스</t>
  </si>
  <si>
    <t>아프리카 TV</t>
  </si>
  <si>
    <t>오토바이 맘</t>
  </si>
  <si>
    <t>헬리콥터 맘</t>
  </si>
  <si>
    <t>애드벌룬 맘</t>
  </si>
  <si>
    <t>41.295km</t>
  </si>
  <si>
    <t>42.195km</t>
  </si>
  <si>
    <t>42.295km</t>
  </si>
  <si>
    <t>아일랜드 시인 예이츠의 편지</t>
  </si>
  <si>
    <t>마오쩌둥 전 중국 국가주석의 편지</t>
  </si>
  <si>
    <t>행운의 편지</t>
  </si>
  <si>
    <t>모네</t>
  </si>
  <si>
    <t>샤갈</t>
  </si>
  <si>
    <t>에펠탑 효과</t>
  </si>
  <si>
    <t>런던탑 효과</t>
  </si>
  <si>
    <t>피사의 사탑 효과</t>
  </si>
  <si>
    <t>소나무</t>
  </si>
  <si>
    <t>참나무</t>
  </si>
  <si>
    <t>사과나무</t>
  </si>
  <si>
    <t>114전화</t>
  </si>
  <si>
    <t>약국</t>
  </si>
  <si>
    <t>지하철</t>
  </si>
  <si>
    <t>오른손</t>
  </si>
  <si>
    <t>왼손</t>
  </si>
  <si>
    <t>양손</t>
  </si>
  <si>
    <t>그루밍</t>
  </si>
  <si>
    <t>니블링</t>
  </si>
  <si>
    <t>커들링</t>
  </si>
  <si>
    <t>태양의 눈물</t>
  </si>
  <si>
    <t>바다의 이슬</t>
  </si>
  <si>
    <t>산의 향기</t>
  </si>
  <si>
    <t>캥거루</t>
  </si>
  <si>
    <t>판다</t>
  </si>
  <si>
    <t>25회</t>
  </si>
  <si>
    <t>광주</t>
  </si>
  <si>
    <t>나폴레옹</t>
  </si>
  <si>
    <t>잔 다르크</t>
  </si>
  <si>
    <t>베트남 국민 영웅 – 박항서</t>
  </si>
  <si>
    <t>필리핀 복싱 영웅 – 파퀴아오</t>
  </si>
  <si>
    <t>중국 축구 영웅 – 주성치</t>
  </si>
  <si>
    <t>Q4 민상이 (찰흙으로) 만든 것은 무엇일까요?</t>
  </si>
  <si>
    <t>거북선</t>
  </si>
  <si>
    <t>반가사유상</t>
  </si>
  <si>
    <t>코란도의 의인</t>
  </si>
  <si>
    <t>투스카니 의인</t>
  </si>
  <si>
    <t>티코 의인</t>
  </si>
  <si>
    <t>Q6 훈민정음 서문에서 ‘어엿비너겨’의 뜻은?</t>
  </si>
  <si>
    <t>예쁘게 여겨</t>
  </si>
  <si>
    <t>불쌍히 여겨</t>
  </si>
  <si>
    <t>어렵게 여겨</t>
  </si>
  <si>
    <t>안중근</t>
  </si>
  <si>
    <t>안창호</t>
  </si>
  <si>
    <t>윤봉길</t>
  </si>
  <si>
    <t>앤트맨</t>
  </si>
  <si>
    <t>그린 랜턴</t>
  </si>
  <si>
    <t>플래시</t>
  </si>
  <si>
    <t>도요타</t>
  </si>
  <si>
    <t>폭스바겐</t>
  </si>
  <si>
    <t>르노-닛산-미쓰비시 3사 연합</t>
  </si>
  <si>
    <t>Q10 트럼프에서 ‘클로버 킹’의 모델은?</t>
  </si>
  <si>
    <t>알렉산더 대왕</t>
  </si>
  <si>
    <t>네로 황제</t>
  </si>
  <si>
    <t>아이언맨 – 페퍼 포츠</t>
  </si>
  <si>
    <t>토르 – 제인 포스터</t>
  </si>
  <si>
    <t>닥터 스트레인지 – 바네사 칼리슨</t>
  </si>
  <si>
    <t>양궁</t>
  </si>
  <si>
    <t>배구</t>
  </si>
  <si>
    <t>탁구</t>
  </si>
  <si>
    <t>번지점프</t>
  </si>
  <si>
    <t>소 등 뛰어넘기</t>
  </si>
  <si>
    <t>페이큐 문제 풀기</t>
  </si>
  <si>
    <t>귀곡성 – 뭣이 중헌디</t>
  </si>
  <si>
    <t>친구 – 니가 가라 하와이</t>
  </si>
  <si>
    <t>내부자들 – 모히또 가서 몰디브나 한 잔</t>
  </si>
  <si>
    <t>김어준의 뉴스공장</t>
  </si>
  <si>
    <t>김어준의 다스뵈이다</t>
  </si>
  <si>
    <t>김어준의 썰전</t>
  </si>
  <si>
    <t>화성</t>
  </si>
  <si>
    <t>나란이 나란이</t>
  </si>
  <si>
    <t>나란히 나란히</t>
  </si>
  <si>
    <t>나라니 나라니</t>
  </si>
  <si>
    <t>피라미드</t>
  </si>
  <si>
    <t>스핑크스</t>
  </si>
  <si>
    <t>투탕카멘</t>
  </si>
  <si>
    <t>레드칼라</t>
  </si>
  <si>
    <t>오렌지칼라</t>
  </si>
  <si>
    <t>퍼플칼라</t>
  </si>
  <si>
    <t>수면의 과학</t>
  </si>
  <si>
    <t>이너털 선샤인</t>
  </si>
  <si>
    <t>가장 따뜻한 색, 블루</t>
  </si>
  <si>
    <t>밀푀유</t>
  </si>
  <si>
    <t>뫼니에르</t>
  </si>
  <si>
    <t>살리에르</t>
  </si>
  <si>
    <t>자유형</t>
  </si>
  <si>
    <t>배영</t>
  </si>
  <si>
    <t>평영</t>
  </si>
  <si>
    <t>숨비소리</t>
  </si>
  <si>
    <t>물비소리</t>
  </si>
  <si>
    <t>해비소리</t>
  </si>
  <si>
    <t xml:space="preserve"> 아는 것이 ()이다. -프랜시스 베이컨</t>
  </si>
  <si>
    <t xml:space="preserve"> 누구든 쉽게 방송을 할 수 있는 미디어 플랫폼이 아닌 것은?</t>
  </si>
  <si>
    <t xml:space="preserve"> 5.18 민주화운동이 일어난 곳은?</t>
  </si>
  <si>
    <t xml:space="preserve"> 다음 중 세계의 성년의 날 의식이 아닌 것은?</t>
  </si>
  <si>
    <t xml:space="preserve"> 손톱, 발톱의 주요 성분은?</t>
  </si>
  <si>
    <t xml:space="preserve"> 자녀가 성인이 되어도 그 주변을 맴돌며 온갖 일에 참견하는 엄마를 가리키는 말은?</t>
  </si>
  <si>
    <t xml:space="preserve"> 베토벤 &lt;영웅&gt; 교향곡의 모델이 된 사람은?</t>
  </si>
  <si>
    <t xml:space="preserve"> 영화와 명대사가 잘못 짝지어진 것은?</t>
  </si>
  <si>
    <t xml:space="preserve"> 자연환경과 건축자재에 존재하는 방사능물질로, 1급 발암 물질인 이것이 침대에서 검출돼 논란이다.</t>
  </si>
  <si>
    <t xml:space="preserve"> 마라톤 경기의 공식 거리는 몇 km일까?</t>
  </si>
  <si>
    <t xml:space="preserve"> 다음 중 잘못 연결된 것은?</t>
  </si>
  <si>
    <t xml:space="preserve"> 다음 중 김어준이 진행하는 프로그램이 아닌 것은?</t>
  </si>
  <si>
    <t xml:space="preserve"> 연날리기에서 연줄을 감는 기구는?</t>
  </si>
  <si>
    <t xml:space="preserve"> 런던 소더비 경매에 나오지 안흔 것은?</t>
  </si>
  <si>
    <t xml:space="preserve"> 우리나라 프로야구 구단의 마스코트가 아닌 것은?</t>
  </si>
  <si>
    <t xml:space="preserve"> 철인 3종 경기에 들어가지 않는 것은?</t>
  </si>
  <si>
    <t xml:space="preserve"> 김춘수의 시&lt;□의 마을에 내리는 눈&gt;에서 □안에 들어갈 화가 이름은?</t>
  </si>
  <si>
    <t xml:space="preserve"> 최근 고속도로에서 고의 사고를 내 대형 참사를 막은 의인의 별명은?</t>
  </si>
  <si>
    <t xml:space="preserve"> 다음 중 ‘개밥바라기 별’은?</t>
  </si>
  <si>
    <t xml:space="preserve"> 다음 영화 중 스포츠 종목이 다른 하나는?</t>
  </si>
  <si>
    <t xml:space="preserve"> ‘보면 볼수록 매력 있다’와 관계있는 효과는?</t>
  </si>
  <si>
    <t xml:space="preserve"> 홍윤화가 부른 이 동요의 제목은?</t>
  </si>
  <si>
    <t xml:space="preserve"> 이탈리아어로 ‘납작한 슬리퍼’란 뜻의 빵은?</t>
  </si>
  <si>
    <t xml:space="preserve"> 지난 4월 27일, 남북 정상회담 기념식수에 쓰인 나무는?</t>
  </si>
  <si>
    <t xml:space="preserve"> &lt;1932년, 상해 홍커우 공원, 폭탄&gt; 다음에서 연상되는 의인은?</t>
  </si>
  <si>
    <t xml:space="preserve"> 고대 오리엔트 신화에 나오는 괴물로, 사람의 머리와 사자의 동체를 가지고 있는 것은?</t>
  </si>
  <si>
    <t xml:space="preserve"> 다음 중 □안에 들어 갈 것으로 다른 것은?</t>
  </si>
  <si>
    <t xml:space="preserve"> 다음 중 할증요금이 없는 것은?</t>
  </si>
  <si>
    <t xml:space="preserve"> ‘데드풀’의 라이언 레이놀즈가 이전에 연기했던 히어로는?</t>
  </si>
  <si>
    <t xml:space="preserve"> 근무시간과 장소를 유연하게 선택할 수 있는 직업군을?</t>
  </si>
  <si>
    <t xml:space="preserve"> 모바일 정보를 생활화하는 현대인을?</t>
  </si>
  <si>
    <t xml:space="preserve"> 로뎅의 &lt;생각하는 사람&gt;이 턱을 괴고 있는 손은?</t>
  </si>
  <si>
    <t xml:space="preserve"> 2017 세계 자동차 판매 순위, 1위는?</t>
  </si>
  <si>
    <t xml:space="preserve"> 감독이 다른 영화는?</t>
  </si>
  <si>
    <t xml:space="preserve"> 나폴레옹, 맥아더 등이 전쟁터에서도 애독한 이 책은?</t>
  </si>
  <si>
    <t xml:space="preserve"> 고양이가 음식을 조금씩 자주 먹는 식습관을 이르는 말은?</t>
  </si>
  <si>
    <t xml:space="preserve"> 간을 한 생선에 밀가루를 가볍게 묻혀 버터에 굽는 프랑스 요리는?</t>
  </si>
  <si>
    <t xml:space="preserve"> 클림트의 작품 &lt;베토벤 프리즈&gt;는 베토벤의 ()교향곡을 주제로 그렸다</t>
  </si>
  <si>
    <t xml:space="preserve"> 허브 ‘로즈마리’의 뜻은?</t>
  </si>
  <si>
    <t xml:space="preserve"> 마블 히어로의 여자친구 이름이 잘못 연결된 것은?</t>
  </si>
  <si>
    <t xml:space="preserve"> 가장 오래된 수영 영법으로, 1837년 영국에서 최초로 선정된 경영 종목 중 하나는?</t>
  </si>
  <si>
    <t xml:space="preserve"> 마시멜로의 속명인 ‘Althaea’는 그리스어로 ()에서 비롯됐다.</t>
  </si>
  <si>
    <t xml:space="preserve"> 영장류 외 유일하게 지문(指紋)이 있는 동물은?</t>
  </si>
  <si>
    <t xml:space="preserve"> 우리나라 여성 선수가 최초로 올림픽 메달을 획득한 종목은?</t>
  </si>
  <si>
    <t xml:space="preserve"> 해녀들이 물질을 마치고 물 밖으로 올라와 가쁘게 내쉬는 숨소리는?</t>
  </si>
  <si>
    <t xml:space="preserve"> 아는 것이 ()이다. -프랜시스 베이컨</t>
    <phoneticPr fontId="1" type="noConversion"/>
  </si>
  <si>
    <t>꿀</t>
    <phoneticPr fontId="1" type="noConversion"/>
  </si>
  <si>
    <t>힘</t>
    <phoneticPr fontId="1" type="noConversion"/>
  </si>
  <si>
    <t>짱</t>
    <phoneticPr fontId="1" type="noConversion"/>
  </si>
  <si>
    <t xml:space="preserve"> 손톱, 발톱의 주요 성분은?</t>
    <phoneticPr fontId="1" type="noConversion"/>
  </si>
  <si>
    <t>단백질</t>
    <phoneticPr fontId="1" type="noConversion"/>
  </si>
  <si>
    <t>칼슘</t>
    <phoneticPr fontId="1" type="noConversion"/>
  </si>
  <si>
    <t>때</t>
    <phoneticPr fontId="1" type="noConversion"/>
  </si>
  <si>
    <t xml:space="preserve"> 자연환경과 건축자재에 존재하는 방사능물질로, 1급 발암 물질인 이것이 침대에서 검출돼 논란이다.</t>
    <phoneticPr fontId="1" type="noConversion"/>
  </si>
  <si>
    <t>형돈</t>
    <phoneticPr fontId="1" type="noConversion"/>
  </si>
  <si>
    <t>사돈</t>
    <phoneticPr fontId="1" type="noConversion"/>
  </si>
  <si>
    <t>라돈</t>
    <phoneticPr fontId="1" type="noConversion"/>
  </si>
  <si>
    <t xml:space="preserve"> 연날리기에서 연줄을 감는 기구는?</t>
    <phoneticPr fontId="1" type="noConversion"/>
  </si>
  <si>
    <t>얼레</t>
    <phoneticPr fontId="1" type="noConversion"/>
  </si>
  <si>
    <t>굴레</t>
    <phoneticPr fontId="1" type="noConversion"/>
  </si>
  <si>
    <t xml:space="preserve"> 철인 3종 경기에 들어가지 않는 것은?</t>
    <phoneticPr fontId="1" type="noConversion"/>
  </si>
  <si>
    <t>수영</t>
    <phoneticPr fontId="1" type="noConversion"/>
  </si>
  <si>
    <t>사이클</t>
    <phoneticPr fontId="1" type="noConversion"/>
  </si>
  <si>
    <t>경보</t>
    <phoneticPr fontId="1" type="noConversion"/>
  </si>
  <si>
    <t xml:space="preserve"> 다음 영화 중 스포츠 종목이 다른 하나는?</t>
    <phoneticPr fontId="1" type="noConversion"/>
  </si>
  <si>
    <t>미스터고</t>
    <phoneticPr fontId="1" type="noConversion"/>
  </si>
  <si>
    <t>글러브</t>
    <phoneticPr fontId="1" type="noConversion"/>
  </si>
  <si>
    <t>국가대표2</t>
    <phoneticPr fontId="1" type="noConversion"/>
  </si>
  <si>
    <t xml:space="preserve"> 이탈리아어로 ‘납작한 슬리퍼’란 뜻의 빵은?</t>
    <phoneticPr fontId="1" type="noConversion"/>
  </si>
  <si>
    <t>치아바타</t>
    <phoneticPr fontId="1" type="noConversion"/>
  </si>
  <si>
    <t>포카치아</t>
    <phoneticPr fontId="1" type="noConversion"/>
  </si>
  <si>
    <t>파니니</t>
    <phoneticPr fontId="1" type="noConversion"/>
  </si>
  <si>
    <t xml:space="preserve"> 다음 중 □안에 들어 갈 것으로 다른 것은?</t>
    <phoneticPr fontId="1" type="noConversion"/>
  </si>
  <si>
    <t>♪ □야 누나야 강변 살자~</t>
    <phoneticPr fontId="1" type="noConversion"/>
  </si>
  <si>
    <t>♪ □가 섬 그늘에 굴 따러 가면~</t>
    <phoneticPr fontId="1" type="noConversion"/>
  </si>
  <si>
    <t>♪ 어젯밤에 우리 □가 다정하신 모습으로~</t>
    <phoneticPr fontId="1" type="noConversion"/>
  </si>
  <si>
    <t xml:space="preserve"> 모바일 정보를 생활화하는 현대인을?</t>
    <phoneticPr fontId="1" type="noConversion"/>
  </si>
  <si>
    <t>호모 사이언스</t>
    <phoneticPr fontId="1" type="noConversion"/>
  </si>
  <si>
    <t>호모 모빌리스</t>
    <phoneticPr fontId="1" type="noConversion"/>
  </si>
  <si>
    <t>호모 루덴스</t>
    <phoneticPr fontId="1" type="noConversion"/>
  </si>
  <si>
    <t xml:space="preserve"> 나폴레옹, 맥아더 등이 전쟁터에서도 애독한 이 책은?</t>
    <phoneticPr fontId="1" type="noConversion"/>
  </si>
  <si>
    <t>표준 마법서</t>
    <phoneticPr fontId="1" type="noConversion"/>
  </si>
  <si>
    <t>삼국지연의</t>
    <phoneticPr fontId="1" type="noConversion"/>
  </si>
  <si>
    <t>손자병법</t>
    <phoneticPr fontId="1" type="noConversion"/>
  </si>
  <si>
    <t xml:space="preserve"> 클림트의 작품 &lt;베토벤 프리즈&gt;는 베토벤의 ()교향곡을 주제로 그렸다</t>
    <phoneticPr fontId="1" type="noConversion"/>
  </si>
  <si>
    <t>영웅</t>
    <phoneticPr fontId="1" type="noConversion"/>
  </si>
  <si>
    <t>운명</t>
    <phoneticPr fontId="1" type="noConversion"/>
  </si>
  <si>
    <t>합창</t>
    <phoneticPr fontId="1" type="noConversion"/>
  </si>
  <si>
    <t xml:space="preserve"> 마시멜로의 속명인 ‘Althaea’는 그리스어로 ()에서 비롯됐다.</t>
    <phoneticPr fontId="1" type="noConversion"/>
  </si>
  <si>
    <t>치료하다</t>
    <phoneticPr fontId="1" type="noConversion"/>
  </si>
  <si>
    <t>끈기있다</t>
    <phoneticPr fontId="1" type="noConversion"/>
  </si>
  <si>
    <t>달콤하다</t>
    <phoneticPr fontId="1" type="noConversion"/>
  </si>
  <si>
    <t xml:space="preserve"> 누구든 쉽게 방송을 할 수 있는 미디어 플랫폼이 아닌 것은?</t>
    <phoneticPr fontId="1" type="noConversion"/>
  </si>
  <si>
    <t>팟티</t>
    <phoneticPr fontId="1" type="noConversion"/>
  </si>
  <si>
    <t>넷플릭스</t>
    <phoneticPr fontId="1" type="noConversion"/>
  </si>
  <si>
    <t>아프리카 TV</t>
    <phoneticPr fontId="1" type="noConversion"/>
  </si>
  <si>
    <t xml:space="preserve"> 자녀가 성인이 되어도 그 주변을 맴돌며 온갖 일에 참견하는 엄마를 가리키는 말은?</t>
    <phoneticPr fontId="1" type="noConversion"/>
  </si>
  <si>
    <t>오토바이 맘</t>
    <phoneticPr fontId="1" type="noConversion"/>
  </si>
  <si>
    <t>헬리콥터 맘</t>
    <phoneticPr fontId="1" type="noConversion"/>
  </si>
  <si>
    <t>애드벌룬 맘</t>
    <phoneticPr fontId="1" type="noConversion"/>
  </si>
  <si>
    <t xml:space="preserve"> 마라톤 경기의 공식 거리는 몇 km일까?</t>
    <phoneticPr fontId="1" type="noConversion"/>
  </si>
  <si>
    <t>41.295km</t>
    <phoneticPr fontId="1" type="noConversion"/>
  </si>
  <si>
    <t>42.195km</t>
    <phoneticPr fontId="1" type="noConversion"/>
  </si>
  <si>
    <t>42.295km</t>
    <phoneticPr fontId="1" type="noConversion"/>
  </si>
  <si>
    <t xml:space="preserve"> 런던 소더비 경매에 나오지 안흔 것은?</t>
    <phoneticPr fontId="1" type="noConversion"/>
  </si>
  <si>
    <t>아일랜드 시인 예이츠의 편지</t>
    <phoneticPr fontId="1" type="noConversion"/>
  </si>
  <si>
    <t>마오쩌둥 전 중국 국가주석의 편지</t>
    <phoneticPr fontId="1" type="noConversion"/>
  </si>
  <si>
    <t>행운의 편지</t>
    <phoneticPr fontId="1" type="noConversion"/>
  </si>
  <si>
    <t xml:space="preserve"> 김춘수의 시&lt;□의 마을에 내리는 눈&gt;에서 □안에 들어갈 화가 이름은?</t>
    <phoneticPr fontId="1" type="noConversion"/>
  </si>
  <si>
    <t>고흐</t>
    <phoneticPr fontId="1" type="noConversion"/>
  </si>
  <si>
    <t>모네</t>
    <phoneticPr fontId="1" type="noConversion"/>
  </si>
  <si>
    <t>샤갈</t>
    <phoneticPr fontId="1" type="noConversion"/>
  </si>
  <si>
    <t xml:space="preserve"> ‘보면 볼수록 매력 있다’와 관계있는 효과는?</t>
    <phoneticPr fontId="1" type="noConversion"/>
  </si>
  <si>
    <t>에펠탑 효과</t>
    <phoneticPr fontId="1" type="noConversion"/>
  </si>
  <si>
    <t>런던탑 효과</t>
    <phoneticPr fontId="1" type="noConversion"/>
  </si>
  <si>
    <t>피사의 사탑 효과</t>
    <phoneticPr fontId="1" type="noConversion"/>
  </si>
  <si>
    <t xml:space="preserve"> 지난 4월 27일, 남북 정상회담 기념식수에 쓰인 나무는?</t>
    <phoneticPr fontId="1" type="noConversion"/>
  </si>
  <si>
    <t>소나무</t>
    <phoneticPr fontId="1" type="noConversion"/>
  </si>
  <si>
    <t>참나무</t>
    <phoneticPr fontId="1" type="noConversion"/>
  </si>
  <si>
    <t>사과나무</t>
    <phoneticPr fontId="1" type="noConversion"/>
  </si>
  <si>
    <t xml:space="preserve"> 다음 중 할증요금이 없는 것은?</t>
    <phoneticPr fontId="1" type="noConversion"/>
  </si>
  <si>
    <t>114전화</t>
    <phoneticPr fontId="1" type="noConversion"/>
  </si>
  <si>
    <t>약국</t>
    <phoneticPr fontId="1" type="noConversion"/>
  </si>
  <si>
    <t>지하철</t>
    <phoneticPr fontId="1" type="noConversion"/>
  </si>
  <si>
    <t xml:space="preserve"> 로뎅의 &lt;생각하는 사람&gt;이 턱을 괴고 있는 손은?</t>
    <phoneticPr fontId="1" type="noConversion"/>
  </si>
  <si>
    <t>오른손</t>
    <phoneticPr fontId="1" type="noConversion"/>
  </si>
  <si>
    <t>왼손</t>
    <phoneticPr fontId="1" type="noConversion"/>
  </si>
  <si>
    <t>양손</t>
    <phoneticPr fontId="1" type="noConversion"/>
  </si>
  <si>
    <t xml:space="preserve"> 고양이가 음식을 조금씩 자주 먹는 식습관을 이르는 말은?</t>
    <phoneticPr fontId="1" type="noConversion"/>
  </si>
  <si>
    <t>그루밍</t>
    <phoneticPr fontId="1" type="noConversion"/>
  </si>
  <si>
    <t>니블링</t>
    <phoneticPr fontId="1" type="noConversion"/>
  </si>
  <si>
    <t>커들링</t>
    <phoneticPr fontId="1" type="noConversion"/>
  </si>
  <si>
    <t xml:space="preserve"> 허브 ‘로즈마리’의 뜻은?</t>
    <phoneticPr fontId="1" type="noConversion"/>
  </si>
  <si>
    <t>태양의 눈물</t>
    <phoneticPr fontId="1" type="noConversion"/>
  </si>
  <si>
    <t>바다의 이슬</t>
    <phoneticPr fontId="1" type="noConversion"/>
  </si>
  <si>
    <t>산의 향기</t>
    <phoneticPr fontId="1" type="noConversion"/>
  </si>
  <si>
    <t xml:space="preserve"> 영장류 외 유일하게 지문(指紋)이 있는 동물은?</t>
    <phoneticPr fontId="1" type="noConversion"/>
  </si>
  <si>
    <t>캥거루</t>
    <phoneticPr fontId="1" type="noConversion"/>
  </si>
  <si>
    <t>코알라</t>
    <phoneticPr fontId="1" type="noConversion"/>
  </si>
  <si>
    <t>판다</t>
    <phoneticPr fontId="1" type="noConversion"/>
  </si>
  <si>
    <t xml:space="preserve"> 5.18 민주화운동이 일어난 곳은?</t>
    <phoneticPr fontId="1" type="noConversion"/>
  </si>
  <si>
    <t>광주</t>
    <phoneticPr fontId="1" type="noConversion"/>
  </si>
  <si>
    <t>서울</t>
    <phoneticPr fontId="1" type="noConversion"/>
  </si>
  <si>
    <t xml:space="preserve"> 베토벤 &lt;영웅&gt; 교향곡의 모델이 된 사람은?</t>
    <phoneticPr fontId="1" type="noConversion"/>
  </si>
  <si>
    <t>나폴레옹</t>
    <phoneticPr fontId="1" type="noConversion"/>
  </si>
  <si>
    <t>이순신</t>
    <phoneticPr fontId="1" type="noConversion"/>
  </si>
  <si>
    <t>잔 다르크</t>
    <phoneticPr fontId="1" type="noConversion"/>
  </si>
  <si>
    <t xml:space="preserve"> 다음 중 잘못 연결된 것은?</t>
    <phoneticPr fontId="1" type="noConversion"/>
  </si>
  <si>
    <t>베트남 국민 영웅 – 박항서</t>
    <phoneticPr fontId="1" type="noConversion"/>
  </si>
  <si>
    <t>필리핀 복싱 영웅 – 파퀴아오</t>
    <phoneticPr fontId="1" type="noConversion"/>
  </si>
  <si>
    <t>중국 축구 영웅 – 주성치</t>
    <phoneticPr fontId="1" type="noConversion"/>
  </si>
  <si>
    <t>Q4 민상이 (찰흙으로) 만든 것은 무엇일까요?</t>
    <phoneticPr fontId="1" type="noConversion"/>
  </si>
  <si>
    <t>거북선</t>
    <phoneticPr fontId="1" type="noConversion"/>
  </si>
  <si>
    <t>반가사유상</t>
    <phoneticPr fontId="1" type="noConversion"/>
  </si>
  <si>
    <t xml:space="preserve"> 최근 고속도로에서 고의 사고를 내 대형 참사를 막은 의인의 별명은?</t>
    <phoneticPr fontId="1" type="noConversion"/>
  </si>
  <si>
    <t>코란도의 의인</t>
    <phoneticPr fontId="1" type="noConversion"/>
  </si>
  <si>
    <t>투스카니 의인</t>
    <phoneticPr fontId="1" type="noConversion"/>
  </si>
  <si>
    <t>티코 의인</t>
    <phoneticPr fontId="1" type="noConversion"/>
  </si>
  <si>
    <t>Q6 훈민정음 서문에서 ‘어엿비너겨’의 뜻은?</t>
    <phoneticPr fontId="1" type="noConversion"/>
  </si>
  <si>
    <t>예쁘게 여겨</t>
    <phoneticPr fontId="1" type="noConversion"/>
  </si>
  <si>
    <t>불쌍히 여겨</t>
    <phoneticPr fontId="1" type="noConversion"/>
  </si>
  <si>
    <t>어렵게 여겨</t>
    <phoneticPr fontId="1" type="noConversion"/>
  </si>
  <si>
    <t xml:space="preserve"> &lt;1932년, 상해 홍커우 공원, 폭탄&gt; 다음에서 연상되는 의인은?</t>
    <phoneticPr fontId="1" type="noConversion"/>
  </si>
  <si>
    <t>안중근</t>
    <phoneticPr fontId="1" type="noConversion"/>
  </si>
  <si>
    <t>안창호</t>
    <phoneticPr fontId="1" type="noConversion"/>
  </si>
  <si>
    <t>윤봉길</t>
    <phoneticPr fontId="1" type="noConversion"/>
  </si>
  <si>
    <t xml:space="preserve"> ‘데드풀’의 라이언 레이놀즈가 이전에 연기했던 히어로는?</t>
    <phoneticPr fontId="1" type="noConversion"/>
  </si>
  <si>
    <t>앤트맨</t>
    <phoneticPr fontId="1" type="noConversion"/>
  </si>
  <si>
    <t>그린 랜턴</t>
    <phoneticPr fontId="1" type="noConversion"/>
  </si>
  <si>
    <t>플래시</t>
    <phoneticPr fontId="1" type="noConversion"/>
  </si>
  <si>
    <t xml:space="preserve"> 2017 세계 자동차 판매 순위, 1위는?</t>
    <phoneticPr fontId="1" type="noConversion"/>
  </si>
  <si>
    <t>도요타</t>
    <phoneticPr fontId="1" type="noConversion"/>
  </si>
  <si>
    <t>폭스바겐</t>
    <phoneticPr fontId="1" type="noConversion"/>
  </si>
  <si>
    <t>르노-닛산-미쓰비시 3사 연합</t>
    <phoneticPr fontId="1" type="noConversion"/>
  </si>
  <si>
    <t>Q10 트럼프에서 ‘클로버 킹’의 모델은?</t>
    <phoneticPr fontId="1" type="noConversion"/>
  </si>
  <si>
    <t>알렉산더 대왕</t>
    <phoneticPr fontId="1" type="noConversion"/>
  </si>
  <si>
    <t>네로 황제</t>
    <phoneticPr fontId="1" type="noConversion"/>
  </si>
  <si>
    <t>아리스토텔레스</t>
    <phoneticPr fontId="1" type="noConversion"/>
  </si>
  <si>
    <t xml:space="preserve"> 마블 히어로의 여자친구 이름이 잘못 연결된 것은?</t>
    <phoneticPr fontId="1" type="noConversion"/>
  </si>
  <si>
    <t>아이언맨 – 페퍼 포츠</t>
    <phoneticPr fontId="1" type="noConversion"/>
  </si>
  <si>
    <t>토르 – 제인 포스터</t>
    <phoneticPr fontId="1" type="noConversion"/>
  </si>
  <si>
    <t>닥터 스트레인지 – 바네사 칼리슨</t>
    <phoneticPr fontId="1" type="noConversion"/>
  </si>
  <si>
    <t xml:space="preserve"> 우리나라 여성 선수가 최초로 올림픽 메달을 획득한 종목은?</t>
    <phoneticPr fontId="1" type="noConversion"/>
  </si>
  <si>
    <t>양궁</t>
    <phoneticPr fontId="1" type="noConversion"/>
  </si>
  <si>
    <t>배구</t>
    <phoneticPr fontId="1" type="noConversion"/>
  </si>
  <si>
    <t>탁구</t>
    <phoneticPr fontId="1" type="noConversion"/>
  </si>
  <si>
    <t xml:space="preserve"> 다음 중 세계의 성년의 날 의식이 아닌 것은?</t>
    <phoneticPr fontId="1" type="noConversion"/>
  </si>
  <si>
    <t>번지점프</t>
    <phoneticPr fontId="1" type="noConversion"/>
  </si>
  <si>
    <t>소 등 뛰어넘기</t>
    <phoneticPr fontId="1" type="noConversion"/>
  </si>
  <si>
    <t>페이큐 문제 풀기</t>
    <phoneticPr fontId="1" type="noConversion"/>
  </si>
  <si>
    <t xml:space="preserve"> 영화와 명대사가 잘못 짝지어진 것은?</t>
    <phoneticPr fontId="1" type="noConversion"/>
  </si>
  <si>
    <t>귀곡성 – 뭣이 중헌디</t>
    <phoneticPr fontId="1" type="noConversion"/>
  </si>
  <si>
    <t>친구 – 니가 가라 하와이</t>
    <phoneticPr fontId="1" type="noConversion"/>
  </si>
  <si>
    <t>내부자들 – 모히또 가서 몰디브나 한 잔</t>
    <phoneticPr fontId="1" type="noConversion"/>
  </si>
  <si>
    <t xml:space="preserve"> 다음 중 김어준이 진행하는 프로그램이 아닌 것은?</t>
    <phoneticPr fontId="1" type="noConversion"/>
  </si>
  <si>
    <t>김어준의 뉴스공장</t>
    <phoneticPr fontId="1" type="noConversion"/>
  </si>
  <si>
    <t>김어준의 다스뵈이다</t>
    <phoneticPr fontId="1" type="noConversion"/>
  </si>
  <si>
    <t>김어준의 썰전</t>
    <phoneticPr fontId="1" type="noConversion"/>
  </si>
  <si>
    <t xml:space="preserve"> 우리나라 프로야구 구단의 마스코트가 아닌 것은?</t>
    <phoneticPr fontId="1" type="noConversion"/>
  </si>
  <si>
    <t>곰</t>
    <phoneticPr fontId="1" type="noConversion"/>
  </si>
  <si>
    <t>코끼리</t>
    <phoneticPr fontId="1" type="noConversion"/>
  </si>
  <si>
    <t xml:space="preserve"> 다음 중 ‘개밥바라기 별’은?</t>
    <phoneticPr fontId="1" type="noConversion"/>
  </si>
  <si>
    <t>금성</t>
    <phoneticPr fontId="1" type="noConversion"/>
  </si>
  <si>
    <t>화성</t>
    <phoneticPr fontId="1" type="noConversion"/>
  </si>
  <si>
    <t>목성</t>
    <phoneticPr fontId="1" type="noConversion"/>
  </si>
  <si>
    <t xml:space="preserve"> 홍윤화가 부른 이 동요의 제목은?</t>
    <phoneticPr fontId="1" type="noConversion"/>
  </si>
  <si>
    <t>나란이 나란이</t>
    <phoneticPr fontId="1" type="noConversion"/>
  </si>
  <si>
    <t>나란히 나란히</t>
    <phoneticPr fontId="1" type="noConversion"/>
  </si>
  <si>
    <t>나라니 나라니</t>
    <phoneticPr fontId="1" type="noConversion"/>
  </si>
  <si>
    <t xml:space="preserve"> 고대 오리엔트 신화에 나오는 괴물로, 사람의 머리와 사자의 동체를 가지고 있는 것은?</t>
    <phoneticPr fontId="1" type="noConversion"/>
  </si>
  <si>
    <t>피라미드</t>
    <phoneticPr fontId="1" type="noConversion"/>
  </si>
  <si>
    <t>스핑크스</t>
    <phoneticPr fontId="1" type="noConversion"/>
  </si>
  <si>
    <t>투탕카멘</t>
    <phoneticPr fontId="1" type="noConversion"/>
  </si>
  <si>
    <t xml:space="preserve"> 근무시간과 장소를 유연하게 선택할 수 있는 직업군을?</t>
    <phoneticPr fontId="1" type="noConversion"/>
  </si>
  <si>
    <t>레드칼라</t>
    <phoneticPr fontId="1" type="noConversion"/>
  </si>
  <si>
    <t>오렌지칼라</t>
    <phoneticPr fontId="1" type="noConversion"/>
  </si>
  <si>
    <t>퍼플칼라</t>
    <phoneticPr fontId="1" type="noConversion"/>
  </si>
  <si>
    <t xml:space="preserve"> 감독이 다른 영화는?</t>
    <phoneticPr fontId="1" type="noConversion"/>
  </si>
  <si>
    <t>수면의 과학</t>
    <phoneticPr fontId="1" type="noConversion"/>
  </si>
  <si>
    <t>이너털 선샤인</t>
    <phoneticPr fontId="1" type="noConversion"/>
  </si>
  <si>
    <t>가장 따뜻한 색, 블루</t>
    <phoneticPr fontId="1" type="noConversion"/>
  </si>
  <si>
    <t xml:space="preserve"> 간을 한 생선에 밀가루를 가볍게 묻혀 버터에 굽는 프랑스 요리는?</t>
    <phoneticPr fontId="1" type="noConversion"/>
  </si>
  <si>
    <t>밀푀유</t>
    <phoneticPr fontId="1" type="noConversion"/>
  </si>
  <si>
    <t>뫼니에르</t>
    <phoneticPr fontId="1" type="noConversion"/>
  </si>
  <si>
    <t>살리에르</t>
    <phoneticPr fontId="1" type="noConversion"/>
  </si>
  <si>
    <t xml:space="preserve"> 가장 오래된 수영 영법으로, 1837년 영국에서 최초로 선정된 경영 종목 중 하나는?</t>
    <phoneticPr fontId="1" type="noConversion"/>
  </si>
  <si>
    <t>자유형</t>
    <phoneticPr fontId="1" type="noConversion"/>
  </si>
  <si>
    <t>배영</t>
    <phoneticPr fontId="1" type="noConversion"/>
  </si>
  <si>
    <t>평영</t>
    <phoneticPr fontId="1" type="noConversion"/>
  </si>
  <si>
    <t xml:space="preserve"> 해녀들이 물질을 마치고 물 밖으로 올라와 가쁘게 내쉬는 숨소리는?</t>
    <phoneticPr fontId="1" type="noConversion"/>
  </si>
  <si>
    <t>숨비소리</t>
    <phoneticPr fontId="1" type="noConversion"/>
  </si>
  <si>
    <t>물비소리</t>
    <phoneticPr fontId="1" type="noConversion"/>
  </si>
  <si>
    <t>해비소리</t>
    <phoneticPr fontId="1" type="noConversion"/>
  </si>
  <si>
    <t xml:space="preserve"> 올해 6월 월드컵을 개최하는 나라는? </t>
  </si>
  <si>
    <t xml:space="preserve"> 일정 시점까지 보도금지를 뜻하는 매스컴 용어는? </t>
  </si>
  <si>
    <t xml:space="preserve"> 영국이 《인도와도 바꾸지 않겠다》 고 한 대문호는? </t>
  </si>
  <si>
    <t xml:space="preserve"> 우리나라 악기 중 돌로 만든 것은? </t>
  </si>
  <si>
    <t xml:space="preserve"> "일과 삶의 균형을 찾자"는 의미의 신조어는? </t>
  </si>
  <si>
    <t xml:space="preserve"> 하상욱의 단편 시 《다시 돌아간다면 행복할 수 있을까》 의 제목은? </t>
  </si>
  <si>
    <t xml:space="preserve"> 우리 조상들이 귀신을 쫒기 위해 화장실에 붙여둔 동물 그림은? </t>
  </si>
  <si>
    <t xml:space="preserve"> 일본드라마 《고독한 미식가》 한국 촬영 지역이 아닌 곳은? </t>
  </si>
  <si>
    <t xml:space="preserve"> 독일 자동차 회사가 아닌 것은? </t>
  </si>
  <si>
    <t xml:space="preserve"> 이탈리아의 대중음악을 가리키는 말은? </t>
  </si>
  <si>
    <t xml:space="preserve"> 같은 한자 2개로 이루어진 한자는? </t>
  </si>
  <si>
    <t xml:space="preserve"> " 상위 20%가 부의 80%를 차지한다"는 소득분포의 불평등도에 관한 법칙은? </t>
  </si>
  <si>
    <t xml:space="preserve"> 중국</t>
  </si>
  <si>
    <t xml:space="preserve"> 엠바고 </t>
  </si>
  <si>
    <t xml:space="preserve"> 셰익스피어 </t>
  </si>
  <si>
    <t xml:space="preserve"> 거문고 </t>
  </si>
  <si>
    <t xml:space="preserve"> 워라밸 </t>
  </si>
  <si>
    <t xml:space="preserve"> 토요일 </t>
  </si>
  <si>
    <t xml:space="preserve"> 소 </t>
  </si>
  <si>
    <t xml:space="preserve"> 전주</t>
  </si>
  <si>
    <t xml:space="preserve"> 람보르기니</t>
  </si>
  <si>
    <t xml:space="preserve"> 샹송</t>
  </si>
  <si>
    <t xml:space="preserve"> 벗 [붕] </t>
  </si>
  <si>
    <t xml:space="preserve"> 파레토 법칙</t>
  </si>
  <si>
    <t xml:space="preserve"> 러시아 </t>
  </si>
  <si>
    <t xml:space="preserve"> 알파고 </t>
  </si>
  <si>
    <t xml:space="preserve"> 찰스 다윈 </t>
  </si>
  <si>
    <t xml:space="preserve"> 아쟁 </t>
  </si>
  <si>
    <t xml:space="preserve"> 가심비 </t>
  </si>
  <si>
    <t xml:space="preserve"> 버스 손잡이 </t>
  </si>
  <si>
    <t xml:space="preserve"> 개 </t>
  </si>
  <si>
    <t xml:space="preserve"> 메르세데스-벤츠 </t>
  </si>
  <si>
    <t xml:space="preserve"> 칸초네 </t>
  </si>
  <si>
    <t xml:space="preserve"> 집 [궁] </t>
  </si>
  <si>
    <t xml:space="preserve"> 파솔라 법칙 </t>
  </si>
  <si>
    <t xml:space="preserve"> 터키 </t>
  </si>
  <si>
    <t xml:space="preserve"> 앰버경고 </t>
  </si>
  <si>
    <t xml:space="preserve"> 박지성 </t>
  </si>
  <si>
    <t xml:space="preserve"> 편경 </t>
  </si>
  <si>
    <t xml:space="preserve"> 소확행 </t>
  </si>
  <si>
    <t xml:space="preserve"> 술 </t>
  </si>
  <si>
    <t xml:space="preserve"> 닭 </t>
  </si>
  <si>
    <t xml:space="preserve"> 제주 </t>
  </si>
  <si>
    <t xml:space="preserve"> BMW </t>
  </si>
  <si>
    <t xml:space="preserve"> 마리아치 </t>
  </si>
  <si>
    <t xml:space="preserve"> 화목할 [화] </t>
  </si>
  <si>
    <t xml:space="preserve"> 롱테일 법칙 </t>
  </si>
  <si>
    <t>오염된 물과 식수로 전염되는 간염은?</t>
  </si>
  <si>
    <t>일반적으로 1870~1910년대 초의 약 50년 간에 해당하는 유럽의 최전성기를 뜻하는 말은?</t>
  </si>
  <si>
    <t>벨 에포크</t>
  </si>
  <si>
    <t>조선의 4대왕 세종대왕의 이름은?</t>
  </si>
  <si>
    <t>불교에서 가장 완벽한 깨달음을 뜻하는 말은?</t>
  </si>
  <si>
    <t>서울지하철 2호선과 5호선이 만나는 횟수는?</t>
  </si>
  <si>
    <t>4회</t>
  </si>
  <si>
    <t>5회</t>
  </si>
  <si>
    <t>6회</t>
  </si>
  <si>
    <t xml:space="preserve">다음중 2018 러시아 월드컵의 본선 진출 나라는? </t>
  </si>
  <si>
    <t xml:space="preserve">고속도로 통행료를 무선으로 결제하는 시스템을 뜻하는 하이패스의 영문표기법으로 맞는것은? </t>
  </si>
  <si>
    <t xml:space="preserve">다음중 유명세의 '세'와 같은 한자를 쓰는 말은? </t>
  </si>
  <si>
    <t>비트</t>
  </si>
  <si>
    <t>다날</t>
  </si>
  <si>
    <t>다음 중 스타크래프트 프로게이머가 아닌 사람은?</t>
  </si>
  <si>
    <t>하늬바람'의 뜻으로 알맞은 것은?</t>
  </si>
  <si>
    <t>다음 중 하트시그널 시즌2 출연자가 아닌 사람은?</t>
  </si>
  <si>
    <t>디지털 위성방송 수신기를 oo박스라 한다. oo에 들어갈 말은?</t>
  </si>
  <si>
    <t xml:space="preserve">독일어로 신경증이란 뜻으로, 외부 스트레스로 인해 무리가 생겨 심리적 긴장과 인격 변화를 무엇이라 하는가? </t>
  </si>
  <si>
    <t>새로운 제품 정보를 다른 사람보다 먼저 접하고 구입하는 사람은?</t>
  </si>
  <si>
    <t>조선 최초의 서양식 병원은?</t>
  </si>
  <si>
    <t>6.15 남북공동선언의 참가자가 아닌 사람은?</t>
  </si>
  <si>
    <t xml:space="preserve">DMZ의 뜻은? </t>
  </si>
  <si>
    <t>종이나 재료를 풀로 붙이는 미술 작업 방식은?</t>
  </si>
  <si>
    <t xml:space="preserve">다음 중 고속도로에서 안전벨트를 매지 않아도 되는 좌석은? </t>
  </si>
  <si>
    <t>손님으로 가장해 매장 직원의 서비스를 평가하는 사람을 oo 쇼퍼라 한다. 이 사람을 지칭하는 말은?</t>
  </si>
  <si>
    <t>차마의 교통사고위험으로 부터 경로자를 보호해야하는 구간을 칭하는 명칭은 무엇인가 ?</t>
  </si>
  <si>
    <t>북미정상회담의 경호를 맡게된 용병 민족은?</t>
  </si>
  <si>
    <t>싱어송라이터의 올바른 영어 표기법은?</t>
  </si>
  <si>
    <t>1000배</t>
  </si>
  <si>
    <t>10000배</t>
  </si>
  <si>
    <t xml:space="preserve">뛰어난 예술작품을 보았을 때 순간적으로 흥분,호흡곤란 등 정신적 충동을 보이는 현상은? </t>
  </si>
  <si>
    <t xml:space="preserve">우리나라 최초의 인공위성은? </t>
  </si>
  <si>
    <t>오지랖은 어디를 말하는 것일까?</t>
  </si>
  <si>
    <t xml:space="preserve">단오에는 창포물로 머리감는 풍속이 있었다. 창포에 대한 설명으로 틀린것은? </t>
  </si>
  <si>
    <t>분명하지 않게 우물우물 말하는 소리나 이치와 소용에 닿지 않는 소리를 욕으로 빈정거려 이르는 말은?</t>
  </si>
  <si>
    <t>기업등을 상대로 부당한 이익을 취하고자 제품을 구매한 후 고의적으로 악성민원을 제기하는 자를 무엇입니까?</t>
  </si>
  <si>
    <t>2018 FIFA러시아 월드컵 본선진출 국가중 우리나라와 같은 F조가 아닌 국가는?</t>
  </si>
  <si>
    <t>이내  다음중 맛있는녀석들에 나오는 출연자가 아닌 사람은?</t>
  </si>
  <si>
    <t xml:space="preserve">2, 절였다 </t>
    <phoneticPr fontId="1" type="noConversion"/>
  </si>
  <si>
    <t xml:space="preserve"> 《알리바바와 40인의 도둑》 에서 동굴 문을 여는 주문은? </t>
  </si>
  <si>
    <t xml:space="preserve"> 단군신화에서 사람이 되고 싶은 곰이 먹은 게 아닌 것은? </t>
  </si>
  <si>
    <t xml:space="preserve"> 민상이 부른 노래의 제목은? </t>
  </si>
  <si>
    <t xml:space="preserve"> 일반적으로 결혼반지는 왼손 어디에 착용하나? </t>
  </si>
  <si>
    <t xml:space="preserve"> 스승의 날인 5월 15일은 누구의 생일에서 유래했을까? </t>
  </si>
  <si>
    <t xml:space="preserve"> 다음 중 음식물쓰레기는? </t>
  </si>
  <si>
    <t xml:space="preserve"> 윤화는 김치를 담그기 위해 배추를 (    ). </t>
  </si>
  <si>
    <t xml:space="preserve"> '달라이 라마'의 뜻은? </t>
  </si>
  <si>
    <t xml:space="preserve"> 서울과 베이징의 시차는? </t>
  </si>
  <si>
    <t xml:space="preserve"> 장마로 큰 물이 난 뒤, 한 동안 쉬었다가 다시 퍼 붓는 비는?</t>
  </si>
  <si>
    <t xml:space="preserve"> '대게'의 '대'의 같은 뜻의 한자가 포함된 사자성어는? </t>
  </si>
  <si>
    <t xml:space="preserve"> '몽니'의 뜻은? </t>
  </si>
  <si>
    <t xml:space="preserve"> 열려라 들깨 </t>
  </si>
  <si>
    <t xml:space="preserve"> 마늘 </t>
  </si>
  <si>
    <t xml:space="preserve"> 스승의 사랑 </t>
  </si>
  <si>
    <t xml:space="preserve"> 검지</t>
  </si>
  <si>
    <t xml:space="preserve"> 세종대왕 </t>
  </si>
  <si>
    <t xml:space="preserve"> 자몽 껍질 </t>
  </si>
  <si>
    <t xml:space="preserve"> 저렸다 </t>
  </si>
  <si>
    <t xml:space="preserve"> 큰 바다 같은 스승</t>
  </si>
  <si>
    <t xml:space="preserve"> 1시간</t>
  </si>
  <si>
    <t xml:space="preserve"> 개부심</t>
  </si>
  <si>
    <t xml:space="preserve"> 죽마고우 </t>
  </si>
  <si>
    <t xml:space="preserve"> 사람의 됨됨이가 점잖고 무게 있다</t>
  </si>
  <si>
    <t xml:space="preserve"> 열려라 참깨 </t>
  </si>
  <si>
    <t xml:space="preserve"> 쑥</t>
  </si>
  <si>
    <t xml:space="preserve"> 스승의 은혜 </t>
  </si>
  <si>
    <t xml:space="preserve"> 소지</t>
  </si>
  <si>
    <t xml:space="preserve"> 이순신 장군</t>
  </si>
  <si>
    <t xml:space="preserve"> 티백에 담긴 차 찌꺼기 </t>
  </si>
  <si>
    <t xml:space="preserve"> 큰 산 같은 스승</t>
  </si>
  <si>
    <t xml:space="preserve"> 2시간</t>
  </si>
  <si>
    <t xml:space="preserve"> 소부심</t>
  </si>
  <si>
    <t xml:space="preserve"> 대기만성 </t>
  </si>
  <si>
    <t xml:space="preserve"> 상냥하고 시원스러운 성격</t>
  </si>
  <si>
    <t xml:space="preserve"> 열려라 주근깨 </t>
  </si>
  <si>
    <t xml:space="preserve"> 양파 </t>
  </si>
  <si>
    <t xml:space="preserve"> 스승의 은총 </t>
  </si>
  <si>
    <t xml:space="preserve"> 약지 </t>
  </si>
  <si>
    <t xml:space="preserve"> 백범 김구 </t>
  </si>
  <si>
    <t xml:space="preserve"> 달걀 껍데기 </t>
  </si>
  <si>
    <t xml:space="preserve"> 절혔다 </t>
  </si>
  <si>
    <t xml:space="preserve"> 큰 하늘 같은 스승 </t>
  </si>
  <si>
    <t xml:space="preserve"> 시차가 없다 </t>
  </si>
  <si>
    <t xml:space="preserve"> 말부심 </t>
  </si>
  <si>
    <t xml:space="preserve"> 태평양 </t>
  </si>
  <si>
    <t xml:space="preserve"> 음흉하고 심술궃게 욕심부리는 성질 </t>
  </si>
  <si>
    <t xml:space="preserve">2, 절였다 </t>
  </si>
  <si>
    <t>다음 중 답이 다른 것은?</t>
  </si>
  <si>
    <t>5+5</t>
  </si>
  <si>
    <t>9+1</t>
  </si>
  <si>
    <t>6+3</t>
  </si>
  <si>
    <t>‘□ 좋다, □사납다, □불견’ □에 공통으로 들어갈 말은?</t>
  </si>
  <si>
    <t>꼴</t>
  </si>
  <si>
    <t>딱</t>
  </si>
  <si>
    <t>예전에 있던 영화·음약·드라마 등을 새롭게 다시 만드는 것은?</t>
  </si>
  <si>
    <t>리바운드</t>
  </si>
  <si>
    <t>리얼리티</t>
  </si>
  <si>
    <t>리메이크</t>
  </si>
  <si>
    <t>동화 ‘빨간 모자, 양치기 소년, 아기돼지 삼형제’에 공통으로 등장하는 동물은?</t>
  </si>
  <si>
    <t>페이큐에서 획득한 포인트는 □에서 포인트로 교환한 뒤 현금처럼 쓸 수 있다.</t>
  </si>
  <si>
    <t>OK 캐시백</t>
  </si>
  <si>
    <t>해피 포인트</t>
  </si>
  <si>
    <t>&lt;모나리자&gt;를 소장하고 있는 곳은?</t>
  </si>
  <si>
    <t>바티칸 박물관</t>
  </si>
  <si>
    <t>루브르 박물관</t>
  </si>
  <si>
    <t>오르세 미술관</t>
  </si>
  <si>
    <t>옷 사이즈 ‘XL’에서 ‘X’는 무엇의 약자일까?</t>
  </si>
  <si>
    <t>다음 중 ‘팟티’에서 청취할 수 없는 콘텐츠는?</t>
  </si>
  <si>
    <t>신해철의 고스트스테이션</t>
  </si>
  <si>
    <t>미운 우리 새끼</t>
  </si>
  <si>
    <t>‘사람의 본성은 근본적으로 악(惡)하다’는 학설을 주장한 사람은?</t>
  </si>
  <si>
    <t>공자</t>
  </si>
  <si>
    <t>맹자</t>
  </si>
  <si>
    <t>청소년에게 종합적인 상담 서비스를 제공하는 직통번호는?</t>
  </si>
  <si>
    <t>‘생김새가 선이 굵고 시원시원한 모양’을 가리키는 우리말은?</t>
  </si>
  <si>
    <t>눔씰늠씰</t>
  </si>
  <si>
    <t>아리아리</t>
  </si>
  <si>
    <t>억실억실</t>
  </si>
  <si>
    <t>김동리의 단편 소설 제목이자 사람의 키만한 크기의 불상을 뜻하는 말은?</t>
  </si>
  <si>
    <t>와불</t>
  </si>
  <si>
    <t>등신불</t>
  </si>
  <si>
    <t>마애불</t>
  </si>
  <si>
    <t>다음 중 하나의 과제를 여러 단계로 세분화해서 하나씩 해결해나가는 협상 기술은?</t>
  </si>
  <si>
    <t>살라미 전술</t>
  </si>
  <si>
    <t>벼랑끝 전술</t>
  </si>
  <si>
    <t>하이볼 전략</t>
  </si>
  <si>
    <t>하천에 의해 침식된 골짜기에 해수면이 상승하여 만들어진 해안은?</t>
  </si>
  <si>
    <t>피오르드식 해안</t>
  </si>
  <si>
    <t>리아스식 해안</t>
  </si>
  <si>
    <t>아드리아식 해안</t>
  </si>
  <si>
    <t>음주운전으로 처벌 받는 혈중 알코올 농도 최소 기준은?</t>
  </si>
  <si>
    <t>정조가 즉위하여 세운 왕립도서관은?</t>
  </si>
  <si>
    <t>성균관</t>
  </si>
  <si>
    <t>예금자보험에 가입한 금융기관이 파산할 때, 예금자 1인이 돌려 받을 수 있는 최대 금액은?</t>
  </si>
  <si>
    <t>4000만원</t>
  </si>
  <si>
    <t>4500만원</t>
  </si>
  <si>
    <t>5000만원</t>
  </si>
  <si>
    <t>사람이 단 한 번도 듣거나 배운 적이 없는 언어를 구사하는 현상은?</t>
  </si>
  <si>
    <t>코드 스위칭</t>
  </si>
  <si>
    <t>몬더 그린</t>
  </si>
  <si>
    <t>정치와 연예인의 합성어로 ‘연예인 출신의 정치인’을 일컫는 말은?</t>
  </si>
  <si>
    <t>폴리에스터</t>
  </si>
  <si>
    <t>폴리테이너</t>
  </si>
  <si>
    <t>폴래티나데이터</t>
  </si>
  <si>
    <t>회사와 AI음성비서의 이름이 잘못 짝지어진 것은?</t>
  </si>
  <si>
    <t>아마존 – 알렉사</t>
  </si>
  <si>
    <t>마이크로소프트 – 코루나</t>
  </si>
  <si>
    <t>IBM – 왓슨</t>
  </si>
  <si>
    <t>아시아-태평양 지역의 경제협력 증대를 위한 역내 정상들의 협의기구는?</t>
  </si>
  <si>
    <t xml:space="preserve">OECD </t>
  </si>
  <si>
    <t>G20</t>
  </si>
  <si>
    <t>APEC</t>
  </si>
  <si>
    <t>다음 중 달에 착륙하지 못한 우주선은?</t>
  </si>
  <si>
    <t>영어 표현 ‘Neck and neck’의 뜻은?</t>
  </si>
  <si>
    <t>다다익선</t>
  </si>
  <si>
    <t>막상막하</t>
  </si>
  <si>
    <t>죽은 이의 부정을 깨끗이 씻어 주어 극락으로 보내는 전라남도 지방의 굿은?</t>
  </si>
  <si>
    <t>몸굿</t>
  </si>
  <si>
    <t>씻김굿</t>
  </si>
  <si>
    <t>여탐굿</t>
  </si>
  <si>
    <t>이탈리아의 ‘마르코 폴로’가 동방을 여행하며 겪은 체험담을 기록한 책은?</t>
  </si>
  <si>
    <t>하멜표류기</t>
  </si>
  <si>
    <t>동방견문록</t>
  </si>
  <si>
    <t>몽골제국기행</t>
  </si>
  <si>
    <t>‘통계·수학·PC를 이용, 현상에서 법칙을 찾아내는 일을 하는 사람’을 뜻하는 말은?</t>
  </si>
  <si>
    <t>유비쿼터스 엔지니어</t>
  </si>
  <si>
    <t>퀸츠애널리스트</t>
  </si>
  <si>
    <t>데이터 사이언티스트</t>
  </si>
  <si>
    <t>다음 신체 활동 중 한자로 된 단어는?</t>
  </si>
  <si>
    <t>방귀</t>
  </si>
  <si>
    <t>하품</t>
  </si>
  <si>
    <t>기절</t>
  </si>
  <si>
    <t>다음 중 &lt;위대한 개츠비&gt;의 작가 ‘스콧 피츠제럴드’의 뮤즈는?</t>
  </si>
  <si>
    <t>오노 요코</t>
  </si>
  <si>
    <t>젤다</t>
  </si>
  <si>
    <t>갈라</t>
  </si>
  <si>
    <t>정치인들이 지역주민의 인기를 얻기 위해 정부의 예산을 최대한 많이 확보하는 것은?</t>
  </si>
  <si>
    <t>콜렛-헤이그 규칙</t>
  </si>
  <si>
    <t>포크배럴</t>
  </si>
  <si>
    <t>넷크래커</t>
  </si>
  <si>
    <t>특별한 생각이나 이유없이 남을 따라하는 행위를 뜻하는 것은?</t>
  </si>
  <si>
    <t>파랑새 신드롬</t>
  </si>
  <si>
    <t>바나나 신드롬</t>
  </si>
  <si>
    <t>레밍 신드롬</t>
  </si>
  <si>
    <t>원소 주기율표 1족 1주기에 속하는 원소는?</t>
  </si>
  <si>
    <t>리튬</t>
  </si>
  <si>
    <t>다음 김유정의 소설 중 여주인공 이름이 다른 것은?</t>
  </si>
  <si>
    <t>소낙비</t>
  </si>
  <si>
    <t>봄봄</t>
  </si>
  <si>
    <t>동백꽃</t>
  </si>
  <si>
    <t>만화 &lt;드래곤볼&gt;에서 드래곤볼에 새겨진 별의 개수의 합은?</t>
  </si>
  <si>
    <t>애국가의 작곡가는?</t>
  </si>
  <si>
    <t>안익태</t>
  </si>
  <si>
    <t>홍난파</t>
  </si>
  <si>
    <t>남인수</t>
  </si>
  <si>
    <t>1980년대에 출시됐으며 각기 다른 모양의 블록을 이용한 게임은?</t>
  </si>
  <si>
    <t>테트리스</t>
  </si>
  <si>
    <t>페르시아 왕자</t>
  </si>
  <si>
    <t>한게임 신맞고</t>
  </si>
  <si>
    <t>애플에서 출시한 무선 블루투스 이어폰은?</t>
  </si>
  <si>
    <t>에어팟</t>
  </si>
  <si>
    <t>기어팟</t>
  </si>
  <si>
    <t>슈퍼팟</t>
  </si>
  <si>
    <t>1972년에 가치가 드러난 세계최초의 금속활자본은?</t>
  </si>
  <si>
    <t>상정고금예문</t>
  </si>
  <si>
    <t>동국이상국집</t>
  </si>
  <si>
    <t>현재 일본 총리 이름은?</t>
  </si>
  <si>
    <t>고이즈미 준이치로</t>
  </si>
  <si>
    <t>아베 신조</t>
  </si>
  <si>
    <t>노다 요시히코</t>
  </si>
  <si>
    <t>포브스가 선정한 한국 부자 50위 중 1위는? (2018.06 기준)</t>
  </si>
  <si>
    <t>이건희(삼성전자 회장)</t>
  </si>
  <si>
    <t>이재용(삼성전자 부회장)</t>
  </si>
  <si>
    <t>서정진(셀트리온 회장)</t>
  </si>
  <si>
    <t>다음 중 영어권에서 사용하지 않는 단어는?</t>
  </si>
  <si>
    <t xml:space="preserve">Y-Shirts </t>
  </si>
  <si>
    <t>Coke</t>
  </si>
  <si>
    <t>Digicam</t>
  </si>
  <si>
    <t>125cc 미만의 스쿠터 오토바이 면허 발급가능 나이는?(우리나라)</t>
  </si>
  <si>
    <t>만 16세 이상</t>
  </si>
  <si>
    <t>만 17세 이상</t>
  </si>
  <si>
    <t>만 18세 이상</t>
  </si>
  <si>
    <t>자기장을 이용해 하드디스크를 물리적으로 복구 불가능하게 지우는 것은?</t>
  </si>
  <si>
    <t>디가우징</t>
  </si>
  <si>
    <t>빠른포멧</t>
  </si>
  <si>
    <t>OS초기화</t>
  </si>
  <si>
    <t>집 안에서만 입는 옷이나 신발 등을 일컫는 단어는?</t>
  </si>
  <si>
    <t>내벌</t>
  </si>
  <si>
    <t>든벌</t>
  </si>
  <si>
    <t>난벌</t>
  </si>
  <si>
    <t>다음 중 임명시 국회의 동의가 필요하지 않은 직책은?</t>
  </si>
  <si>
    <t>감사원장</t>
  </si>
  <si>
    <t>국세청장</t>
  </si>
  <si>
    <t>‘운명’을 한자로 바르게 표기한 것은?</t>
  </si>
  <si>
    <t>雲命</t>
  </si>
  <si>
    <t>運明</t>
  </si>
  <si>
    <t>運命</t>
  </si>
  <si>
    <t>1+0</t>
  </si>
  <si>
    <t>1×0</t>
  </si>
  <si>
    <t>1×1</t>
  </si>
  <si>
    <t>인도네시아의 수도는?</t>
  </si>
  <si>
    <t>자카르타</t>
  </si>
  <si>
    <t>스파르타</t>
  </si>
  <si>
    <t>가타부타</t>
  </si>
  <si>
    <t>동요 ♪“엄마가 섬 그늘에 굴 따러 가면~”제목은?</t>
  </si>
  <si>
    <t>섬마을</t>
  </si>
  <si>
    <t>섬 그늘</t>
  </si>
  <si>
    <r>
      <t>섬집 아기</t>
    </r>
    <r>
      <rPr>
        <sz val="11"/>
        <color rgb="FF000000"/>
        <rFont val="맑은 고딕"/>
        <family val="3"/>
        <charset val="129"/>
        <scheme val="minor"/>
      </rPr>
      <t xml:space="preserve"> </t>
    </r>
  </si>
  <si>
    <t>&lt;두테르테, 마닐라, 페소&gt; 연상되는 나라는?</t>
  </si>
  <si>
    <t>말레이시아</t>
  </si>
  <si>
    <t>필리핀</t>
  </si>
  <si>
    <t>야구에서 ‘30-30클럽’이란?</t>
  </si>
  <si>
    <t>한 시즌 30홈런-30도루</t>
  </si>
  <si>
    <t>한 시즌 30홈런-30안타</t>
  </si>
  <si>
    <t>한 시즌 30안타-30도루</t>
  </si>
  <si>
    <t>‘IT(정보통신기술)’의 뜻은?</t>
  </si>
  <si>
    <t>Information Technology</t>
  </si>
  <si>
    <t>Independent Technology</t>
  </si>
  <si>
    <t>Industrial Technology</t>
  </si>
  <si>
    <t>오프라인 매장에서는 구경만 하고, 구매는 값이 싼 온라인 쇼핑몰을 이용하는 것은?</t>
  </si>
  <si>
    <t>파밍</t>
  </si>
  <si>
    <t>쇼루밍</t>
  </si>
  <si>
    <t>다음 중 임기가 가장 긴 사람은?</t>
  </si>
  <si>
    <t>국회의원 (4년)</t>
  </si>
  <si>
    <t>국회의장 (2년)</t>
  </si>
  <si>
    <t>대통령 (5년)</t>
  </si>
  <si>
    <t>특정회사의 상품명이 보통명사가 된 경우가 아닌 것은?</t>
  </si>
  <si>
    <t>포크레인</t>
  </si>
  <si>
    <t>클락션</t>
  </si>
  <si>
    <t>호프</t>
  </si>
  <si>
    <t>시간이 지남에 따라, 과거의 가격과 현재의 가격을 비교하여 비율로 표시한 것은?</t>
  </si>
  <si>
    <t>가격목표률</t>
  </si>
  <si>
    <t>가격변동률</t>
  </si>
  <si>
    <t>가격전가율</t>
  </si>
  <si>
    <t>“내 몸매는 파스타로 만들어졌어요”라고 말한 세계적인 여배우는?</t>
  </si>
  <si>
    <t>소피아 로렌</t>
  </si>
  <si>
    <t>비비안 리</t>
  </si>
  <si>
    <t>오드리 헵번</t>
  </si>
  <si>
    <t>4년마다 개최되는 대회는?</t>
  </si>
  <si>
    <t>유니버시아드</t>
  </si>
  <si>
    <t>세계 잼버리 대회</t>
  </si>
  <si>
    <t>쇼팽 국제 피아노 콩쿠르</t>
  </si>
  <si>
    <t>오늘 기상 정보 "제주, 남해안 강한 비바람, 내륙 00더위" 빈칸은?</t>
  </si>
  <si>
    <t>찜통</t>
    <phoneticPr fontId="1" type="noConversion"/>
  </si>
  <si>
    <t>찜꽁</t>
    <phoneticPr fontId="1" type="noConversion"/>
  </si>
  <si>
    <t>찜닭</t>
    <phoneticPr fontId="1" type="noConversion"/>
  </si>
  <si>
    <t>빨갛던 삼겹살을 구우면 '이 반응'에 의하여 갈색이 된다. 무엇일까?</t>
  </si>
  <si>
    <t>과민 반응</t>
    <phoneticPr fontId="1" type="noConversion"/>
  </si>
  <si>
    <t>마이아르 반응</t>
    <phoneticPr fontId="1" type="noConversion"/>
  </si>
  <si>
    <t>거부 반응</t>
    <phoneticPr fontId="1" type="noConversion"/>
  </si>
  <si>
    <t>다음 중 마약 탐지, 인명 구조, 범인 추적을 할 수 있는 동물은?</t>
  </si>
  <si>
    <t>게</t>
    <phoneticPr fontId="1" type="noConversion"/>
  </si>
  <si>
    <t>반달가슴곰</t>
    <phoneticPr fontId="1" type="noConversion"/>
  </si>
  <si>
    <t>개</t>
    <phoneticPr fontId="1" type="noConversion"/>
  </si>
  <si>
    <t>여름철 발생하기 쉬운 질환 무좀! 예방하는 방법이 아닌 것은?</t>
  </si>
  <si>
    <t>발을 자주 씻는다</t>
    <phoneticPr fontId="1" type="noConversion"/>
  </si>
  <si>
    <t>씻고 날 후 잘 말린다</t>
    <phoneticPr fontId="1" type="noConversion"/>
  </si>
  <si>
    <t>젖은 신발을 신는다</t>
    <phoneticPr fontId="1" type="noConversion"/>
  </si>
  <si>
    <t>흡연이 불법인 비행기 내부에 재떨이가 설치된 장소가 있다. 어디일까?</t>
  </si>
  <si>
    <t>화장실</t>
    <phoneticPr fontId="1" type="noConversion"/>
  </si>
  <si>
    <t>승무원 침실</t>
    <phoneticPr fontId="1" type="noConversion"/>
  </si>
  <si>
    <t>조종실</t>
    <phoneticPr fontId="1" type="noConversion"/>
  </si>
  <si>
    <t>다음 중 '만 23세 나이 제한'이 있는 축구 경기가 아닌 것은?</t>
  </si>
  <si>
    <t>올림픽 축구</t>
    <phoneticPr fontId="1" type="noConversion"/>
  </si>
  <si>
    <t>AFC 아시안컵</t>
    <phoneticPr fontId="1" type="noConversion"/>
  </si>
  <si>
    <t>아시안게임 축구</t>
    <phoneticPr fontId="1" type="noConversion"/>
  </si>
  <si>
    <t>[진실/거짓] "기차에는 안전벨트가 없다."</t>
  </si>
  <si>
    <t>진실</t>
    <phoneticPr fontId="1" type="noConversion"/>
  </si>
  <si>
    <t>혹은</t>
    <phoneticPr fontId="1" type="noConversion"/>
  </si>
  <si>
    <t>거짓</t>
    <phoneticPr fontId="1" type="noConversion"/>
  </si>
  <si>
    <t>보행자 안전을 위한 '생활도로구역'의 자동차 제한 속도 기준은?</t>
  </si>
  <si>
    <t>시속 20km</t>
    <phoneticPr fontId="1" type="noConversion"/>
  </si>
  <si>
    <t>시속 30km</t>
    <phoneticPr fontId="1" type="noConversion"/>
  </si>
  <si>
    <t>시속 40km</t>
    <phoneticPr fontId="1" type="noConversion"/>
  </si>
  <si>
    <t>페루에 있는 세계문화유산으로, 땅 뒤에 그려진 가장 큰 그림은?</t>
  </si>
  <si>
    <t>아레키파 지상화</t>
    <phoneticPr fontId="1" type="noConversion"/>
  </si>
  <si>
    <t>나스카 지상화</t>
    <phoneticPr fontId="1" type="noConversion"/>
  </si>
  <si>
    <t>리마 지상화</t>
    <phoneticPr fontId="1" type="noConversion"/>
  </si>
  <si>
    <t>다음 중 영토가 적도에 걸쳐있는 나라는?</t>
  </si>
  <si>
    <t>적도기니</t>
    <phoneticPr fontId="1" type="noConversion"/>
  </si>
  <si>
    <t>나이지리아</t>
    <phoneticPr fontId="1" type="noConversion"/>
  </si>
  <si>
    <t>브라질</t>
    <phoneticPr fontId="1" type="noConversion"/>
  </si>
  <si>
    <t>"헨젤과 그레텔은 00으로 만든 집을 발견했다." 빈칸은?</t>
  </si>
  <si>
    <t>국자</t>
    <phoneticPr fontId="1" type="noConversion"/>
  </si>
  <si>
    <t>과자</t>
    <phoneticPr fontId="1" type="noConversion"/>
  </si>
  <si>
    <t>겨자</t>
    <phoneticPr fontId="1" type="noConversion"/>
  </si>
  <si>
    <t>과일 '용과(Dragon fruit)'는 어떤 식물의 열매일까?</t>
  </si>
  <si>
    <t>선인장</t>
    <phoneticPr fontId="1" type="noConversion"/>
  </si>
  <si>
    <t>야자나무</t>
    <phoneticPr fontId="1" type="noConversion"/>
  </si>
  <si>
    <t>덩굴 식물</t>
    <phoneticPr fontId="1" type="noConversion"/>
  </si>
  <si>
    <t>만약 인생이 재미 없다며 그것은 비극일 것이다'는 말을 남긴 과학자는?</t>
  </si>
  <si>
    <t>마리 쿼리</t>
    <phoneticPr fontId="1" type="noConversion"/>
  </si>
  <si>
    <t>스티븐 호킹</t>
    <phoneticPr fontId="1" type="noConversion"/>
  </si>
  <si>
    <t>아인슈타인</t>
    <phoneticPr fontId="1" type="noConversion"/>
  </si>
  <si>
    <t>빛을 이용해 와이파이보다 100배 이상 빠른 통신기술을 가리키는 말은?</t>
  </si>
  <si>
    <t>마이파이</t>
    <phoneticPr fontId="1" type="noConversion"/>
  </si>
  <si>
    <t>라이파이</t>
    <phoneticPr fontId="1" type="noConversion"/>
  </si>
  <si>
    <t>플라스마</t>
    <phoneticPr fontId="1" type="noConversion"/>
  </si>
  <si>
    <t>태풍의 이름을 정하는 '태풍위원회'에 속하지 않는 나라는?</t>
  </si>
  <si>
    <t>북한</t>
    <phoneticPr fontId="1" type="noConversion"/>
  </si>
  <si>
    <t>미국</t>
    <phoneticPr fontId="1" type="noConversion"/>
  </si>
  <si>
    <t>인도</t>
    <phoneticPr fontId="1" type="noConversion"/>
  </si>
  <si>
    <t>찜닭</t>
  </si>
  <si>
    <t>거부 반응</t>
  </si>
  <si>
    <t>젖은 신발을 신는다</t>
  </si>
  <si>
    <t>조종실</t>
  </si>
  <si>
    <t>아시안게임 축구</t>
  </si>
  <si>
    <t>거짓</t>
  </si>
  <si>
    <t>시속 40km</t>
  </si>
  <si>
    <t>리마 지상화</t>
  </si>
  <si>
    <t>겨자</t>
  </si>
  <si>
    <t>덩굴 식물</t>
  </si>
  <si>
    <t>플라스마</t>
  </si>
  <si>
    <t>다음 중 답이 다른 것은?</t>
    <phoneticPr fontId="1" type="noConversion"/>
  </si>
  <si>
    <t>5+5</t>
    <phoneticPr fontId="1" type="noConversion"/>
  </si>
  <si>
    <t>9+1</t>
    <phoneticPr fontId="1" type="noConversion"/>
  </si>
  <si>
    <t>6+3</t>
    <phoneticPr fontId="1" type="noConversion"/>
  </si>
  <si>
    <t>‘□ 좋다, □사납다, □불견’ □에 공통으로 들어갈 말은?</t>
    <phoneticPr fontId="1" type="noConversion"/>
  </si>
  <si>
    <t>꼴</t>
    <phoneticPr fontId="1" type="noConversion"/>
  </si>
  <si>
    <t>딱</t>
    <phoneticPr fontId="1" type="noConversion"/>
  </si>
  <si>
    <t>예전에 있던 영화·음약·드라마 등을 새롭게 다시 만드는 것은?</t>
    <phoneticPr fontId="1" type="noConversion"/>
  </si>
  <si>
    <t>리바운드</t>
    <phoneticPr fontId="1" type="noConversion"/>
  </si>
  <si>
    <t>리얼리티</t>
    <phoneticPr fontId="1" type="noConversion"/>
  </si>
  <si>
    <t>리메이크</t>
    <phoneticPr fontId="1" type="noConversion"/>
  </si>
  <si>
    <t>동화 ‘빨간 모자, 양치기 소년, 아기돼지 삼형제’에 공통으로 등장하는 동물은?</t>
    <phoneticPr fontId="1" type="noConversion"/>
  </si>
  <si>
    <t>늑대</t>
    <phoneticPr fontId="1" type="noConversion"/>
  </si>
  <si>
    <t>페이큐에서 획득한 포인트는 □에서 포인트로 교환한 뒤 현금처럼 쓸 수 있다.</t>
    <phoneticPr fontId="1" type="noConversion"/>
  </si>
  <si>
    <t>OK 캐시백</t>
    <phoneticPr fontId="1" type="noConversion"/>
  </si>
  <si>
    <t>해피 포인트</t>
    <phoneticPr fontId="1" type="noConversion"/>
  </si>
  <si>
    <t>&lt;모나리자&gt;를 소장하고 있는 곳은?</t>
    <phoneticPr fontId="1" type="noConversion"/>
  </si>
  <si>
    <t>바티칸 박물관</t>
    <phoneticPr fontId="1" type="noConversion"/>
  </si>
  <si>
    <t>루브르 박물관</t>
    <phoneticPr fontId="1" type="noConversion"/>
  </si>
  <si>
    <t>오르세 미술관</t>
    <phoneticPr fontId="1" type="noConversion"/>
  </si>
  <si>
    <t>옷 사이즈 ‘XL’에서 ‘X’는 무엇의 약자일까?</t>
    <phoneticPr fontId="1" type="noConversion"/>
  </si>
  <si>
    <t>extra</t>
    <phoneticPr fontId="1" type="noConversion"/>
  </si>
  <si>
    <t>다음 중 ‘팟티’에서 청취할 수 없는 콘텐츠는?</t>
    <phoneticPr fontId="1" type="noConversion"/>
  </si>
  <si>
    <t>신해철의 고스트스테이션</t>
    <phoneticPr fontId="1" type="noConversion"/>
  </si>
  <si>
    <t>미운 우리 새끼</t>
    <phoneticPr fontId="1" type="noConversion"/>
  </si>
  <si>
    <t>‘사람의 본성은 근본적으로 악(惡)하다’는 학설을 주장한 사람은?</t>
    <phoneticPr fontId="1" type="noConversion"/>
  </si>
  <si>
    <t>공자</t>
    <phoneticPr fontId="1" type="noConversion"/>
  </si>
  <si>
    <t>순자</t>
    <phoneticPr fontId="1" type="noConversion"/>
  </si>
  <si>
    <t>맹자</t>
    <phoneticPr fontId="1" type="noConversion"/>
  </si>
  <si>
    <t>‘생김새가 선이 굵고 시원시원한 모양’을 가리키는 우리말은?</t>
    <phoneticPr fontId="1" type="noConversion"/>
  </si>
  <si>
    <t>눔씰늠씰</t>
    <phoneticPr fontId="1" type="noConversion"/>
  </si>
  <si>
    <t>아리아리</t>
    <phoneticPr fontId="1" type="noConversion"/>
  </si>
  <si>
    <t>억실억실</t>
    <phoneticPr fontId="1" type="noConversion"/>
  </si>
  <si>
    <t>김동리의 단편 소설 제목이자 사람의 키만한 크기의 불상을 뜻하는 말은?</t>
    <phoneticPr fontId="1" type="noConversion"/>
  </si>
  <si>
    <t>와불</t>
    <phoneticPr fontId="1" type="noConversion"/>
  </si>
  <si>
    <t>등신불</t>
    <phoneticPr fontId="1" type="noConversion"/>
  </si>
  <si>
    <t>마애불</t>
    <phoneticPr fontId="1" type="noConversion"/>
  </si>
  <si>
    <t>다음 중 하나의 과제를 여러 단계로 세분화해서 하나씩 해결해나가는 협상 기술은?</t>
    <phoneticPr fontId="1" type="noConversion"/>
  </si>
  <si>
    <t>살라미 전술</t>
    <phoneticPr fontId="1" type="noConversion"/>
  </si>
  <si>
    <t>벼랑끝 전술</t>
    <phoneticPr fontId="1" type="noConversion"/>
  </si>
  <si>
    <t>하이볼 전략</t>
    <phoneticPr fontId="1" type="noConversion"/>
  </si>
  <si>
    <t>하천에 의해 침식된 골짜기에 해수면이 상승하여 만들어진 해안은?</t>
    <phoneticPr fontId="1" type="noConversion"/>
  </si>
  <si>
    <t>피오르드식 해안</t>
    <phoneticPr fontId="1" type="noConversion"/>
  </si>
  <si>
    <t>리아스식 해안</t>
    <phoneticPr fontId="1" type="noConversion"/>
  </si>
  <si>
    <t>아드리아식 해안</t>
    <phoneticPr fontId="1" type="noConversion"/>
  </si>
  <si>
    <t>정조가 즉위하여 세운 왕립도서관은?</t>
    <phoneticPr fontId="1" type="noConversion"/>
  </si>
  <si>
    <t>규장각</t>
    <phoneticPr fontId="1" type="noConversion"/>
  </si>
  <si>
    <t>집현전</t>
    <phoneticPr fontId="1" type="noConversion"/>
  </si>
  <si>
    <t>성균관</t>
    <phoneticPr fontId="1" type="noConversion"/>
  </si>
  <si>
    <t>예금자보험에 가입한 금융기관이 파산할 때, 예금자 1인이 돌려 받을 수 있는 최대 금액은?</t>
    <phoneticPr fontId="1" type="noConversion"/>
  </si>
  <si>
    <t>4000만원</t>
    <phoneticPr fontId="1" type="noConversion"/>
  </si>
  <si>
    <t>4500만원</t>
    <phoneticPr fontId="1" type="noConversion"/>
  </si>
  <si>
    <t>5000만원</t>
    <phoneticPr fontId="1" type="noConversion"/>
  </si>
  <si>
    <t>사람이 단 한 번도 듣거나 배운 적이 없는 언어를 구사하는 현상은?</t>
    <phoneticPr fontId="1" type="noConversion"/>
  </si>
  <si>
    <t>몬더 그린</t>
    <phoneticPr fontId="1" type="noConversion"/>
  </si>
  <si>
    <t>정치와 연예인의 합성어로 ‘연예인 출신의 정치인’을 일컫는 말은?</t>
    <phoneticPr fontId="1" type="noConversion"/>
  </si>
  <si>
    <t>폴리에스터</t>
    <phoneticPr fontId="1" type="noConversion"/>
  </si>
  <si>
    <t>폴리테이너</t>
    <phoneticPr fontId="1" type="noConversion"/>
  </si>
  <si>
    <t>폴래티나데이터</t>
    <phoneticPr fontId="1" type="noConversion"/>
  </si>
  <si>
    <t>아시아-태평양 지역의 경제협력 증대를 위한 역내 정상들의 협의기구는?</t>
    <phoneticPr fontId="1" type="noConversion"/>
  </si>
  <si>
    <t xml:space="preserve">OECD </t>
    <phoneticPr fontId="1" type="noConversion"/>
  </si>
  <si>
    <t>G20</t>
    <phoneticPr fontId="1" type="noConversion"/>
  </si>
  <si>
    <t>APEC</t>
    <phoneticPr fontId="1" type="noConversion"/>
  </si>
  <si>
    <t>다음 중 달에 착륙하지 못한 우주선은?</t>
    <phoneticPr fontId="1" type="noConversion"/>
  </si>
  <si>
    <t>아폴로12</t>
    <phoneticPr fontId="1" type="noConversion"/>
  </si>
  <si>
    <t>아폴로14</t>
    <phoneticPr fontId="1" type="noConversion"/>
  </si>
  <si>
    <t>영어 표현 ‘Neck and neck’의 뜻은?</t>
    <phoneticPr fontId="1" type="noConversion"/>
  </si>
  <si>
    <t>다다익선</t>
    <phoneticPr fontId="1" type="noConversion"/>
  </si>
  <si>
    <t>막상막하</t>
    <phoneticPr fontId="1" type="noConversion"/>
  </si>
  <si>
    <t>죽은 이의 부정을 깨끗이 씻어 주어 극락으로 보내는 전라남도 지방의 굿은?</t>
    <phoneticPr fontId="1" type="noConversion"/>
  </si>
  <si>
    <t>몸굿</t>
    <phoneticPr fontId="1" type="noConversion"/>
  </si>
  <si>
    <t>씻김굿</t>
    <phoneticPr fontId="1" type="noConversion"/>
  </si>
  <si>
    <t>여탐굿</t>
    <phoneticPr fontId="1" type="noConversion"/>
  </si>
  <si>
    <t>이탈리아의 ‘마르코 폴로’가 동방을 여행하며 겪은 체험담을 기록한 책은?</t>
    <phoneticPr fontId="1" type="noConversion"/>
  </si>
  <si>
    <t>하멜표류기</t>
    <phoneticPr fontId="1" type="noConversion"/>
  </si>
  <si>
    <t>동방견문록</t>
    <phoneticPr fontId="1" type="noConversion"/>
  </si>
  <si>
    <t>몽골제국기행</t>
    <phoneticPr fontId="1" type="noConversion"/>
  </si>
  <si>
    <t>‘통계·수학·PC를 이용, 현상에서 법칙을 찾아내는 일을 하는 사람’을 뜻하는 말은?</t>
    <phoneticPr fontId="1" type="noConversion"/>
  </si>
  <si>
    <t>유비쿼터스 엔지니어</t>
    <phoneticPr fontId="1" type="noConversion"/>
  </si>
  <si>
    <t>퀸츠애널리스트</t>
    <phoneticPr fontId="1" type="noConversion"/>
  </si>
  <si>
    <t>데이터 사이언티스트</t>
    <phoneticPr fontId="1" type="noConversion"/>
  </si>
  <si>
    <t>다음 신체 활동 중 한자로 된 단어는?</t>
    <phoneticPr fontId="1" type="noConversion"/>
  </si>
  <si>
    <t>방귀</t>
    <phoneticPr fontId="1" type="noConversion"/>
  </si>
  <si>
    <t>하품</t>
    <phoneticPr fontId="1" type="noConversion"/>
  </si>
  <si>
    <t>기절</t>
    <phoneticPr fontId="1" type="noConversion"/>
  </si>
  <si>
    <t>다음 중 &lt;위대한 개츠비&gt;의 작가 ‘스콧 피츠제럴드’의 뮤즈는?</t>
    <phoneticPr fontId="1" type="noConversion"/>
  </si>
  <si>
    <t>오노 요코</t>
    <phoneticPr fontId="1" type="noConversion"/>
  </si>
  <si>
    <t>젤다</t>
    <phoneticPr fontId="1" type="noConversion"/>
  </si>
  <si>
    <t>갈라</t>
    <phoneticPr fontId="1" type="noConversion"/>
  </si>
  <si>
    <t>정치인들이 지역주민의 인기를 얻기 위해 정부의 예산을 최대한 많이 확보하는 것은?</t>
    <phoneticPr fontId="1" type="noConversion"/>
  </si>
  <si>
    <t>콜렛-헤이그 규칙</t>
    <phoneticPr fontId="1" type="noConversion"/>
  </si>
  <si>
    <t>포크배럴</t>
    <phoneticPr fontId="1" type="noConversion"/>
  </si>
  <si>
    <t>넷크래커</t>
    <phoneticPr fontId="1" type="noConversion"/>
  </si>
  <si>
    <t>특별한 생각이나 이유없이 남을 따라하는 행위를 뜻하는 것은?</t>
    <phoneticPr fontId="1" type="noConversion"/>
  </si>
  <si>
    <t>파랑새 신드롬</t>
    <phoneticPr fontId="1" type="noConversion"/>
  </si>
  <si>
    <t>바나나 신드롬</t>
    <phoneticPr fontId="1" type="noConversion"/>
  </si>
  <si>
    <t>레밍 신드롬</t>
    <phoneticPr fontId="1" type="noConversion"/>
  </si>
  <si>
    <t>원소 주기율표 1족 1주기에 속하는 원소는?</t>
    <phoneticPr fontId="1" type="noConversion"/>
  </si>
  <si>
    <t>리튬</t>
    <phoneticPr fontId="1" type="noConversion"/>
  </si>
  <si>
    <t>산소</t>
    <phoneticPr fontId="1" type="noConversion"/>
  </si>
  <si>
    <t>다음 김유정의 소설 중 여주인공 이름이 다른 것은?</t>
    <phoneticPr fontId="1" type="noConversion"/>
  </si>
  <si>
    <t>소낙비</t>
    <phoneticPr fontId="1" type="noConversion"/>
  </si>
  <si>
    <t>봄봄</t>
    <phoneticPr fontId="1" type="noConversion"/>
  </si>
  <si>
    <t>동백꽃</t>
    <phoneticPr fontId="1" type="noConversion"/>
  </si>
  <si>
    <t>만화 &lt;드래곤볼&gt;에서 드래곤볼에 새겨진 별의 개수의 합은?</t>
    <phoneticPr fontId="1" type="noConversion"/>
  </si>
  <si>
    <t>남인수</t>
    <phoneticPr fontId="1" type="noConversion"/>
  </si>
  <si>
    <t>1980년대에 출시됐으며 각기 다른 모양의 블록을 이용한 게임은?</t>
    <phoneticPr fontId="1" type="noConversion"/>
  </si>
  <si>
    <t>테트리스</t>
    <phoneticPr fontId="1" type="noConversion"/>
  </si>
  <si>
    <t>페르시아 왕자</t>
    <phoneticPr fontId="1" type="noConversion"/>
  </si>
  <si>
    <t>한게임 신맞고</t>
    <phoneticPr fontId="1" type="noConversion"/>
  </si>
  <si>
    <t>애플에서 출시한 무선 블루투스 이어폰은?</t>
    <phoneticPr fontId="1" type="noConversion"/>
  </si>
  <si>
    <t>에어팟</t>
    <phoneticPr fontId="1" type="noConversion"/>
  </si>
  <si>
    <t>기어팟</t>
    <phoneticPr fontId="1" type="noConversion"/>
  </si>
  <si>
    <t>슈퍼팟</t>
    <phoneticPr fontId="1" type="noConversion"/>
  </si>
  <si>
    <t>1972년에 가치가 드러난 세계최초의 금속활자본은?</t>
    <phoneticPr fontId="1" type="noConversion"/>
  </si>
  <si>
    <t>상정고금예문</t>
    <phoneticPr fontId="1" type="noConversion"/>
  </si>
  <si>
    <t>직지심체요절</t>
    <phoneticPr fontId="1" type="noConversion"/>
  </si>
  <si>
    <t>동국이상국집</t>
    <phoneticPr fontId="1" type="noConversion"/>
  </si>
  <si>
    <t>현재 일본 총리 이름은?</t>
    <phoneticPr fontId="1" type="noConversion"/>
  </si>
  <si>
    <t>고이즈미 준이치로</t>
    <phoneticPr fontId="1" type="noConversion"/>
  </si>
  <si>
    <t>아베 신조</t>
    <phoneticPr fontId="1" type="noConversion"/>
  </si>
  <si>
    <t>노다 요시히코</t>
    <phoneticPr fontId="1" type="noConversion"/>
  </si>
  <si>
    <t>포브스가 선정한 한국 부자 50위 중 1위는? (2018.06 기준)</t>
    <phoneticPr fontId="1" type="noConversion"/>
  </si>
  <si>
    <t>이건희(삼성전자 회장)</t>
    <phoneticPr fontId="1" type="noConversion"/>
  </si>
  <si>
    <t>이재용(삼성전자 부회장)</t>
    <phoneticPr fontId="1" type="noConversion"/>
  </si>
  <si>
    <t>서정진(셀트리온 회장)</t>
    <phoneticPr fontId="1" type="noConversion"/>
  </si>
  <si>
    <t>다음 중 영어권에서 사용하지 않는 단어는?</t>
    <phoneticPr fontId="1" type="noConversion"/>
  </si>
  <si>
    <t xml:space="preserve">Y-Shirts </t>
    <phoneticPr fontId="1" type="noConversion"/>
  </si>
  <si>
    <t>Coke</t>
    <phoneticPr fontId="1" type="noConversion"/>
  </si>
  <si>
    <t>Digicam</t>
    <phoneticPr fontId="1" type="noConversion"/>
  </si>
  <si>
    <t>125cc 미만의 스쿠터 오토바이 면허 발급가능 나이는?(우리나라)</t>
    <phoneticPr fontId="1" type="noConversion"/>
  </si>
  <si>
    <t>만 16세 이상</t>
    <phoneticPr fontId="1" type="noConversion"/>
  </si>
  <si>
    <t>만 17세 이상</t>
    <phoneticPr fontId="1" type="noConversion"/>
  </si>
  <si>
    <t>만 18세 이상</t>
    <phoneticPr fontId="1" type="noConversion"/>
  </si>
  <si>
    <t>자기장을 이용해 하드디스크를 물리적으로 복구 불가능하게 지우는 것은?</t>
    <phoneticPr fontId="1" type="noConversion"/>
  </si>
  <si>
    <t>디가우징</t>
    <phoneticPr fontId="1" type="noConversion"/>
  </si>
  <si>
    <t>빠른포멧</t>
    <phoneticPr fontId="1" type="noConversion"/>
  </si>
  <si>
    <t>OS초기화</t>
    <phoneticPr fontId="1" type="noConversion"/>
  </si>
  <si>
    <t>집 안에서만 입는 옷이나 신발 등을 일컫는 단어는?</t>
    <phoneticPr fontId="1" type="noConversion"/>
  </si>
  <si>
    <t>내벌</t>
    <phoneticPr fontId="1" type="noConversion"/>
  </si>
  <si>
    <t>든벌</t>
    <phoneticPr fontId="1" type="noConversion"/>
  </si>
  <si>
    <t>다음 중 임명시 국회의 동의가 필요하지 않은 직책은?</t>
    <phoneticPr fontId="1" type="noConversion"/>
  </si>
  <si>
    <t>감사원장</t>
    <phoneticPr fontId="1" type="noConversion"/>
  </si>
  <si>
    <t>대법원장</t>
    <phoneticPr fontId="1" type="noConversion"/>
  </si>
  <si>
    <t>국세청장</t>
    <phoneticPr fontId="1" type="noConversion"/>
  </si>
  <si>
    <t>‘운명’을 한자로 바르게 표기한 것은?</t>
    <phoneticPr fontId="1" type="noConversion"/>
  </si>
  <si>
    <t>雲命</t>
    <phoneticPr fontId="1" type="noConversion"/>
  </si>
  <si>
    <t>運明</t>
    <phoneticPr fontId="1" type="noConversion"/>
  </si>
  <si>
    <t>運命</t>
    <phoneticPr fontId="1" type="noConversion"/>
  </si>
  <si>
    <t>다음 중 답이 다른 것은?</t>
    <phoneticPr fontId="1" type="noConversion"/>
  </si>
  <si>
    <t>1+0</t>
    <phoneticPr fontId="1" type="noConversion"/>
  </si>
  <si>
    <t>1×0</t>
    <phoneticPr fontId="1" type="noConversion"/>
  </si>
  <si>
    <t>인도네시아의 수도는?</t>
    <phoneticPr fontId="1" type="noConversion"/>
  </si>
  <si>
    <t>자카르타</t>
    <phoneticPr fontId="1" type="noConversion"/>
  </si>
  <si>
    <t>스파르타</t>
    <phoneticPr fontId="1" type="noConversion"/>
  </si>
  <si>
    <t>가타부타</t>
    <phoneticPr fontId="1" type="noConversion"/>
  </si>
  <si>
    <t>동요 ♪“엄마가 섬 그늘에 굴 따러 가면~”제목은?</t>
    <phoneticPr fontId="1" type="noConversion"/>
  </si>
  <si>
    <t>섬마을</t>
    <phoneticPr fontId="1" type="noConversion"/>
  </si>
  <si>
    <t>섬 그늘</t>
    <phoneticPr fontId="1" type="noConversion"/>
  </si>
  <si>
    <t xml:space="preserve">섬집 아기 </t>
    <phoneticPr fontId="1" type="noConversion"/>
  </si>
  <si>
    <t>&lt;두테르테, 마닐라, 페소&gt; 연상되는 나라는?</t>
    <phoneticPr fontId="1" type="noConversion"/>
  </si>
  <si>
    <t>말레이시아</t>
    <phoneticPr fontId="1" type="noConversion"/>
  </si>
  <si>
    <t>야구에서 ‘30-30클럽’이란?</t>
    <phoneticPr fontId="1" type="noConversion"/>
  </si>
  <si>
    <t>한 시즌 30홈런-30도루</t>
    <phoneticPr fontId="1" type="noConversion"/>
  </si>
  <si>
    <t>한 시즌 30홈런-30안타</t>
    <phoneticPr fontId="1" type="noConversion"/>
  </si>
  <si>
    <t>한 시즌 30안타-30도루</t>
    <phoneticPr fontId="1" type="noConversion"/>
  </si>
  <si>
    <t>‘IT(정보통신기술)’의 뜻은?</t>
    <phoneticPr fontId="1" type="noConversion"/>
  </si>
  <si>
    <t>Information Technology</t>
    <phoneticPr fontId="1" type="noConversion"/>
  </si>
  <si>
    <t>Independent Technology</t>
    <phoneticPr fontId="1" type="noConversion"/>
  </si>
  <si>
    <t>Industrial Technology</t>
    <phoneticPr fontId="1" type="noConversion"/>
  </si>
  <si>
    <t>오프라인 매장에서는 구경만 하고, 구매는 값이 싼 온라인 쇼핑몰을 이용하는 것은?</t>
    <phoneticPr fontId="1" type="noConversion"/>
  </si>
  <si>
    <t>파밍</t>
    <phoneticPr fontId="1" type="noConversion"/>
  </si>
  <si>
    <t>다음 중 임기가 가장 긴 사람은?</t>
    <phoneticPr fontId="1" type="noConversion"/>
  </si>
  <si>
    <t>국회의원 (4년)</t>
    <phoneticPr fontId="1" type="noConversion"/>
  </si>
  <si>
    <t>국회의장 (2년)</t>
    <phoneticPr fontId="1" type="noConversion"/>
  </si>
  <si>
    <t>대통령 (5년)</t>
    <phoneticPr fontId="1" type="noConversion"/>
  </si>
  <si>
    <t>특정회사의 상품명이 보통명사가 된 경우가 아닌 것은?</t>
    <phoneticPr fontId="1" type="noConversion"/>
  </si>
  <si>
    <t>포크레인</t>
    <phoneticPr fontId="1" type="noConversion"/>
  </si>
  <si>
    <t>클락션</t>
    <phoneticPr fontId="1" type="noConversion"/>
  </si>
  <si>
    <t>호프</t>
    <phoneticPr fontId="1" type="noConversion"/>
  </si>
  <si>
    <t>시간이 지남에 따라, 과거의 가격과 현재의 가격을 비교하여 비율로 표시한 것은?</t>
    <phoneticPr fontId="1" type="noConversion"/>
  </si>
  <si>
    <t>가격목표률</t>
    <phoneticPr fontId="1" type="noConversion"/>
  </si>
  <si>
    <t>가격변동률</t>
    <phoneticPr fontId="1" type="noConversion"/>
  </si>
  <si>
    <t>“내 몸매는 파스타로 만들어졌어요”라고 말한 세계적인 여배우는?</t>
    <phoneticPr fontId="1" type="noConversion"/>
  </si>
  <si>
    <t>소피아 로렌</t>
    <phoneticPr fontId="1" type="noConversion"/>
  </si>
  <si>
    <t>비비안 리</t>
    <phoneticPr fontId="1" type="noConversion"/>
  </si>
  <si>
    <t>오드리 헵번</t>
    <phoneticPr fontId="1" type="noConversion"/>
  </si>
  <si>
    <t>4년마다 개최되는 대회는?</t>
    <phoneticPr fontId="1" type="noConversion"/>
  </si>
  <si>
    <t>유니버시아드</t>
    <phoneticPr fontId="1" type="noConversion"/>
  </si>
  <si>
    <t>세계 잼버리 대회</t>
    <phoneticPr fontId="1" type="noConversion"/>
  </si>
  <si>
    <t>쇼팽 국제 피아노 콩쿠르</t>
    <phoneticPr fontId="1" type="noConversion"/>
  </si>
  <si>
    <t>오늘 기상 정보 "제주, 남해안 강한 비바람, 내륙 00더위" 빈칸은?</t>
    <phoneticPr fontId="1" type="noConversion"/>
  </si>
  <si>
    <t>찜통</t>
    <phoneticPr fontId="1" type="noConversion"/>
  </si>
  <si>
    <t>찜꽁</t>
    <phoneticPr fontId="1" type="noConversion"/>
  </si>
  <si>
    <t>빨갛던 삼겹살을 구우면 '이 반응'에 의하여 갈색이 된다. 무엇일까?</t>
    <phoneticPr fontId="1" type="noConversion"/>
  </si>
  <si>
    <t>과민 반응</t>
    <phoneticPr fontId="1" type="noConversion"/>
  </si>
  <si>
    <t>마이아르 반응</t>
    <phoneticPr fontId="1" type="noConversion"/>
  </si>
  <si>
    <t>다음 중 마약 탐지, 인명 구조, 범인 추적을 할 수 있는 동물은?</t>
    <phoneticPr fontId="1" type="noConversion"/>
  </si>
  <si>
    <t>게</t>
    <phoneticPr fontId="1" type="noConversion"/>
  </si>
  <si>
    <t>반달가슴곰</t>
    <phoneticPr fontId="1" type="noConversion"/>
  </si>
  <si>
    <t>여름철 발생하기 쉬운 질환 무좀! 예방하는 방법이 아닌 것은?</t>
    <phoneticPr fontId="1" type="noConversion"/>
  </si>
  <si>
    <t>발을 자주 씻는다</t>
    <phoneticPr fontId="1" type="noConversion"/>
  </si>
  <si>
    <t>씻고 날 후 잘 말린다</t>
    <phoneticPr fontId="1" type="noConversion"/>
  </si>
  <si>
    <t>흡연이 불법인 비행기 내부에 재떨이가 설치된 장소가 있다. 어디일까?</t>
    <phoneticPr fontId="1" type="noConversion"/>
  </si>
  <si>
    <t>승무원 침실</t>
    <phoneticPr fontId="1" type="noConversion"/>
  </si>
  <si>
    <t>다음 중 '만 23세 나이 제한'이 있는 축구 경기가 아닌 것은?</t>
    <phoneticPr fontId="1" type="noConversion"/>
  </si>
  <si>
    <t>올림픽 축구</t>
    <phoneticPr fontId="1" type="noConversion"/>
  </si>
  <si>
    <t>AFC 아시안컵</t>
    <phoneticPr fontId="1" type="noConversion"/>
  </si>
  <si>
    <t>[진실/거짓] "기차에는 안전벨트가 없다."</t>
    <phoneticPr fontId="1" type="noConversion"/>
  </si>
  <si>
    <t>진실</t>
    <phoneticPr fontId="1" type="noConversion"/>
  </si>
  <si>
    <t>혹은</t>
    <phoneticPr fontId="1" type="noConversion"/>
  </si>
  <si>
    <t>보행자 안전을 위한 '생활도로구역'의 자동차 제한 속도 기준은?</t>
    <phoneticPr fontId="1" type="noConversion"/>
  </si>
  <si>
    <t>시속 20km</t>
    <phoneticPr fontId="1" type="noConversion"/>
  </si>
  <si>
    <t>시속 30km</t>
    <phoneticPr fontId="1" type="noConversion"/>
  </si>
  <si>
    <t>페루에 있는 세계문화유산으로, 땅 뒤에 그려진 가장 큰 그림은?</t>
    <phoneticPr fontId="1" type="noConversion"/>
  </si>
  <si>
    <t>아레키파 지상화</t>
    <phoneticPr fontId="1" type="noConversion"/>
  </si>
  <si>
    <t>나스카 지상화</t>
    <phoneticPr fontId="1" type="noConversion"/>
  </si>
  <si>
    <t>다음 중 영토가 적도에 걸쳐있는 나라는?</t>
    <phoneticPr fontId="1" type="noConversion"/>
  </si>
  <si>
    <t>적도기니</t>
    <phoneticPr fontId="1" type="noConversion"/>
  </si>
  <si>
    <t>나이지리아</t>
    <phoneticPr fontId="1" type="noConversion"/>
  </si>
  <si>
    <t>"헨젤과 그레텔은 00으로 만든 집을 발견했다." 빈칸은?</t>
    <phoneticPr fontId="1" type="noConversion"/>
  </si>
  <si>
    <t>국자</t>
    <phoneticPr fontId="1" type="noConversion"/>
  </si>
  <si>
    <t>과자</t>
    <phoneticPr fontId="1" type="noConversion"/>
  </si>
  <si>
    <t>과일 '용과(Dragon fruit)'는 어떤 식물의 열매일까?</t>
    <phoneticPr fontId="1" type="noConversion"/>
  </si>
  <si>
    <t>선인장</t>
    <phoneticPr fontId="1" type="noConversion"/>
  </si>
  <si>
    <t>야자나무</t>
    <phoneticPr fontId="1" type="noConversion"/>
  </si>
  <si>
    <t>만약 인생이 재미 없다며 그것은 비극일 것이다'는 말을 남긴 과학자는?</t>
    <phoneticPr fontId="1" type="noConversion"/>
  </si>
  <si>
    <t>마리 쿼리</t>
    <phoneticPr fontId="1" type="noConversion"/>
  </si>
  <si>
    <t>스티븐 호킹</t>
    <phoneticPr fontId="1" type="noConversion"/>
  </si>
  <si>
    <t>빛을 이용해 와이파이보다 100배 이상 빠른 통신기술을 가리키는 말은?</t>
    <phoneticPr fontId="1" type="noConversion"/>
  </si>
  <si>
    <t>마이파이</t>
    <phoneticPr fontId="1" type="noConversion"/>
  </si>
  <si>
    <t>라이파이</t>
    <phoneticPr fontId="1" type="noConversion"/>
  </si>
  <si>
    <t>태풍의 이름을 정하는 '태풍위원회'에 속하지 않는 나라는?</t>
    <phoneticPr fontId="1" type="noConversion"/>
  </si>
  <si>
    <t>A.  허리케인</t>
  </si>
  <si>
    <t>1. 국내 영업 중인 편의점이 아닌 것은?</t>
  </si>
  <si>
    <t>A.  CU</t>
  </si>
  <si>
    <t>B.  GS25</t>
  </si>
  <si>
    <r>
      <t>C.  </t>
    </r>
    <r>
      <rPr>
        <sz val="12"/>
        <color rgb="FFFF0000"/>
        <rFont val="Arial"/>
        <family val="2"/>
      </rPr>
      <t>위닝일레븐</t>
    </r>
  </si>
  <si>
    <t>2. 괄호 안에 알맞은 단어는? 윤동주 시인의 '별 헤는 (   )'</t>
  </si>
  <si>
    <r>
      <t>A.  </t>
    </r>
    <r>
      <rPr>
        <sz val="12"/>
        <color rgb="FFFF0000"/>
        <rFont val="Arial"/>
        <family val="2"/>
      </rPr>
      <t>밤</t>
    </r>
  </si>
  <si>
    <t>B.  날</t>
  </si>
  <si>
    <t>C.  낮</t>
  </si>
  <si>
    <t>3. 소, 돼지의 소장을 뜻하는 말로 최근 마마무의 화사가 '[   ] 언니'로 등극하며 열풍이 불고 있다. [   ]은?</t>
  </si>
  <si>
    <t>A.  삼겹살</t>
  </si>
  <si>
    <r>
      <t>B.  </t>
    </r>
    <r>
      <rPr>
        <sz val="12"/>
        <color rgb="FFFF0000"/>
        <rFont val="Arial"/>
        <family val="2"/>
      </rPr>
      <t>곱창</t>
    </r>
  </si>
  <si>
    <t>C.  마구로</t>
  </si>
  <si>
    <t>4. 과학적으로 설명 할 수 없는 이 현상을 일컫는 말은?</t>
  </si>
  <si>
    <r>
      <t>A.  </t>
    </r>
    <r>
      <rPr>
        <sz val="12"/>
        <color rgb="FFFF0000"/>
        <rFont val="Arial"/>
        <family val="2"/>
      </rPr>
      <t>미스터리 서클</t>
    </r>
  </si>
  <si>
    <t>B.  언노잉 서클</t>
  </si>
  <si>
    <t>C.  언더스탠딩 서클</t>
  </si>
  <si>
    <t>5. 승점이 같을 경우 해당 팀 간 전적을 우선시하여 승자를 가리는 방식은?</t>
  </si>
  <si>
    <t>A.  부전승 원칙</t>
  </si>
  <si>
    <r>
      <t>B.  </t>
    </r>
    <r>
      <rPr>
        <sz val="12"/>
        <color rgb="FFFF0000"/>
        <rFont val="Arial"/>
        <family val="2"/>
      </rPr>
      <t>승자승 원칙</t>
    </r>
  </si>
  <si>
    <t>C.  구본승 원칙</t>
  </si>
  <si>
    <t>6. 애니메이션 &lt;라이온킹&gt;에 등장하는 주인공의 좌우명인 '하쿠나마타타'의 뜻은?</t>
  </si>
  <si>
    <t>A.  놀고먹자</t>
  </si>
  <si>
    <t>B.  이게 인생이야</t>
  </si>
  <si>
    <r>
      <t>C.  </t>
    </r>
    <r>
      <rPr>
        <sz val="12"/>
        <color rgb="FFFF0000"/>
        <rFont val="Arial"/>
        <family val="2"/>
      </rPr>
      <t>다 잘될 거야</t>
    </r>
  </si>
  <si>
    <t>7. 정사면체 모서리의 수는 총 몇 개일까?</t>
  </si>
  <si>
    <r>
      <t>A. </t>
    </r>
    <r>
      <rPr>
        <sz val="12"/>
        <color rgb="FFFF0000"/>
        <rFont val="Arial"/>
        <family val="2"/>
      </rPr>
      <t> 6개</t>
    </r>
  </si>
  <si>
    <t>B.  8개</t>
  </si>
  <si>
    <t>C.  12개</t>
  </si>
  <si>
    <t>8. head cold의 뜻은?</t>
  </si>
  <si>
    <t>A.  편두통</t>
  </si>
  <si>
    <r>
      <t>B.  </t>
    </r>
    <r>
      <rPr>
        <sz val="12"/>
        <color rgb="FFFF0000"/>
        <rFont val="Arial"/>
        <family val="2"/>
      </rPr>
      <t>코감기</t>
    </r>
  </si>
  <si>
    <t>C.  인후통</t>
  </si>
  <si>
    <t>9. 제주도 방언 '하영 속았수다'의 올바른 표준어는?</t>
  </si>
  <si>
    <t>A.  완전 반가워요</t>
  </si>
  <si>
    <t>B.  정말 속았구나</t>
  </si>
  <si>
    <r>
      <t>C.  </t>
    </r>
    <r>
      <rPr>
        <sz val="12"/>
        <color rgb="FFFF0000"/>
        <rFont val="Arial"/>
        <family val="2"/>
      </rPr>
      <t>많이 수고했어요</t>
    </r>
  </si>
  <si>
    <t>10. 토마토를 가리키는 말이 아닌 것은?</t>
  </si>
  <si>
    <r>
      <t>A.  </t>
    </r>
    <r>
      <rPr>
        <sz val="12"/>
        <color rgb="FFFF0000"/>
        <rFont val="Arial"/>
        <family val="2"/>
      </rPr>
      <t>적머위</t>
    </r>
  </si>
  <si>
    <t>B.  남만시</t>
  </si>
  <si>
    <t>C.  일년감</t>
  </si>
  <si>
    <t>11. 다음 중 기체가 물에 잘 녹는 가장 이상적인 조건은?</t>
  </si>
  <si>
    <t>A.  온도가 낮고 압력도 낮을 때</t>
  </si>
  <si>
    <r>
      <t>B.  </t>
    </r>
    <r>
      <rPr>
        <sz val="12"/>
        <color rgb="FFFF0000"/>
        <rFont val="Arial"/>
        <family val="2"/>
      </rPr>
      <t>온도가 낮고 압력이 높을 때</t>
    </r>
  </si>
  <si>
    <t>C.  온도가 높고 압력이 낮을 때</t>
  </si>
  <si>
    <t>12. 다음 중 '용'의 의미가 나머지와 다른 하나는?</t>
  </si>
  <si>
    <t>A.  용문점액</t>
  </si>
  <si>
    <t>B.  용양호시</t>
  </si>
  <si>
    <r>
      <t>C.  </t>
    </r>
    <r>
      <rPr>
        <sz val="12"/>
        <color rgb="FFFF0000"/>
        <rFont val="Arial"/>
        <family val="2"/>
      </rPr>
      <t>용의주도</t>
    </r>
  </si>
  <si>
    <t>1. 잼라이브를 영문으로 바르게 표기한 것은?</t>
  </si>
  <si>
    <r>
      <t>A.  </t>
    </r>
    <r>
      <rPr>
        <sz val="12"/>
        <color rgb="FFFF0000"/>
        <rFont val="Arial"/>
        <family val="2"/>
      </rPr>
      <t>JAM LIVE</t>
    </r>
  </si>
  <si>
    <t>B.  JEM LIVE</t>
  </si>
  <si>
    <t>C.  JAEM LIVE</t>
  </si>
  <si>
    <t>2. 지금 흘러나오는 이 음악으로 유명한 액션 블록버스터의 대명사로, 올해 7월 25일 개봉 예정인 이 영화의 제목은?</t>
  </si>
  <si>
    <t>A.  어벤져스: 인피니티 워</t>
  </si>
  <si>
    <r>
      <t>B.  </t>
    </r>
    <r>
      <rPr>
        <sz val="12"/>
        <color rgb="FFFF0000"/>
        <rFont val="Arial"/>
        <family val="2"/>
      </rPr>
      <t>미션 임파서블: 폴아웃</t>
    </r>
  </si>
  <si>
    <t>C.  007: 스카이폴</t>
  </si>
  <si>
    <t>3. 한자로 귀하고 값진 것이란 뜻으로, 옥과 구슬을 가리키는 이 단어는?</t>
  </si>
  <si>
    <t>A.  생지옥</t>
  </si>
  <si>
    <t>B.  감옥</t>
  </si>
  <si>
    <r>
      <t>C.  </t>
    </r>
    <r>
      <rPr>
        <sz val="12"/>
        <color rgb="FFFF0000"/>
        <rFont val="Arial"/>
        <family val="2"/>
      </rPr>
      <t>지옥</t>
    </r>
  </si>
  <si>
    <t>4. 방금 시청한 &lt;미션 임파서블: 폴아웃&gt; 영상에서 톰 크루즈의 운송수단이 아닌 것은?</t>
  </si>
  <si>
    <t>A.  헬리콥터</t>
  </si>
  <si>
    <r>
      <t>B.  </t>
    </r>
    <r>
      <rPr>
        <sz val="12"/>
        <color rgb="FFFF0000"/>
        <rFont val="Arial"/>
        <family val="2"/>
      </rPr>
      <t>자전거</t>
    </r>
  </si>
  <si>
    <t>C.  모터사이클</t>
  </si>
  <si>
    <t>5. 동물과 관련이 없는 사자성어는?</t>
  </si>
  <si>
    <t>A.  수구초심</t>
  </si>
  <si>
    <r>
      <t>B.  </t>
    </r>
    <r>
      <rPr>
        <sz val="12"/>
        <color rgb="FFFF0000"/>
        <rFont val="Arial"/>
        <family val="2"/>
      </rPr>
      <t>청출어람</t>
    </r>
  </si>
  <si>
    <t>C.  반포지효</t>
  </si>
  <si>
    <t>6. 보석업계에서 4대 보석으로 간주되는 보석이 아닌 것은?</t>
  </si>
  <si>
    <r>
      <t>A.  </t>
    </r>
    <r>
      <rPr>
        <sz val="12"/>
        <color rgb="FFFF0000"/>
        <rFont val="Arial"/>
        <family val="2"/>
      </rPr>
      <t>진주</t>
    </r>
  </si>
  <si>
    <t>B.  루비</t>
  </si>
  <si>
    <t>C.  사파이어</t>
  </si>
  <si>
    <t>7. '바나나'는 아랍어로 무엇을 뜻할까?</t>
  </si>
  <si>
    <r>
      <t>A.  </t>
    </r>
    <r>
      <rPr>
        <sz val="12"/>
        <color rgb="FFFF0000"/>
        <rFont val="Arial"/>
        <family val="2"/>
      </rPr>
      <t>손가락</t>
    </r>
  </si>
  <si>
    <t>B.  노란색</t>
  </si>
  <si>
    <t>C.  사다리</t>
  </si>
  <si>
    <t>8. &lt;미션 임파서블: 폴아웃&gt; 개봉 기념으로 한국에 다시 방문한 톰 크루즈! 이번이 몇 번째 내한일까?</t>
  </si>
  <si>
    <t>A.  다섯 번째</t>
  </si>
  <si>
    <t>B.  일곱 번째</t>
  </si>
  <si>
    <r>
      <t>C. </t>
    </r>
    <r>
      <rPr>
        <sz val="12"/>
        <color rgb="FFFF0000"/>
        <rFont val="Arial"/>
        <family val="2"/>
      </rPr>
      <t> 아홉 번째</t>
    </r>
  </si>
  <si>
    <t>9. 기업 결합 형태를 칭하는 용어가 아닌 것은?</t>
  </si>
  <si>
    <t>A.  콘체른</t>
  </si>
  <si>
    <t>B.  트러스트</t>
  </si>
  <si>
    <r>
      <t>C.  </t>
    </r>
    <r>
      <rPr>
        <sz val="12"/>
        <color rgb="FFFF0000"/>
        <rFont val="Arial"/>
        <family val="2"/>
      </rPr>
      <t>파레콘</t>
    </r>
  </si>
  <si>
    <t>10. 디젤 엔진의 '디젤'은 어디에서 유래되었을까?</t>
  </si>
  <si>
    <t>A.  책 제목</t>
  </si>
  <si>
    <r>
      <t>B.  </t>
    </r>
    <r>
      <rPr>
        <sz val="12"/>
        <color rgb="FFFF0000"/>
        <rFont val="Arial"/>
        <family val="2"/>
      </rPr>
      <t>사람 이름</t>
    </r>
  </si>
  <si>
    <t>C.  기계 이름</t>
  </si>
  <si>
    <t>11. 실제로 존재하지 않는 식물은?</t>
  </si>
  <si>
    <r>
      <t>A.  </t>
    </r>
    <r>
      <rPr>
        <sz val="12"/>
        <color rgb="FFFF0000"/>
        <rFont val="Arial"/>
        <family val="2"/>
      </rPr>
      <t>깽땡이풀</t>
    </r>
  </si>
  <si>
    <t>B.  히어리</t>
  </si>
  <si>
    <t>C.  큰천남성</t>
  </si>
  <si>
    <t>12. 자신의 한 손이 자신의 의지와 상관없이 마음대로 움직이는 신경 질환은?</t>
  </si>
  <si>
    <t>A.  손목 터널 증후군</t>
  </si>
  <si>
    <t>B.  카그라스 증후군</t>
  </si>
  <si>
    <r>
      <t>C.  </t>
    </r>
    <r>
      <rPr>
        <sz val="12"/>
        <color rgb="FFFF0000"/>
        <rFont val="Arial"/>
        <family val="2"/>
      </rPr>
      <t>외계인 손 증후군</t>
    </r>
  </si>
  <si>
    <t>1. 다음 중 초복에 먹는 음식과 가장 거리가 먼 것은?</t>
  </si>
  <si>
    <t>A.  삼계탕</t>
  </si>
  <si>
    <t>B.  치킨</t>
  </si>
  <si>
    <r>
      <t>C.  </t>
    </r>
    <r>
      <rPr>
        <sz val="12"/>
        <color rgb="FFFF0000"/>
        <rFont val="Arial"/>
        <family val="2"/>
      </rPr>
      <t>베이컨 로제 스파게티</t>
    </r>
  </si>
  <si>
    <t>2. 국제 암 연구소가 발표한 발암물질이 아닌 것은?</t>
  </si>
  <si>
    <r>
      <t>A.  </t>
    </r>
    <r>
      <rPr>
        <sz val="12"/>
        <color rgb="FFFF0000"/>
        <rFont val="Arial"/>
        <family val="2"/>
      </rPr>
      <t>야근</t>
    </r>
  </si>
  <si>
    <t>B.  담배연기</t>
  </si>
  <si>
    <t>C.  알코올</t>
  </si>
  <si>
    <t>3. 지나치게 아는 체하며, 이래라저래라 하는 것을 이르는 신조어는?</t>
  </si>
  <si>
    <t>A.  미나리</t>
  </si>
  <si>
    <r>
      <t>B.  </t>
    </r>
    <r>
      <rPr>
        <sz val="12"/>
        <color rgb="FFFF0000"/>
        <rFont val="Arial"/>
        <family val="2"/>
      </rPr>
      <t>고나리</t>
    </r>
  </si>
  <si>
    <t>C.  빛나리</t>
  </si>
  <si>
    <t>4. 대한민국 헌법 1조 대한민국 주권은 [   ] 에게 있고, 모든 권력은 [   ] (으)로부터 나온다.</t>
  </si>
  <si>
    <r>
      <t>A.  </t>
    </r>
    <r>
      <rPr>
        <sz val="12"/>
        <color rgb="FFFF0000"/>
        <rFont val="Arial"/>
        <family val="2"/>
      </rPr>
      <t>국민 / 국민</t>
    </r>
  </si>
  <si>
    <t>B.  국민 / 국가</t>
  </si>
  <si>
    <t>C.  국가 / 개인</t>
  </si>
  <si>
    <t>5. 잉글랜드 프리미어리그 소속 팀이 아닌 것은?</t>
  </si>
  <si>
    <t>A.  맨체스터 유나이티드</t>
  </si>
  <si>
    <t>B.  리버풀</t>
  </si>
  <si>
    <r>
      <t>C.  </t>
    </r>
    <r>
      <rPr>
        <sz val="12"/>
        <color rgb="FFFF0000"/>
        <rFont val="Arial"/>
        <family val="2"/>
      </rPr>
      <t>레알 마드리드</t>
    </r>
  </si>
  <si>
    <t>6. 독일에서 개발된 자율 주행 무인 택시의 이름은?</t>
  </si>
  <si>
    <r>
      <t>A.  </t>
    </r>
    <r>
      <rPr>
        <sz val="12"/>
        <color rgb="FFFF0000"/>
        <rFont val="Arial"/>
        <family val="2"/>
      </rPr>
      <t>큐브</t>
    </r>
  </si>
  <si>
    <t>B.  스타쉽</t>
  </si>
  <si>
    <t>C.  플랜A</t>
  </si>
  <si>
    <t>7. 흔히 다시보기 서비스에 쓰이는 VOD의 V는 무엇의 약자일까?</t>
  </si>
  <si>
    <t>A.  View</t>
  </si>
  <si>
    <t>B.  Valid</t>
  </si>
  <si>
    <r>
      <t>C.  </t>
    </r>
    <r>
      <rPr>
        <sz val="12"/>
        <color rgb="FFFF0000"/>
        <rFont val="Arial"/>
        <family val="2"/>
      </rPr>
      <t>Video</t>
    </r>
  </si>
  <si>
    <t>8. 로즈메리의 로즈는 라틴어로 무엇에서 유래되었을까?</t>
  </si>
  <si>
    <r>
      <t>A.  </t>
    </r>
    <r>
      <rPr>
        <sz val="12"/>
        <color rgb="FFFF0000"/>
        <rFont val="Arial"/>
        <family val="2"/>
      </rPr>
      <t>이슬</t>
    </r>
  </si>
  <si>
    <t>B.  장미</t>
  </si>
  <si>
    <t>C.  향기</t>
  </si>
  <si>
    <t>9. 문자메시지를 뜻하는 SMS는 무엇의 약자일까?</t>
  </si>
  <si>
    <t>A.  Short Mail Service</t>
  </si>
  <si>
    <r>
      <t>B. </t>
    </r>
    <r>
      <rPr>
        <sz val="12"/>
        <color rgb="FFFF0000"/>
        <rFont val="Arial"/>
        <family val="2"/>
      </rPr>
      <t> Short Message Service</t>
    </r>
  </si>
  <si>
    <t>C.  Special Message Service</t>
  </si>
  <si>
    <t>10. 나무늘보의 목은 (   )도 까지 돌아간다.</t>
  </si>
  <si>
    <t>A.  180</t>
  </si>
  <si>
    <r>
      <t>B.  </t>
    </r>
    <r>
      <rPr>
        <sz val="12"/>
        <color rgb="FFFF0000"/>
        <rFont val="Arial"/>
        <family val="2"/>
      </rPr>
      <t>270</t>
    </r>
  </si>
  <si>
    <t>C.  360</t>
  </si>
  <si>
    <t>11. 외교부의 '여행경보단계별 행동지침'은 몇 가지 단계로 이루어져 있을까?</t>
  </si>
  <si>
    <t>A.  4단계</t>
  </si>
  <si>
    <t>B.  5단계</t>
  </si>
  <si>
    <r>
      <t>C. </t>
    </r>
    <r>
      <rPr>
        <sz val="12"/>
        <color rgb="FFFF0000"/>
        <rFont val="Arial"/>
        <family val="2"/>
      </rPr>
      <t> 6단계</t>
    </r>
  </si>
  <si>
    <t>12. 과거 나우루 공화국은 '이것' 때문에 부자 나라에 속했었다. 여기서 '이것'은?</t>
  </si>
  <si>
    <t>A.  석유</t>
  </si>
  <si>
    <r>
      <t>B.  </t>
    </r>
    <r>
      <rPr>
        <sz val="12"/>
        <color rgb="FFFF0000"/>
        <rFont val="Arial"/>
        <family val="2"/>
      </rPr>
      <t>새똥</t>
    </r>
  </si>
  <si>
    <t>C.  의료기술</t>
  </si>
  <si>
    <t>1. 다음 보기 중 채식주의자를 뜻하는 단어는?</t>
  </si>
  <si>
    <t>A.  장동건</t>
  </si>
  <si>
    <t>B.  아킬레스건</t>
  </si>
  <si>
    <r>
      <t>C.  </t>
    </r>
    <r>
      <rPr>
        <sz val="12"/>
        <color rgb="FFFF0000"/>
        <rFont val="Arial"/>
        <family val="2"/>
      </rPr>
      <t>비건</t>
    </r>
  </si>
  <si>
    <t>2. &lt;토이스토리&gt;에 등장하는 감자 모양 장난감의 이름은?</t>
  </si>
  <si>
    <t>A.  오!감자</t>
  </si>
  <si>
    <t>B.  눈을 감자</t>
  </si>
  <si>
    <r>
      <t>C.  </t>
    </r>
    <r>
      <rPr>
        <sz val="12"/>
        <color rgb="FFFF0000"/>
        <rFont val="Arial"/>
        <family val="2"/>
      </rPr>
      <t>포테이토 헤드</t>
    </r>
  </si>
  <si>
    <t>3. &lt;식샤를 합시다3: 비긴즈&gt;의 일부 배경이 되는 2004년도에 유행했던 드라마로 알맞은 것은?</t>
  </si>
  <si>
    <r>
      <t>A.  </t>
    </r>
    <r>
      <rPr>
        <sz val="12"/>
        <color rgb="FFFF0000"/>
        <rFont val="Arial"/>
        <family val="2"/>
      </rPr>
      <t>미안하다 사랑한다</t>
    </r>
  </si>
  <si>
    <t>B.  태양의후예</t>
  </si>
  <si>
    <t>C.  모래시계</t>
  </si>
  <si>
    <t>4. 우리나라의 영동, 영서를 나누는 기준이 되는 곳은?</t>
  </si>
  <si>
    <t>A.  술타령</t>
  </si>
  <si>
    <t>B.  불호령</t>
  </si>
  <si>
    <r>
      <t>C.  </t>
    </r>
    <r>
      <rPr>
        <sz val="12"/>
        <color rgb="FFFF0000"/>
        <rFont val="Arial"/>
        <family val="2"/>
      </rPr>
      <t>대관령</t>
    </r>
  </si>
  <si>
    <t>5. &lt;식샤를 합시다3: 비긴즈&gt; 영상에서 윤두준이 먹은 음식은?</t>
  </si>
  <si>
    <t>A.  비빔냉면</t>
  </si>
  <si>
    <r>
      <t>B.  </t>
    </r>
    <r>
      <rPr>
        <sz val="12"/>
        <color rgb="FFFF0000"/>
        <rFont val="Arial"/>
        <family val="2"/>
      </rPr>
      <t>물냉면</t>
    </r>
  </si>
  <si>
    <t>C.  뜨거운 라면</t>
  </si>
  <si>
    <t>6. 세계적인 햄버거 프랜차이즈 '버거킹'의 호주 이름은?</t>
  </si>
  <si>
    <t>A.  버거킹</t>
  </si>
  <si>
    <t>B.  퀸즈 잭스</t>
  </si>
  <si>
    <r>
      <t>C.  </t>
    </r>
    <r>
      <rPr>
        <sz val="12"/>
        <color rgb="FFFF0000"/>
        <rFont val="Arial"/>
        <family val="2"/>
      </rPr>
      <t>헝그리 잭스</t>
    </r>
  </si>
  <si>
    <t>7. '생방송 톡!톡! 보니하니'에서 잼아저씨와 함께 진행을 맡았던 하니는 누구일까?</t>
  </si>
  <si>
    <t>A.  김소영</t>
  </si>
  <si>
    <r>
      <t>B.  </t>
    </r>
    <r>
      <rPr>
        <sz val="12"/>
        <color rgb="FFFF0000"/>
        <rFont val="Arial"/>
        <family val="2"/>
      </rPr>
      <t>한별</t>
    </r>
  </si>
  <si>
    <t>C.  서효명</t>
  </si>
  <si>
    <t>8. 사과, 오렌지 등 과일에 많이 들어있으며, 각질 관리 및 피부 재생에 탁월한 성분은?</t>
  </si>
  <si>
    <r>
      <t>A.  </t>
    </r>
    <r>
      <rPr>
        <sz val="12"/>
        <color rgb="FFFF0000"/>
        <rFont val="Arial"/>
        <family val="2"/>
      </rPr>
      <t>AHA</t>
    </r>
  </si>
  <si>
    <t>B.  CHA</t>
  </si>
  <si>
    <t>C.  RHR</t>
  </si>
  <si>
    <t>9. &lt;튀튀, 글리사드, 아상블레&gt; 다음은 무엇에 관련된 용어일까?</t>
  </si>
  <si>
    <t>A.  오페라</t>
  </si>
  <si>
    <t>B.  펜싱</t>
  </si>
  <si>
    <r>
      <t>C.  </t>
    </r>
    <r>
      <rPr>
        <sz val="12"/>
        <color rgb="FFFF0000"/>
        <rFont val="Arial"/>
        <family val="2"/>
      </rPr>
      <t>발레</t>
    </r>
  </si>
  <si>
    <t>10. 보기 중 탄생이 가장 빠른 캐릭터는?</t>
  </si>
  <si>
    <r>
      <t>A.  </t>
    </r>
    <r>
      <rPr>
        <sz val="12"/>
        <color rgb="FFFF0000"/>
        <rFont val="Arial"/>
        <family val="2"/>
      </rPr>
      <t>뽀빠이</t>
    </r>
  </si>
  <si>
    <t>B.  미키마우스</t>
  </si>
  <si>
    <t>C.  베티붑</t>
  </si>
  <si>
    <t>11. 같은 냉각조건에서 더 늦게 어는 물은?</t>
  </si>
  <si>
    <r>
      <t>A.  </t>
    </r>
    <r>
      <rPr>
        <sz val="12"/>
        <color rgb="FFFF0000"/>
        <rFont val="Arial"/>
        <family val="2"/>
      </rPr>
      <t>5°C </t>
    </r>
  </si>
  <si>
    <t>B.  35°C </t>
  </si>
  <si>
    <t>C.  정확히 똑같은 속도로 냉각된다</t>
  </si>
  <si>
    <t>12. 잼러들은 잼아저씨에게 [   ] 문제를 달라고 재촉했다. 빈칸에 들어갈 수 없는 말은?</t>
  </si>
  <si>
    <t>A.  닁큼</t>
  </si>
  <si>
    <t>B.  냉큼</t>
  </si>
  <si>
    <r>
      <t>C.  </t>
    </r>
    <r>
      <rPr>
        <sz val="12"/>
        <color rgb="FFFF0000"/>
        <rFont val="Arial"/>
        <family val="2"/>
      </rPr>
      <t>닝큼</t>
    </r>
  </si>
  <si>
    <t>1. 삼성전자에서 도입한 서비스로, 스마트폰을 카드 결제기 근처에 갖다 대면 결제가 이뤄지는 방식은?</t>
  </si>
  <si>
    <r>
      <t>A.  </t>
    </r>
    <r>
      <rPr>
        <sz val="12"/>
        <color rgb="FFFF0000"/>
        <rFont val="Arial"/>
        <family val="2"/>
      </rPr>
      <t>삼성페이</t>
    </r>
  </si>
  <si>
    <t>B.  시럽월렛</t>
  </si>
  <si>
    <t>C.  티머니</t>
  </si>
  <si>
    <t>2. 볶은 [   ]에 싹 난다, 번갯불에 [   ] 볶아 먹겠다 [   ]에 공통으로 들어갈 말은?</t>
  </si>
  <si>
    <t>A.  쥐포</t>
  </si>
  <si>
    <r>
      <t>B.  </t>
    </r>
    <r>
      <rPr>
        <sz val="12"/>
        <color rgb="FFFF0000"/>
        <rFont val="Arial"/>
        <family val="2"/>
      </rPr>
      <t>콩</t>
    </r>
  </si>
  <si>
    <t>C.  멸치</t>
  </si>
  <si>
    <t>3. &lt;식스맨, 스크린, 버저 비터&gt; 다음 용어가 사용되는 스포츠는?</t>
  </si>
  <si>
    <t>A.  럭비</t>
  </si>
  <si>
    <t>B.  배구</t>
  </si>
  <si>
    <r>
      <t>C.  </t>
    </r>
    <r>
      <rPr>
        <sz val="12"/>
        <color rgb="FFFF0000"/>
        <rFont val="Arial"/>
        <family val="2"/>
      </rPr>
      <t>농구</t>
    </r>
  </si>
  <si>
    <t>4. 애플(Apple Inc) iOS 기기의 내부 시스템 파일을 해킹하는 것을 뜻하는 용어는?</t>
  </si>
  <si>
    <t>A.  도주</t>
  </si>
  <si>
    <r>
      <t>B.  </t>
    </r>
    <r>
      <rPr>
        <sz val="12"/>
        <color rgb="FFFF0000"/>
        <rFont val="Arial"/>
        <family val="2"/>
      </rPr>
      <t>탈옥</t>
    </r>
  </si>
  <si>
    <t>C.  수감</t>
  </si>
  <si>
    <t>5. 부정청탁 및 금품 등 수수의 금지에 관한 법률(김영란법)상 허용되는 음식 가액의 범위는?</t>
  </si>
  <si>
    <r>
      <t>A.  </t>
    </r>
    <r>
      <rPr>
        <sz val="12"/>
        <color rgb="FFFF0000"/>
        <rFont val="Arial"/>
        <family val="2"/>
      </rPr>
      <t>3만원</t>
    </r>
  </si>
  <si>
    <t>B.  5만원</t>
  </si>
  <si>
    <t>C.  10만원</t>
  </si>
  <si>
    <t>6. 다음 중 띄어쓰기가 바르게 쓰인 것은?</t>
  </si>
  <si>
    <t>A.  도움은 커녕 방해만되더라</t>
  </si>
  <si>
    <r>
      <t>B.  </t>
    </r>
    <r>
      <rPr>
        <sz val="12"/>
        <color rgb="FFFF0000"/>
        <rFont val="Arial"/>
        <family val="2"/>
      </rPr>
      <t>도움은커녕 방해만 되더라</t>
    </r>
  </si>
  <si>
    <t>C.  도움은 커녕 방해만 되더라</t>
  </si>
  <si>
    <t>7. 트로이 전쟁의 발단이 된 과일은?</t>
  </si>
  <si>
    <t>A.  모과</t>
  </si>
  <si>
    <t>B.  포도</t>
  </si>
  <si>
    <r>
      <t>C.  </t>
    </r>
    <r>
      <rPr>
        <sz val="12"/>
        <color rgb="FFFF0000"/>
        <rFont val="Arial"/>
        <family val="2"/>
      </rPr>
      <t>사과</t>
    </r>
  </si>
  <si>
    <t>8. 르네상스 시대의 이탈리아를 대표하는 천재적인 미술가로 &lt;최후의 만찬&gt;을 그린 화가는?</t>
  </si>
  <si>
    <t>A.  빈센트 반 고흐</t>
  </si>
  <si>
    <t>B.  미켈란젤로</t>
  </si>
  <si>
    <r>
      <t>C.  </t>
    </r>
    <r>
      <rPr>
        <sz val="12"/>
        <color rgb="FFFF0000"/>
        <rFont val="Arial"/>
        <family val="2"/>
      </rPr>
      <t>레오나르도 다빈치</t>
    </r>
  </si>
  <si>
    <t>9. 에버랜드에 있는 놀이기구가 아닌 것은?</t>
  </si>
  <si>
    <r>
      <t>B.  </t>
    </r>
    <r>
      <rPr>
        <sz val="12"/>
        <color rgb="FFFF0000"/>
        <rFont val="Arial"/>
        <family val="2"/>
      </rPr>
      <t>드래곤 와일드 슈팅</t>
    </r>
  </si>
  <si>
    <t>C.  더블 락스핀</t>
  </si>
  <si>
    <t>10. '봄을 맞아 경치를 구경하며 즐기는 노래'를 뜻하는 정극인의 작품으로, 조선 최초의 가사(歌辭)는?</t>
  </si>
  <si>
    <r>
      <t>A.  </t>
    </r>
    <r>
      <rPr>
        <sz val="12"/>
        <color rgb="FFFF0000"/>
        <rFont val="Arial"/>
        <family val="2"/>
      </rPr>
      <t>상춘곡</t>
    </r>
  </si>
  <si>
    <t>B.  하여가</t>
  </si>
  <si>
    <t>C.  사미인곡</t>
  </si>
  <si>
    <t>11. 선거와 관련한 일정, 예산방침, 실천방안 등 구체적인 방안을 유권자에게 제시하는 공약은?</t>
  </si>
  <si>
    <t>A.  플리바게닝</t>
  </si>
  <si>
    <t>B.  아그레망</t>
  </si>
  <si>
    <r>
      <t>C.  </t>
    </r>
    <r>
      <rPr>
        <sz val="12"/>
        <color rgb="FFFF0000"/>
        <rFont val="Arial"/>
        <family val="2"/>
      </rPr>
      <t>매니페스토</t>
    </r>
  </si>
  <si>
    <t>12. '프랑켄슈타인'을 집필한 메리 셸리는 작품을 처음 쓰기 시작했을 때 [   ]대 였다.</t>
  </si>
  <si>
    <r>
      <t>A. </t>
    </r>
    <r>
      <rPr>
        <sz val="12"/>
        <color rgb="FFFF0000"/>
        <rFont val="Arial"/>
        <family val="2"/>
      </rPr>
      <t> 10</t>
    </r>
  </si>
  <si>
    <t>B.  20</t>
  </si>
  <si>
    <t>C.  30</t>
  </si>
  <si>
    <t>1. 겉에 검은 줄무늬가 있고, 속은 붉고 검은 씨가 여러 개 들어있는 여름철 과일은?</t>
  </si>
  <si>
    <t>A.  딸기</t>
  </si>
  <si>
    <r>
      <t>B.  </t>
    </r>
    <r>
      <rPr>
        <sz val="12"/>
        <color rgb="FFFF0000"/>
        <rFont val="Arial"/>
        <family val="2"/>
      </rPr>
      <t>수박</t>
    </r>
  </si>
  <si>
    <t>C.  참외</t>
  </si>
  <si>
    <t>2. 동풍을 뜻하는 말이 아닌 것은?</t>
  </si>
  <si>
    <t>A.  아랫바람</t>
  </si>
  <si>
    <r>
      <t>B.  </t>
    </r>
    <r>
      <rPr>
        <sz val="12"/>
        <color rgb="FFFF0000"/>
        <rFont val="Arial"/>
        <family val="2"/>
      </rPr>
      <t>응답바람</t>
    </r>
  </si>
  <si>
    <t>C.  강쇠바람</t>
  </si>
  <si>
    <t>3. 다음 보기중 부산의 향토 음식으로 거리가 먼 것은?</t>
  </si>
  <si>
    <t>A.  비빔당면</t>
  </si>
  <si>
    <t>B.  돼지국밥</t>
  </si>
  <si>
    <r>
      <t>C.  </t>
    </r>
    <r>
      <rPr>
        <sz val="12"/>
        <color rgb="FFFF0000"/>
        <rFont val="Arial"/>
        <family val="2"/>
      </rPr>
      <t>전주비빔밥</t>
    </r>
  </si>
  <si>
    <t>4. 고추먹고 맴맴 [   ] 먹고 맴맴 빈칸에 들어갈 올바른 가사는?</t>
  </si>
  <si>
    <r>
      <t>A.  </t>
    </r>
    <r>
      <rPr>
        <sz val="12"/>
        <color rgb="FFFF0000"/>
        <rFont val="Arial"/>
        <family val="2"/>
      </rPr>
      <t>달래</t>
    </r>
  </si>
  <si>
    <t>B.  두릅</t>
  </si>
  <si>
    <t>C.  시금치</t>
  </si>
  <si>
    <t>5. 다음 중 전기 저향률이 가장 높은 것은?</t>
  </si>
  <si>
    <t>A.  샤프심</t>
  </si>
  <si>
    <t>B.  연필심</t>
  </si>
  <si>
    <r>
      <t>C.  </t>
    </r>
    <r>
      <rPr>
        <sz val="12"/>
        <color rgb="FFFF0000"/>
        <rFont val="Arial"/>
        <family val="2"/>
      </rPr>
      <t>다이아몬드</t>
    </r>
  </si>
  <si>
    <t>6. '기업간 거래' 또는 '기업간 전자상거래'를 뜻하는 경제 용어는?</t>
  </si>
  <si>
    <r>
      <t>A.  </t>
    </r>
    <r>
      <rPr>
        <sz val="12"/>
        <color rgb="FFFF0000"/>
        <rFont val="Arial"/>
        <family val="2"/>
      </rPr>
      <t>B2B</t>
    </r>
  </si>
  <si>
    <t>B.  2NB</t>
  </si>
  <si>
    <t>C.  B2E</t>
  </si>
  <si>
    <t>7. '스크린 쿼터'를 영어로 바르게 표기한 것은?</t>
  </si>
  <si>
    <t>A.  Screen Quartor</t>
  </si>
  <si>
    <t>B.  Screen Quarter</t>
  </si>
  <si>
    <r>
      <t>C.  </t>
    </r>
    <r>
      <rPr>
        <sz val="12"/>
        <color rgb="FFFF0000"/>
        <rFont val="Arial"/>
        <family val="2"/>
      </rPr>
      <t>Screen Quota</t>
    </r>
  </si>
  <si>
    <t>8. 2017년에 개봉한 영화 &lt;미이라&gt;에 등장하지 않는 인물은?</t>
  </si>
  <si>
    <r>
      <t>A.  </t>
    </r>
    <r>
      <rPr>
        <sz val="12"/>
        <color rgb="FFFF0000"/>
        <rFont val="Arial"/>
        <family val="2"/>
      </rPr>
      <t>아낙수나문</t>
    </r>
  </si>
  <si>
    <t>B.  지킬 박사</t>
  </si>
  <si>
    <t>C.  아마네트</t>
  </si>
  <si>
    <t>9. 다음 중 'JAM'이라는 제목의 노래를 부른 가수는?</t>
  </si>
  <si>
    <t>A.  비틀즈</t>
  </si>
  <si>
    <r>
      <t>B.  </t>
    </r>
    <r>
      <rPr>
        <sz val="12"/>
        <color rgb="FFFF0000"/>
        <rFont val="Arial"/>
        <family val="2"/>
      </rPr>
      <t>마이클 잭슨</t>
    </r>
  </si>
  <si>
    <t>C.  브루노 마스</t>
  </si>
  <si>
    <t>10. 일반 법률보다 개정 절차가 까다롭게 되어 있는 헌법을 가르키는 말은?</t>
  </si>
  <si>
    <t>A.  민정헌법</t>
  </si>
  <si>
    <t>B.  불문헌법</t>
  </si>
  <si>
    <r>
      <t>C.  </t>
    </r>
    <r>
      <rPr>
        <sz val="12"/>
        <color rgb="FFFF0000"/>
        <rFont val="Arial"/>
        <family val="2"/>
      </rPr>
      <t>경성헌법</t>
    </r>
  </si>
  <si>
    <t>11. 다음 중 도메인이 잘못 짝 지어진 것은?</t>
  </si>
  <si>
    <t>A.  기업 - com, co.kr</t>
  </si>
  <si>
    <r>
      <t>B.  </t>
    </r>
    <r>
      <rPr>
        <sz val="12"/>
        <color rgb="FFFF0000"/>
        <rFont val="Arial"/>
        <family val="2"/>
      </rPr>
      <t>정부 - org, or.kr</t>
    </r>
  </si>
  <si>
    <t>C.  교육기관 - edu, ac.kr</t>
  </si>
  <si>
    <t>12. 세계 유명 트레킹 명소와 위치한 나라를 올바르게 짝지은 것은?</t>
  </si>
  <si>
    <t>A.  미국-킹스로드</t>
  </si>
  <si>
    <t>B.  스웨덴-밀포드 트렉</t>
  </si>
  <si>
    <r>
      <t>C.  </t>
    </r>
    <r>
      <rPr>
        <sz val="12"/>
        <color rgb="FFFF0000"/>
        <rFont val="Arial"/>
        <family val="2"/>
      </rPr>
      <t>칠레-토레스 델 파이네</t>
    </r>
  </si>
  <si>
    <t>1. 북유럽 신화 '천둥의 신' 토르가 사용하는 망치의 이름은?</t>
  </si>
  <si>
    <t>A.  다용도 고무망치</t>
  </si>
  <si>
    <r>
      <t>B.  </t>
    </r>
    <r>
      <rPr>
        <sz val="12"/>
        <color rgb="FFFF0000"/>
        <rFont val="Arial"/>
        <family val="2"/>
      </rPr>
      <t>묠니르</t>
    </r>
  </si>
  <si>
    <t>C.  뿅망치</t>
  </si>
  <si>
    <t>2. 인공조명이 너무 밝거나 지나치게 많아 야간에도 낮처럼 밝은 상태가 유지되는 현상은?</t>
  </si>
  <si>
    <r>
      <t>A.  </t>
    </r>
    <r>
      <rPr>
        <sz val="12"/>
        <color rgb="FFFF0000"/>
        <rFont val="Arial"/>
        <family val="2"/>
      </rPr>
      <t>빛공해</t>
    </r>
  </si>
  <si>
    <t>B.  빛잔치</t>
  </si>
  <si>
    <t>C.  빛나리 효과</t>
  </si>
  <si>
    <t>3. &lt;밀정&gt; 김지운 감독 작품으로 강동원, 정우성 등이 출연해 화제를 모으고 있는 영화는?</t>
  </si>
  <si>
    <t>A.  나랑</t>
  </si>
  <si>
    <t>B.  너랑</t>
  </si>
  <si>
    <r>
      <t>C.  </t>
    </r>
    <r>
      <rPr>
        <sz val="12"/>
        <color rgb="FFFF0000"/>
        <rFont val="Arial"/>
        <family val="2"/>
      </rPr>
      <t>인랑</t>
    </r>
  </si>
  <si>
    <t>4. 영국의 정치가이자, 인문주의 사상가인 토마스 모어가 저술한 이 작품은?</t>
  </si>
  <si>
    <t>A.  주토피아</t>
  </si>
  <si>
    <t>B.  잼토피아</t>
  </si>
  <si>
    <r>
      <t>C.  </t>
    </r>
    <r>
      <rPr>
        <sz val="12"/>
        <color rgb="FFFF0000"/>
        <rFont val="Arial"/>
        <family val="2"/>
      </rPr>
      <t>유토피아</t>
    </r>
  </si>
  <si>
    <t>5. 7월 25일 개봉 예정인 김지운 감독의 신작 &lt;인랑&gt;에 출연하지 않는 배우는?</t>
  </si>
  <si>
    <t>A.  강동원</t>
  </si>
  <si>
    <r>
      <t>B.  </t>
    </r>
    <r>
      <rPr>
        <sz val="12"/>
        <color rgb="FFFF0000"/>
        <rFont val="Arial"/>
        <family val="2"/>
      </rPr>
      <t>에디 레드메인</t>
    </r>
  </si>
  <si>
    <t>C.  정우성</t>
  </si>
  <si>
    <t>6. 나이가 가장 어린 바둑 기사는?</t>
  </si>
  <si>
    <r>
      <t>A.  </t>
    </r>
    <r>
      <rPr>
        <sz val="12"/>
        <color rgb="FFFF0000"/>
        <rFont val="Arial"/>
        <family val="2"/>
      </rPr>
      <t>이세돌</t>
    </r>
  </si>
  <si>
    <t>B.  조훈현</t>
  </si>
  <si>
    <t>C.  이창호</t>
  </si>
  <si>
    <t>7. 강동원, 한효주, 정우성의 만남으로 화제인 SF 액션 &lt;인랑&gt;에 대한 설명 중 틀린 것은?</t>
  </si>
  <si>
    <t>A.  김지운 감독의 신작</t>
  </si>
  <si>
    <r>
      <t>B.  </t>
    </r>
    <r>
      <rPr>
        <sz val="12"/>
        <color rgb="FFFF0000"/>
        <rFont val="Arial"/>
        <family val="2"/>
      </rPr>
      <t>사자로 불린 인간병기</t>
    </r>
  </si>
  <si>
    <t>C.  7월 25일 개봉</t>
  </si>
  <si>
    <t>8. 중국, 동남아시아 등에서 매우 대중적인 요리 도구인 '웍'의 영문 스펠링은?</t>
  </si>
  <si>
    <t>A.  Work</t>
  </si>
  <si>
    <r>
      <t>B.  </t>
    </r>
    <r>
      <rPr>
        <sz val="12"/>
        <color rgb="FFFF0000"/>
        <rFont val="Arial"/>
        <family val="2"/>
      </rPr>
      <t>Wok</t>
    </r>
  </si>
  <si>
    <t>C.  Walk</t>
  </si>
  <si>
    <t>9. 카페인이 들어가지 않는 차는?</t>
  </si>
  <si>
    <r>
      <t>A.  </t>
    </r>
    <r>
      <rPr>
        <sz val="12"/>
        <color rgb="FFFF0000"/>
        <rFont val="Arial"/>
        <family val="2"/>
      </rPr>
      <t>옥수수차</t>
    </r>
  </si>
  <si>
    <t>B.  보이차</t>
  </si>
  <si>
    <t>C.  녹차</t>
  </si>
  <si>
    <t>10. 북한말로 '헝겊구두'는 무엇을 뜻할까?</t>
  </si>
  <si>
    <t>A.  장화</t>
  </si>
  <si>
    <t>B.  슬리퍼</t>
  </si>
  <si>
    <r>
      <t>C.  </t>
    </r>
    <r>
      <rPr>
        <sz val="12"/>
        <color rgb="FFFF0000"/>
        <rFont val="Arial"/>
        <family val="2"/>
      </rPr>
      <t>운동화</t>
    </r>
  </si>
  <si>
    <t>11. 우리나라 최초의 순 한글신문은?</t>
  </si>
  <si>
    <r>
      <t>A.  </t>
    </r>
    <r>
      <rPr>
        <sz val="12"/>
        <color rgb="FFFF0000"/>
        <rFont val="Arial"/>
        <family val="2"/>
      </rPr>
      <t>독립신문</t>
    </r>
  </si>
  <si>
    <t>B.  제국신문</t>
  </si>
  <si>
    <t>C.  한성순보</t>
  </si>
  <si>
    <t>12. 현존하는 최강의 전투기 중 하나로 랩터(Raptor)란 별칭으로도 불리는 이 전투기의 이름은?</t>
  </si>
  <si>
    <t>A.  B-2</t>
  </si>
  <si>
    <t>B.  F-15</t>
  </si>
  <si>
    <r>
      <t>C.  </t>
    </r>
    <r>
      <rPr>
        <sz val="12"/>
        <color rgb="FFFF0000"/>
        <rFont val="Arial"/>
        <family val="2"/>
      </rPr>
      <t>F-22</t>
    </r>
  </si>
  <si>
    <t>1. 비상업적 목적으로 제작, 배포되는 무료 음원, 앨범으로 주로 힙합, R&amp;B 뮤지션들이 이용하는 방식은?</t>
  </si>
  <si>
    <t>A.  스카치테이프</t>
  </si>
  <si>
    <r>
      <t>B.  </t>
    </r>
    <r>
      <rPr>
        <sz val="12"/>
        <color rgb="FFFF0000"/>
        <rFont val="Arial"/>
        <family val="2"/>
      </rPr>
      <t>믹스테이프</t>
    </r>
  </si>
  <si>
    <t>C.  박스테이프</t>
  </si>
  <si>
    <t>2. 어린이들의 인기 동요 '상어 가족' 가사에 나오지 않는 상어 가족은?</t>
  </si>
  <si>
    <t>A.  할아버지 상어</t>
  </si>
  <si>
    <r>
      <t>B.  </t>
    </r>
    <r>
      <rPr>
        <sz val="12"/>
        <color rgb="FFFF0000"/>
        <rFont val="Arial"/>
        <family val="2"/>
      </rPr>
      <t>잼형 상어</t>
    </r>
  </si>
  <si>
    <t>C.  엄마 상어</t>
  </si>
  <si>
    <t>3. 다음 중 나머지와 성격이 다른 하나는?</t>
  </si>
  <si>
    <r>
      <t>A.  </t>
    </r>
    <r>
      <rPr>
        <sz val="12"/>
        <color rgb="FFFF0000"/>
        <rFont val="Arial"/>
        <family val="2"/>
      </rPr>
      <t>파이널 라운드</t>
    </r>
  </si>
  <si>
    <t>B.  케네디 라운드</t>
  </si>
  <si>
    <t>C.  우루과이 라운드</t>
  </si>
  <si>
    <t>4. '오늘의 착장'의 준말인 OOTD의 D는?</t>
  </si>
  <si>
    <t>A.  DEEP</t>
  </si>
  <si>
    <t>B.  DANGER</t>
  </si>
  <si>
    <r>
      <t>C.  </t>
    </r>
    <r>
      <rPr>
        <sz val="12"/>
        <color rgb="FFFF0000"/>
        <rFont val="Arial"/>
        <family val="2"/>
      </rPr>
      <t>DAY</t>
    </r>
  </si>
  <si>
    <t>5. 트루먼 카포트의 소설을 원작으로 한 오드리 헵번 주연의 영화는?</t>
  </si>
  <si>
    <t>A.  파리에서 아침을</t>
  </si>
  <si>
    <r>
      <t>B.  </t>
    </r>
    <r>
      <rPr>
        <sz val="12"/>
        <color rgb="FFFF0000"/>
        <rFont val="Arial"/>
        <family val="2"/>
      </rPr>
      <t>티파니에서 아침을</t>
    </r>
  </si>
  <si>
    <t>C.  신사동에서 아침을</t>
  </si>
  <si>
    <t>6. 자신의 운명을 사랑하라는 의미로, 인간이 가져야 할 삶의 태도를 설명한 니체의 용어는?</t>
  </si>
  <si>
    <r>
      <t>A.  </t>
    </r>
    <r>
      <rPr>
        <sz val="12"/>
        <color rgb="FFFF0000"/>
        <rFont val="Arial"/>
        <family val="2"/>
      </rPr>
      <t>아모르파티</t>
    </r>
  </si>
  <si>
    <t>B.  하쿠나마타타</t>
  </si>
  <si>
    <t>C.  메멘토모리</t>
  </si>
  <si>
    <t>7. 보험사, 신탁사, 증권사, 종합금융사, 여신금융사, 상호저축은행 등은 어디에 속할까?</t>
  </si>
  <si>
    <t>A.  제 1 금융권</t>
  </si>
  <si>
    <r>
      <t>B.  </t>
    </r>
    <r>
      <rPr>
        <sz val="12"/>
        <color rgb="FFFF0000"/>
        <rFont val="Arial"/>
        <family val="2"/>
      </rPr>
      <t>제 2 금융권</t>
    </r>
  </si>
  <si>
    <t>C.  제 3 금융권</t>
  </si>
  <si>
    <t>8. '우주소년 아톰'의 원작명은?</t>
  </si>
  <si>
    <t>A.  소년아톰</t>
  </si>
  <si>
    <t>B.  로봇아톰</t>
  </si>
  <si>
    <r>
      <t>C.  </t>
    </r>
    <r>
      <rPr>
        <sz val="12"/>
        <color rgb="FFFF0000"/>
        <rFont val="Arial"/>
        <family val="2"/>
      </rPr>
      <t>철완아톰</t>
    </r>
  </si>
  <si>
    <t>9. 나쁜 기운을 푼다는 의미의 춤으로 무속이나 교방, 권번을 통해 전해진 민속무용은?</t>
  </si>
  <si>
    <r>
      <t>A.  </t>
    </r>
    <r>
      <rPr>
        <sz val="12"/>
        <color rgb="FFFF0000"/>
        <rFont val="Arial"/>
        <family val="2"/>
      </rPr>
      <t>살풀이</t>
    </r>
  </si>
  <si>
    <t>B.  부채춤</t>
  </si>
  <si>
    <t>C.  문묘일무</t>
  </si>
  <si>
    <t>10. 올바른 맞춤법 표기는?</t>
  </si>
  <si>
    <t>A.  귀뜸</t>
  </si>
  <si>
    <t>B.  댓가</t>
  </si>
  <si>
    <r>
      <t>C.  </t>
    </r>
    <r>
      <rPr>
        <sz val="12"/>
        <color rgb="FFFF0000"/>
        <rFont val="Arial"/>
        <family val="2"/>
      </rPr>
      <t>움큼</t>
    </r>
  </si>
  <si>
    <t>11. 세계 4대 스포츠 대회를 모두 개최한 나라가 아닌 곳은?</t>
  </si>
  <si>
    <r>
      <t>A.  </t>
    </r>
    <r>
      <rPr>
        <sz val="12"/>
        <color rgb="FFFF0000"/>
        <rFont val="Arial"/>
        <family val="2"/>
      </rPr>
      <t>미국</t>
    </r>
  </si>
  <si>
    <t>B.  대한민국</t>
  </si>
  <si>
    <t>C.  독일</t>
  </si>
  <si>
    <t>12. 게임 &lt;슈퍼마리오 시리즈&gt;의 최종 보스 '쿠파'의 어원은?</t>
  </si>
  <si>
    <t>A.  구리(copper)</t>
  </si>
  <si>
    <t>B.  쿵푸(kungfu)</t>
  </si>
  <si>
    <r>
      <t>C.  </t>
    </r>
    <r>
      <rPr>
        <sz val="12"/>
        <color rgb="FFFF0000"/>
        <rFont val="Arial"/>
        <family val="2"/>
      </rPr>
      <t>국밥(gukbap)</t>
    </r>
  </si>
  <si>
    <t>1. 말 한 마디에 (   ) 빚도 갚는다. 빈 칸에 들어갈 알맞은 말은?</t>
  </si>
  <si>
    <t>A.  백원</t>
  </si>
  <si>
    <r>
      <t>B.  </t>
    </r>
    <r>
      <rPr>
        <sz val="12"/>
        <color rgb="FFFF0000"/>
        <rFont val="Arial"/>
        <family val="2"/>
      </rPr>
      <t>천냥</t>
    </r>
  </si>
  <si>
    <t>C.  일억</t>
  </si>
  <si>
    <t>2. &lt;코, 나무, 거짓말&gt; 위 단어를 보고 연상되는 애니메이션은?</t>
  </si>
  <si>
    <t>A.  이상한 나라의 앨리스</t>
  </si>
  <si>
    <r>
      <t>B.  </t>
    </r>
    <r>
      <rPr>
        <sz val="12"/>
        <color rgb="FFFF0000"/>
        <rFont val="Arial"/>
        <family val="2"/>
      </rPr>
      <t>피노키오</t>
    </r>
  </si>
  <si>
    <t>C.  겨울왕국</t>
  </si>
  <si>
    <t>3. 야구선수 추신수의 소속팀 이름으로 올바른 것은?</t>
  </si>
  <si>
    <t>A.  텍사스 바비큐</t>
  </si>
  <si>
    <t>B.  텍사스 어벤져스</t>
  </si>
  <si>
    <r>
      <t>C.  </t>
    </r>
    <r>
      <rPr>
        <sz val="12"/>
        <color rgb="FFFF0000"/>
        <rFont val="Arial"/>
        <family val="2"/>
      </rPr>
      <t>텍사스 레인저스</t>
    </r>
  </si>
  <si>
    <t>4. &lt;프로듀스48&gt;의 공식 테마곡 '내꺼야' 무대의 센터로 활약한 연습생은?</t>
  </si>
  <si>
    <t>A.  비사이로 막가</t>
  </si>
  <si>
    <r>
      <t>B.  </t>
    </r>
    <r>
      <rPr>
        <sz val="12"/>
        <color rgb="FFFF0000"/>
        <rFont val="Arial"/>
        <family val="2"/>
      </rPr>
      <t>미야와키 사쿠라</t>
    </r>
  </si>
  <si>
    <t>C.  무라카와 쓰지마</t>
  </si>
  <si>
    <t>5. 트위터, 페이스북 등 SNS 상에서 익명으로 소통하는 게시판을 일컫는 말은?</t>
  </si>
  <si>
    <r>
      <t>A.  </t>
    </r>
    <r>
      <rPr>
        <sz val="12"/>
        <color rgb="FFFF0000"/>
        <rFont val="Arial"/>
        <family val="2"/>
      </rPr>
      <t>대나무숲</t>
    </r>
  </si>
  <si>
    <t>B.  청계숲</t>
  </si>
  <si>
    <t>C.  서울숲</t>
  </si>
  <si>
    <t>6. 대한민국 헌법 15조 모든 국민은 [   ] 선택의 자유를 가진다. 빈칸에 들어갈 말은?</t>
  </si>
  <si>
    <r>
      <t>A.  </t>
    </r>
    <r>
      <rPr>
        <sz val="12"/>
        <color rgb="FFFF0000"/>
        <rFont val="Arial"/>
        <family val="2"/>
      </rPr>
      <t>직업</t>
    </r>
  </si>
  <si>
    <t>B.  학교</t>
  </si>
  <si>
    <t>C.  성별</t>
  </si>
  <si>
    <t>7. &lt;통시, 해우소, 측간&gt; 다음에서 공통으로 연상되는 장소는?</t>
  </si>
  <si>
    <r>
      <t>A.  </t>
    </r>
    <r>
      <rPr>
        <sz val="12"/>
        <color rgb="FFFF0000"/>
        <rFont val="Arial"/>
        <family val="2"/>
      </rPr>
      <t>화장실</t>
    </r>
  </si>
  <si>
    <t>B.  부엌</t>
  </si>
  <si>
    <t>C.  침실</t>
  </si>
  <si>
    <t>8. [   ] 선거는 애초의 선거 자체를 무효로 하고 다시 치르는 것을 뜻한다. </t>
  </si>
  <si>
    <t>A.  총</t>
  </si>
  <si>
    <r>
      <t>B.  </t>
    </r>
    <r>
      <rPr>
        <sz val="12"/>
        <color rgb="FFFF0000"/>
        <rFont val="Arial"/>
        <family val="2"/>
      </rPr>
      <t>재</t>
    </r>
  </si>
  <si>
    <t>C.  보궐</t>
  </si>
  <si>
    <t>9. '장마' 라는 제목의 노래를 발표하지 않은 가수는?</t>
  </si>
  <si>
    <r>
      <t>A.  </t>
    </r>
    <r>
      <rPr>
        <sz val="12"/>
        <color rgb="FFFF0000"/>
        <rFont val="Arial"/>
        <family val="2"/>
      </rPr>
      <t>멜로망스</t>
    </r>
  </si>
  <si>
    <t>B.  정인</t>
  </si>
  <si>
    <t>C.  마마무</t>
  </si>
  <si>
    <t>10. '어린 꽃봉오리가 꽃을 피우기 위해 망울이 생기다'는 뜻의 순우리말은?</t>
  </si>
  <si>
    <t>A.  몽글다</t>
  </si>
  <si>
    <t>B.  옹글다</t>
  </si>
  <si>
    <r>
      <t>C.  </t>
    </r>
    <r>
      <rPr>
        <sz val="12"/>
        <color rgb="FFFF0000"/>
        <rFont val="Arial"/>
        <family val="2"/>
      </rPr>
      <t>벙글다</t>
    </r>
  </si>
  <si>
    <t>11. '세계 1회용 비닐봉투 없는 날'은?</t>
  </si>
  <si>
    <t>A.  매년 6월 3일</t>
  </si>
  <si>
    <r>
      <t>B. </t>
    </r>
    <r>
      <rPr>
        <sz val="12"/>
        <color rgb="FFFF0000"/>
        <rFont val="Arial"/>
        <family val="2"/>
      </rPr>
      <t> 매년 7월 3일</t>
    </r>
  </si>
  <si>
    <t>C.  매년 8월 3일</t>
  </si>
  <si>
    <t>12. 잘못된 결정을 내려 부정적인 결과를 내도, 능력이 없어 스스로의 오류를 알지 못하는 현상은?</t>
  </si>
  <si>
    <t>A.  쓰리 이디엇 효과</t>
  </si>
  <si>
    <r>
      <t>B. </t>
    </r>
    <r>
      <rPr>
        <sz val="12"/>
        <color rgb="FFFF0000"/>
        <rFont val="Arial"/>
        <family val="2"/>
      </rPr>
      <t> 더닝 크루거 효과</t>
    </r>
  </si>
  <si>
    <t>C.  베기지 효과</t>
  </si>
  <si>
    <t>1. '여름철에 더위를 피하여 서늘한 기운을 느낌'을 뜻하는 말은?</t>
  </si>
  <si>
    <r>
      <t>A.  </t>
    </r>
    <r>
      <rPr>
        <sz val="12"/>
        <color rgb="FFFF0000"/>
        <rFont val="Arial"/>
        <family val="2"/>
      </rPr>
      <t>납량</t>
    </r>
  </si>
  <si>
    <t>B.  남량</t>
  </si>
  <si>
    <t>C.  남냥</t>
  </si>
  <si>
    <t>2. 소설가 모리스 르블랑이 발표한 추리소설 주인공 '루팡'의 풀네임은?</t>
  </si>
  <si>
    <t>A.  천사소녀 루팡</t>
  </si>
  <si>
    <t>B.  월급 루팡</t>
  </si>
  <si>
    <r>
      <t>C.  </t>
    </r>
    <r>
      <rPr>
        <sz val="12"/>
        <color rgb="FFFF0000"/>
        <rFont val="Arial"/>
        <family val="2"/>
      </rPr>
      <t>아르센 루팡</t>
    </r>
  </si>
  <si>
    <t>3. 고수익 알바, 취업을 미끼로 보이스피싱 하기 위해 사기범에 요구하는 것은?</t>
  </si>
  <si>
    <t>A.  이력서</t>
  </si>
  <si>
    <r>
      <t>B.  </t>
    </r>
    <r>
      <rPr>
        <sz val="12"/>
        <color rgb="FFFF0000"/>
        <rFont val="Arial"/>
        <family val="2"/>
      </rPr>
      <t>통장, 체크카드</t>
    </r>
  </si>
  <si>
    <t>C.  자기소개서</t>
  </si>
  <si>
    <t>4. 중국 청두에는 면도칼로 [ ]을/를 면도하는 이발사가 있다.</t>
  </si>
  <si>
    <r>
      <t>A.  </t>
    </r>
    <r>
      <rPr>
        <sz val="12"/>
        <color rgb="FFFF0000"/>
        <rFont val="Arial"/>
        <family val="2"/>
      </rPr>
      <t>안구</t>
    </r>
  </si>
  <si>
    <t>B.  발가락 털</t>
  </si>
  <si>
    <t>C.  얼굴 각질</t>
  </si>
  <si>
    <t>5. 방금 나온 영화 포스터에 들어갈 문구로 올바른 것은?</t>
  </si>
  <si>
    <t>A.  나는 알고 있다 지난 여름에 네가 한 일을</t>
  </si>
  <si>
    <t>B.  나는 지난 여름에 네가 한 일을 알고 있다</t>
  </si>
  <si>
    <r>
      <t>C.  </t>
    </r>
    <r>
      <rPr>
        <sz val="12"/>
        <color rgb="FFFF0000"/>
        <rFont val="Arial"/>
        <family val="2"/>
      </rPr>
      <t>나는 네가 지난 여름에 한 일을 알고 있다</t>
    </r>
  </si>
  <si>
    <t>6. 전화와 공포증의 합성어로 전화통화를 기피하는 현상을 가리키는 용어는?</t>
  </si>
  <si>
    <r>
      <t>A.  </t>
    </r>
    <r>
      <rPr>
        <sz val="12"/>
        <color rgb="FFFF0000"/>
        <rFont val="Arial"/>
        <family val="2"/>
      </rPr>
      <t>콜포비아</t>
    </r>
  </si>
  <si>
    <t>B.  폰포비아</t>
  </si>
  <si>
    <t>C.  텔포비아</t>
  </si>
  <si>
    <t>7. 러시아에서 가장 악명 높은 교도소로 죽어야만 나갈 수 있다는 이곳은?</t>
  </si>
  <si>
    <t>A.  죽음의 관</t>
  </si>
  <si>
    <r>
      <t>B.  </t>
    </r>
    <r>
      <rPr>
        <sz val="12"/>
        <color rgb="FFFF0000"/>
        <rFont val="Arial"/>
        <family val="2"/>
      </rPr>
      <t>검은 돌고래 교도소</t>
    </r>
  </si>
  <si>
    <t>C.  ADX 감옥</t>
  </si>
  <si>
    <t>8. 조그만 쇠붙이로 사람을 죽인다는 뜻의 사자성어는?</t>
  </si>
  <si>
    <r>
      <t>A.  </t>
    </r>
    <r>
      <rPr>
        <sz val="12"/>
        <color rgb="FFFF0000"/>
        <rFont val="Arial"/>
        <family val="2"/>
      </rPr>
      <t>촌철살인</t>
    </r>
  </si>
  <si>
    <t>B.  생자필멸</t>
  </si>
  <si>
    <t>C.  염자사자</t>
  </si>
  <si>
    <t>9. 한국 공포 영화의 대명사 &lt;여고괴담&gt; 시리즈에 출연한 적 없는 배우는?</t>
  </si>
  <si>
    <r>
      <t>A.  </t>
    </r>
    <r>
      <rPr>
        <sz val="12"/>
        <color rgb="FFFF0000"/>
        <rFont val="Arial"/>
        <family val="2"/>
      </rPr>
      <t>하지원</t>
    </r>
  </si>
  <si>
    <t>B.  송지효</t>
  </si>
  <si>
    <t>C.  공효진</t>
  </si>
  <si>
    <t>10. 미국 CNN 선정, &lt;세계 7대 소름 끼치는 장소&gt;가 아닌 곳은?</t>
  </si>
  <si>
    <r>
      <t>A.  </t>
    </r>
    <r>
      <rPr>
        <sz val="12"/>
        <color rgb="FFFF0000"/>
        <rFont val="Arial"/>
        <family val="2"/>
      </rPr>
      <t>벙커 (스페인)</t>
    </r>
  </si>
  <si>
    <t>B.  곤지암 (한국)</t>
  </si>
  <si>
    <t>C.  군함도 (일본)</t>
  </si>
  <si>
    <t>11. 레으나르도 다빈치의 작품이 아닌 것은?</t>
  </si>
  <si>
    <t>A.  암굴의 성모</t>
  </si>
  <si>
    <t>B.  비트루비우스적 인간</t>
  </si>
  <si>
    <r>
      <t>C.  </t>
    </r>
    <r>
      <rPr>
        <sz val="12"/>
        <color rgb="FFFF0000"/>
        <rFont val="Arial"/>
        <family val="2"/>
      </rPr>
      <t>사티로스의 얼굴</t>
    </r>
  </si>
  <si>
    <t>12. 조선 역사상 최초로 시아버지에게 사약을 받은 비운의 세자빈은?</t>
  </si>
  <si>
    <t>A.  의경세자빈</t>
  </si>
  <si>
    <t>B.  효명세자빈</t>
  </si>
  <si>
    <r>
      <t>C.  </t>
    </r>
    <r>
      <rPr>
        <sz val="12"/>
        <color rgb="FFFF0000"/>
        <rFont val="Arial"/>
        <family val="2"/>
      </rPr>
      <t>소현세자빈</t>
    </r>
  </si>
  <si>
    <t>위닝일레븐</t>
    <phoneticPr fontId="1" type="noConversion"/>
  </si>
  <si>
    <t>C.  위닝일레븐</t>
  </si>
  <si>
    <t>A.  밤</t>
  </si>
  <si>
    <t>B.  곱창</t>
  </si>
  <si>
    <t>A.  미스터리 서클</t>
  </si>
  <si>
    <t>B.  승자승 원칙</t>
  </si>
  <si>
    <t>C.  다 잘될 거야</t>
  </si>
  <si>
    <t>A.  6개</t>
  </si>
  <si>
    <t>B.  코감기</t>
  </si>
  <si>
    <t>C.  많이 수고했어요</t>
  </si>
  <si>
    <t>A.  적머위</t>
  </si>
  <si>
    <t>B.  온도가 낮고 압력이 높을 때</t>
  </si>
  <si>
    <t>C.  용의주도</t>
  </si>
  <si>
    <t>A.  JAM LIVE</t>
  </si>
  <si>
    <t>B.  미션 임파서블: 폴아웃</t>
  </si>
  <si>
    <t>C.  지옥</t>
  </si>
  <si>
    <t>B.  자전거</t>
  </si>
  <si>
    <t>B.  청출어람</t>
  </si>
  <si>
    <t>A.  진주</t>
  </si>
  <si>
    <t>A.  손가락</t>
  </si>
  <si>
    <t>C.  아홉 번째</t>
  </si>
  <si>
    <t>C.  파레콘</t>
  </si>
  <si>
    <t>B.  사람 이름</t>
  </si>
  <si>
    <t>A.  깽땡이풀</t>
  </si>
  <si>
    <t>C.  외계인 손 증후군</t>
  </si>
  <si>
    <t>C.  베이컨 로제 스파게티</t>
  </si>
  <si>
    <t>A.  야근</t>
  </si>
  <si>
    <t>B.  고나리</t>
  </si>
  <si>
    <t>A.  국민 / 국민</t>
  </si>
  <si>
    <t>C.  레알 마드리드</t>
  </si>
  <si>
    <t>A.  큐브</t>
  </si>
  <si>
    <t>C.  Video</t>
  </si>
  <si>
    <t>A.  이슬</t>
  </si>
  <si>
    <t>B.  Short Message Service</t>
  </si>
  <si>
    <t>B.  270</t>
  </si>
  <si>
    <t>C.  6단계</t>
  </si>
  <si>
    <t>B.  새똥</t>
  </si>
  <si>
    <t>C.  비건</t>
  </si>
  <si>
    <t>C.  포테이토 헤드</t>
  </si>
  <si>
    <t>A.  미안하다 사랑한다</t>
  </si>
  <si>
    <t>C.  대관령</t>
  </si>
  <si>
    <t>B.  물냉면</t>
  </si>
  <si>
    <t>C.  헝그리 잭스</t>
  </si>
  <si>
    <t>B.  한별</t>
  </si>
  <si>
    <t>A.  AHA</t>
  </si>
  <si>
    <t>C.  발레</t>
  </si>
  <si>
    <t>A.  뽀빠이</t>
  </si>
  <si>
    <t>A.  5°C </t>
  </si>
  <si>
    <t>C.  닝큼</t>
  </si>
  <si>
    <t>A.  삼성페이</t>
  </si>
  <si>
    <t>B.  콩</t>
  </si>
  <si>
    <t>C.  농구</t>
  </si>
  <si>
    <t>B.  탈옥</t>
  </si>
  <si>
    <t>A.  3만원</t>
  </si>
  <si>
    <t>B.  도움은커녕 방해만 되더라</t>
  </si>
  <si>
    <t>C.  사과</t>
  </si>
  <si>
    <t>C.  레오나르도 다빈치</t>
  </si>
  <si>
    <t>B.  드래곤 와일드 슈팅</t>
  </si>
  <si>
    <t>A.  상춘곡</t>
  </si>
  <si>
    <t>C.  매니페스토</t>
  </si>
  <si>
    <t>A.  10</t>
  </si>
  <si>
    <t>B.  수박</t>
  </si>
  <si>
    <t>B.  응답바람</t>
  </si>
  <si>
    <t>C.  전주비빔밥</t>
  </si>
  <si>
    <t>A.  달래</t>
  </si>
  <si>
    <t>C.  다이아몬드</t>
  </si>
  <si>
    <t>A.  B2B</t>
  </si>
  <si>
    <t>C.  Screen Quota</t>
  </si>
  <si>
    <t>A.  아낙수나문</t>
  </si>
  <si>
    <t>B.  마이클 잭슨</t>
  </si>
  <si>
    <t>C.  경성헌법</t>
  </si>
  <si>
    <t>B.  정부 - org, or.kr</t>
  </si>
  <si>
    <t>C.  칠레-토레스 델 파이네</t>
  </si>
  <si>
    <t>B.  묠니르</t>
  </si>
  <si>
    <t>A.  빛공해</t>
  </si>
  <si>
    <t>C.  인랑</t>
  </si>
  <si>
    <t>C.  유토피아</t>
  </si>
  <si>
    <t>B.  에디 레드메인</t>
  </si>
  <si>
    <t>A.  이세돌</t>
  </si>
  <si>
    <t>B.  사자로 불린 인간병기</t>
  </si>
  <si>
    <t>B.  Wok</t>
  </si>
  <si>
    <t>A.  옥수수차</t>
  </si>
  <si>
    <t>C.  운동화</t>
  </si>
  <si>
    <t>A.  독립신문</t>
  </si>
  <si>
    <t>C.  F-22</t>
  </si>
  <si>
    <t>B.  믹스테이프</t>
  </si>
  <si>
    <t>B.  잼형 상어</t>
  </si>
  <si>
    <t>A.  파이널 라운드</t>
  </si>
  <si>
    <t>C.  DAY</t>
  </si>
  <si>
    <t>B.  티파니에서 아침을</t>
  </si>
  <si>
    <t>A.  아모르파티</t>
  </si>
  <si>
    <t>B.  제 2 금융권</t>
  </si>
  <si>
    <t>C.  철완아톰</t>
  </si>
  <si>
    <t>A.  살풀이</t>
  </si>
  <si>
    <t>C.  움큼</t>
  </si>
  <si>
    <t>A.  미국</t>
  </si>
  <si>
    <t>C.  국밥(gukbap)</t>
  </si>
  <si>
    <t>B.  천냥</t>
  </si>
  <si>
    <t>B.  피노키오</t>
  </si>
  <si>
    <t>C.  텍사스 레인저스</t>
  </si>
  <si>
    <t>B.  미야와키 사쿠라</t>
  </si>
  <si>
    <t>A.  대나무숲</t>
  </si>
  <si>
    <t>A.  직업</t>
  </si>
  <si>
    <t>A.  화장실</t>
  </si>
  <si>
    <t>B.  재</t>
  </si>
  <si>
    <t>A.  멜로망스</t>
  </si>
  <si>
    <t>C.  벙글다</t>
  </si>
  <si>
    <t>B.  매년 7월 3일</t>
  </si>
  <si>
    <t>B.  더닝 크루거 효과</t>
  </si>
  <si>
    <t>A.  납량</t>
  </si>
  <si>
    <t>C.  아르센 루팡</t>
  </si>
  <si>
    <t>B.  통장, 체크카드</t>
  </si>
  <si>
    <t>A.  안구</t>
  </si>
  <si>
    <t>C.  나는 네가 지난 여름에 한 일을 알고 있다</t>
  </si>
  <si>
    <t>A.  콜포비아</t>
  </si>
  <si>
    <t>B.  검은 돌고래 교도소</t>
  </si>
  <si>
    <t>A.  촌철살인</t>
  </si>
  <si>
    <t>A.  하지원</t>
  </si>
  <si>
    <t>A.  벙커 (스페인)</t>
  </si>
  <si>
    <t>C.  사티로스의 얼굴</t>
  </si>
  <si>
    <t>C.  소현세자빈</t>
    <phoneticPr fontId="1" type="noConversion"/>
  </si>
  <si>
    <t>2. 괄호 안에 알맞은 단어는? 윤동주 시인의 "별 헤는 (   )"</t>
  </si>
  <si>
    <t>3. 소, 돼지의 소장을 뜻하는 말로 최근 마마무의 화사가 "[   ] 언니"로 등극하며 열풍이 불고 있다. [   ]은?</t>
  </si>
  <si>
    <t>6. 애니메이션 &lt;라이온킹&gt;에 등장하는 주인공의 좌우명인 "하쿠나마타타"의 뜻은?</t>
  </si>
  <si>
    <t>9. 제주도 방언 "하영 속았수다"의 올바른 표준어는?</t>
  </si>
  <si>
    <t>12. 다음 중 "용"의 의미가 나머지와 다른 하나는?</t>
  </si>
  <si>
    <t>7. "바나나"는 아랍어로 무엇을 뜻할까?</t>
  </si>
  <si>
    <t>10. 디젤 엔진의 "디젤"은 어디에서 유래되었을까?</t>
  </si>
  <si>
    <t>11. 외교부의 "여행경보단계별 행동지침"은 몇 가지 단계로 이루어져 있을까?</t>
  </si>
  <si>
    <t>12. 과거 나우루 공화국은 "이것" 때문에 부자 나라에 속했었다. 여기서 "이것"은?</t>
  </si>
  <si>
    <t>6. 세계적인 햄버거 프랜차이즈 "버거킹"의 호주 이름은?</t>
  </si>
  <si>
    <t>7. "생방송 톡!톡! 보니하니"에서 잼아저씨와 함께 진행을 맡았던 하니는 누구일까?</t>
  </si>
  <si>
    <t>10. "봄을 맞아 경치를 구경하며 즐기는 노래"를 뜻하는 정극인의 작품으로, 조선 최초의 가사(歌辭)는?</t>
  </si>
  <si>
    <t>12. "프랑켄슈타인"을 집필한 메리 셸리는 작품을 처음 쓰기 시작했을 때 [   ]대 였다.</t>
  </si>
  <si>
    <t>6. "기업간 거래" 또는 "기업간 전자상거래"를 뜻하는 경제 용어는?</t>
  </si>
  <si>
    <t>7. "스크린 쿼터"를 영어로 바르게 표기한 것은?</t>
  </si>
  <si>
    <t>9. 다음 중 "JAM"이라는 제목의 노래를 부른 가수는?</t>
  </si>
  <si>
    <t>1. 북유럽 신화 "천둥의 신" 토르가 사용하는 망치의 이름은?</t>
  </si>
  <si>
    <t>8. 중국, 동남아시아 등에서 매우 대중적인 요리 도구인 "웍"의 영문 스펠링은?</t>
  </si>
  <si>
    <t>10. 북한말로 "헝겊구두"는 무엇을 뜻할까?</t>
  </si>
  <si>
    <t>2. 어린이들의 인기 동요 "상어 가족" 가사에 나오지 않는 상어 가족은?</t>
  </si>
  <si>
    <t>4. "오늘의 착장"의 준말인 OOTD의 D는?</t>
  </si>
  <si>
    <t>8. "우주소년 아톰"의 원작명은?</t>
  </si>
  <si>
    <t>12. 게임 &lt;슈퍼마리오 시리즈&gt;의 최종 보스 "쿠파"의 어원은?</t>
  </si>
  <si>
    <t>4. &lt;프로듀스48&gt;의 공식 테마곡 "내꺼야" 무대의 센터로 활약한 연습생은?</t>
  </si>
  <si>
    <t>9. "장마" 라는 제목의 노래를 발표하지 않은 가수는?</t>
  </si>
  <si>
    <t>10. "어린 꽃봉오리가 꽃을 피우기 위해 망울이 생기다"는 뜻의 순우리말은?</t>
  </si>
  <si>
    <t>11. "세계 1회용 비닐봉투 없는 날"은?</t>
  </si>
  <si>
    <t>1. "여름철에 더위를 피하여 서늘한 기운을 느낌"을 뜻하는 말은?</t>
  </si>
  <si>
    <t>2. 소설가 모리스 르블랑이 발표한 추리소설 주인공 "루팡"의 풀네임은?</t>
  </si>
  <si>
    <t>빛이 진공 속에서 1년간 진행하는 거리를 나타내는 단위는?</t>
    <phoneticPr fontId="1" type="noConversion"/>
  </si>
  <si>
    <t>매년</t>
    <phoneticPr fontId="1" type="noConversion"/>
  </si>
  <si>
    <t>광년</t>
    <phoneticPr fontId="1" type="noConversion"/>
  </si>
  <si>
    <t>이말년</t>
    <phoneticPr fontId="1" type="noConversion"/>
  </si>
  <si>
    <t>1</t>
    <phoneticPr fontId="1" type="noConversion"/>
  </si>
  <si>
    <t>신조어 "엄근진"은 세가지 단어의 합성어다. 각각 무엇을 뜻할까?</t>
    <phoneticPr fontId="1" type="noConversion"/>
  </si>
  <si>
    <t>엄마.근심.진심</t>
    <phoneticPr fontId="1" type="noConversion"/>
  </si>
  <si>
    <t>엄청.근거리.진짜</t>
    <phoneticPr fontId="1" type="noConversion"/>
  </si>
  <si>
    <t>엄격.근엄.진지</t>
    <phoneticPr fontId="1" type="noConversion"/>
  </si>
  <si>
    <t>2</t>
    <phoneticPr fontId="1" type="noConversion"/>
  </si>
  <si>
    <t>근로시간이 주당 15시간 미만으로 짧은 초단시간 근로자를 일컫는 말은?</t>
    <phoneticPr fontId="1" type="noConversion"/>
  </si>
  <si>
    <t>미니멀리스트</t>
    <phoneticPr fontId="1" type="noConversion"/>
  </si>
  <si>
    <t>프리랜서</t>
    <phoneticPr fontId="1" type="noConversion"/>
  </si>
  <si>
    <t>미니잡</t>
    <phoneticPr fontId="1" type="noConversion"/>
  </si>
  <si>
    <t>다음 중 어림수를 잘못 읽은 것은?</t>
    <phoneticPr fontId="1" type="noConversion"/>
  </si>
  <si>
    <t>5~6(대여섯)</t>
    <phoneticPr fontId="1" type="noConversion"/>
  </si>
  <si>
    <t>6~7(여닐곱)</t>
    <phoneticPr fontId="1" type="noConversion"/>
  </si>
  <si>
    <t>7~8(일고여덟)</t>
    <phoneticPr fontId="1" type="noConversion"/>
  </si>
  <si>
    <t>"직장에 반려견을 데리고 가는 날"의 약자는?</t>
    <phoneticPr fontId="1" type="noConversion"/>
  </si>
  <si>
    <t>TYDTWD</t>
    <phoneticPr fontId="1" type="noConversion"/>
  </si>
  <si>
    <t>TPD</t>
    <phoneticPr fontId="1" type="noConversion"/>
  </si>
  <si>
    <t>GTWD</t>
    <phoneticPr fontId="1" type="noConversion"/>
  </si>
  <si>
    <t>0</t>
    <phoneticPr fontId="1" type="noConversion"/>
  </si>
  <si>
    <t>너 좋을 대로 해</t>
    <phoneticPr fontId="1" type="noConversion"/>
  </si>
  <si>
    <t>너 좋아해</t>
    <phoneticPr fontId="1" type="noConversion"/>
  </si>
  <si>
    <t>너 싫어해</t>
    <phoneticPr fontId="1" type="noConversion"/>
  </si>
  <si>
    <t>옳고 그름을 가릴 줄 알고, 화재나 재앙을 물리친다고 알려진 상상 속의 동물은?</t>
    <phoneticPr fontId="1" type="noConversion"/>
  </si>
  <si>
    <t>용</t>
    <phoneticPr fontId="1" type="noConversion"/>
  </si>
  <si>
    <t>해태</t>
    <phoneticPr fontId="1" type="noConversion"/>
  </si>
  <si>
    <t>현무</t>
    <phoneticPr fontId="1" type="noConversion"/>
  </si>
  <si>
    <t>1</t>
    <phoneticPr fontId="1" type="noConversion"/>
  </si>
  <si>
    <t>IPv4에 이어서 개발, IPv4를 대폭 확장한 차세대 인터넷주소 체계는?</t>
    <phoneticPr fontId="1" type="noConversion"/>
  </si>
  <si>
    <t>IPv1</t>
    <phoneticPr fontId="1" type="noConversion"/>
  </si>
  <si>
    <t>IPv5</t>
    <phoneticPr fontId="1" type="noConversion"/>
  </si>
  <si>
    <t>IPv6</t>
    <phoneticPr fontId="1" type="noConversion"/>
  </si>
  <si>
    <t>2</t>
    <phoneticPr fontId="1" type="noConversion"/>
  </si>
  <si>
    <t>전라남도 신안군 하의면에 딸린 섬으로 모양이 개처럼 생긴 이 섬의 이름은?</t>
    <phoneticPr fontId="1" type="noConversion"/>
  </si>
  <si>
    <t>개도</t>
    <phoneticPr fontId="1" type="noConversion"/>
  </si>
  <si>
    <t>멍도</t>
    <phoneticPr fontId="1" type="noConversion"/>
  </si>
  <si>
    <t>견도</t>
    <phoneticPr fontId="1" type="noConversion"/>
  </si>
  <si>
    <t>K리그 프로팀과 계약할 수 있는 선수의  최저 연령은?</t>
    <phoneticPr fontId="1" type="noConversion"/>
  </si>
  <si>
    <t>만 17세</t>
    <phoneticPr fontId="1" type="noConversion"/>
  </si>
  <si>
    <t>만 18세</t>
    <phoneticPr fontId="1" type="noConversion"/>
  </si>
  <si>
    <t>만 19세</t>
    <phoneticPr fontId="1" type="noConversion"/>
  </si>
  <si>
    <t>1930년대 대공황 시절 뉴욕의 실업자들은 너도나도 이 과일을 파는 노점상을 했다. 이 과일은?</t>
    <phoneticPr fontId="1" type="noConversion"/>
  </si>
  <si>
    <t>딸기</t>
    <phoneticPr fontId="1" type="noConversion"/>
  </si>
  <si>
    <t>사과</t>
    <phoneticPr fontId="1" type="noConversion"/>
  </si>
  <si>
    <t>오렌지</t>
    <phoneticPr fontId="1" type="noConversion"/>
  </si>
  <si>
    <t>지구에서 가장 멀리 날아간 우주선은?</t>
    <phoneticPr fontId="1" type="noConversion"/>
  </si>
  <si>
    <t>스푸트니크 1호</t>
    <phoneticPr fontId="1" type="noConversion"/>
  </si>
  <si>
    <t>머큐리</t>
    <phoneticPr fontId="1" type="noConversion"/>
  </si>
  <si>
    <t>보이저 1호</t>
    <phoneticPr fontId="1" type="noConversion"/>
  </si>
  <si>
    <t>It"s up to you. 는 무슨 뜻일까?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</si>
</sst>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Courier New"/>
      <family val="3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0"/>
      <color rgb="FF000000"/>
      <name val="굴림"/>
      <family val="3"/>
      <charset val="129"/>
    </font>
    <font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rgb="FFFF0000"/>
      <name val="바탕"/>
      <family val="1"/>
      <charset val="129"/>
    </font>
    <font>
      <sz val="10"/>
      <name val="Times New Roman"/>
      <family val="1"/>
    </font>
    <font>
      <sz val="10"/>
      <color rgb="FF000000"/>
      <name val="바탕"/>
      <family val="1"/>
      <charset val="129"/>
    </font>
    <font>
      <sz val="10"/>
      <color rgb="FFFF6600"/>
      <name val="Times New Roman"/>
      <family val="1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name val="바탕"/>
      <family val="1"/>
      <charset val="129"/>
    </font>
    <font>
      <sz val="11"/>
      <name val="맑은 고딕"/>
      <family val="2"/>
      <charset val="129"/>
      <scheme val="minor"/>
    </font>
    <font>
      <sz val="12"/>
      <name val="맑은 고딕"/>
      <family val="3"/>
      <charset val="129"/>
      <scheme val="minor"/>
    </font>
    <font>
      <b/>
      <sz val="12"/>
      <color rgb="FF666666"/>
      <name val="Arial"/>
      <family val="2"/>
    </font>
    <font>
      <sz val="11"/>
      <color rgb="FFFF000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1"/>
      <color rgb="FF0900F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4" fillId="0" borderId="0" xfId="0" applyFont="1" applyAlignment="1">
      <alignment horizontal="right" vertical="center" wrapText="1" indent="2"/>
    </xf>
    <xf numFmtId="49" fontId="6" fillId="0" borderId="0" xfId="0" applyNumberFormat="1" applyFont="1" applyAlignment="1">
      <alignment horizontal="justify" vertical="center"/>
    </xf>
    <xf numFmtId="49" fontId="7" fillId="0" borderId="0" xfId="0" applyNumberFormat="1" applyFont="1" applyAlignment="1">
      <alignment horizontal="justify" vertical="center"/>
    </xf>
    <xf numFmtId="49" fontId="8" fillId="0" borderId="0" xfId="0" applyNumberFormat="1" applyFont="1" applyAlignment="1">
      <alignment horizontal="justify" vertical="center"/>
    </xf>
    <xf numFmtId="49" fontId="9" fillId="0" borderId="0" xfId="0" applyNumberFormat="1" applyFont="1" applyAlignment="1">
      <alignment horizontal="justify" vertical="center"/>
    </xf>
    <xf numFmtId="49" fontId="10" fillId="0" borderId="0" xfId="0" applyNumberFormat="1" applyFont="1" applyAlignment="1">
      <alignment horizontal="justify" vertical="center"/>
    </xf>
    <xf numFmtId="49" fontId="11" fillId="0" borderId="0" xfId="0" applyNumberFormat="1" applyFont="1" applyAlignment="1">
      <alignment horizontal="justify" vertical="center"/>
    </xf>
    <xf numFmtId="49" fontId="13" fillId="0" borderId="0" xfId="0" applyNumberFormat="1" applyFont="1" applyAlignment="1">
      <alignment horizontal="justify" vertical="center"/>
    </xf>
    <xf numFmtId="49" fontId="0" fillId="0" borderId="0" xfId="0" applyNumberFormat="1" applyAlignment="1">
      <alignment horizontal="justify" vertical="center"/>
    </xf>
    <xf numFmtId="49" fontId="15" fillId="0" borderId="0" xfId="0" applyNumberFormat="1" applyFont="1" applyAlignment="1">
      <alignment horizontal="justify" vertical="center"/>
    </xf>
    <xf numFmtId="49" fontId="16" fillId="0" borderId="0" xfId="0" applyNumberFormat="1" applyFont="1" applyAlignment="1">
      <alignment horizontal="justify" vertical="center"/>
    </xf>
    <xf numFmtId="49" fontId="14" fillId="0" borderId="0" xfId="0" applyNumberFormat="1" applyFont="1" applyAlignment="1">
      <alignment horizontal="justify" vertical="center"/>
    </xf>
    <xf numFmtId="49" fontId="12" fillId="0" borderId="0" xfId="0" applyNumberFormat="1" applyFont="1" applyAlignment="1">
      <alignment horizontal="justify" vertical="center"/>
    </xf>
    <xf numFmtId="49" fontId="18" fillId="0" borderId="0" xfId="0" applyNumberFormat="1" applyFont="1" applyAlignment="1">
      <alignment horizontal="justify" vertical="center"/>
    </xf>
    <xf numFmtId="49" fontId="7" fillId="0" borderId="0" xfId="0" quotePrefix="1" applyNumberFormat="1" applyFont="1" applyAlignment="1">
      <alignment horizontal="justify" vertical="center"/>
    </xf>
    <xf numFmtId="20" fontId="0" fillId="0" borderId="0" xfId="0" applyNumberFormat="1">
      <alignment vertical="center"/>
    </xf>
    <xf numFmtId="47" fontId="0" fillId="0" borderId="0" xfId="0" applyNumberFormat="1">
      <alignment vertical="center"/>
    </xf>
    <xf numFmtId="21" fontId="0" fillId="0" borderId="0" xfId="0" applyNumberFormat="1">
      <alignment vertical="center"/>
    </xf>
    <xf numFmtId="49" fontId="20" fillId="0" borderId="0" xfId="0" applyNumberFormat="1" applyFont="1" applyAlignment="1">
      <alignment vertical="center" wrapText="1"/>
    </xf>
    <xf numFmtId="49" fontId="20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 wrapText="1" indent="2"/>
    </xf>
    <xf numFmtId="0" fontId="21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9" fontId="0" fillId="0" borderId="0" xfId="0" applyNumberFormat="1">
      <alignment vertical="center"/>
    </xf>
    <xf numFmtId="9" fontId="17" fillId="0" borderId="0" xfId="0" applyNumberFormat="1" applyFont="1">
      <alignment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justify" vertical="center"/>
    </xf>
    <xf numFmtId="0" fontId="16" fillId="0" borderId="0" xfId="0" applyFont="1" applyAlignment="1">
      <alignment horizontal="justify" vertical="center"/>
    </xf>
    <xf numFmtId="20" fontId="26" fillId="0" borderId="0" xfId="0" applyNumberFormat="1" applyFont="1" applyAlignment="1">
      <alignment horizontal="justify" vertical="center"/>
    </xf>
    <xf numFmtId="20" fontId="25" fillId="0" borderId="0" xfId="0" applyNumberFormat="1" applyFont="1" applyAlignment="1">
      <alignment horizontal="justify" vertical="center"/>
    </xf>
    <xf numFmtId="0" fontId="3" fillId="0" borderId="0" xfId="0" applyFont="1" applyAlignment="1">
      <alignment horizontal="left" vertical="center" wrapText="1" indent="2"/>
    </xf>
    <xf numFmtId="0" fontId="27" fillId="0" borderId="0" xfId="0" applyFont="1">
      <alignment vertical="center"/>
    </xf>
    <xf numFmtId="0" fontId="0" fillId="0" borderId="0" xfId="0" quotePrefix="1">
      <alignment vertical="center"/>
    </xf>
    <xf numFmtId="0" fontId="28" fillId="0" borderId="0" xfId="0" applyFont="1" applyAlignment="1">
      <alignment horizontal="justify" vertical="center"/>
    </xf>
    <xf numFmtId="0" fontId="23" fillId="0" borderId="0" xfId="0" applyFont="1" applyAlignment="1">
      <alignment horizontal="justify" vertical="center"/>
    </xf>
    <xf numFmtId="10" fontId="23" fillId="0" borderId="0" xfId="0" applyNumberFormat="1" applyFont="1" applyAlignment="1">
      <alignment horizontal="justify" vertical="center"/>
    </xf>
    <xf numFmtId="10" fontId="28" fillId="0" borderId="0" xfId="0" applyNumberFormat="1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86"/>
  <sheetViews>
    <sheetView tabSelected="1" zoomScale="85" zoomScaleNormal="85" workbookViewId="0">
      <selection activeCell="J14" sqref="J3:J14"/>
    </sheetView>
  </sheetViews>
  <sheetFormatPr defaultRowHeight="16.5"/>
  <cols>
    <col min="1" max="1" width="16.625" bestFit="1" customWidth="1"/>
    <col min="2" max="2" width="32.25" style="1" customWidth="1"/>
    <col min="3" max="6" width="10.625" style="1" customWidth="1"/>
    <col min="7" max="7" width="17.5" style="3" bestFit="1" customWidth="1"/>
    <col min="8" max="8" width="19.625" style="3" bestFit="1" customWidth="1"/>
    <col min="9" max="9" width="18.625" style="3" bestFit="1" customWidth="1"/>
    <col min="10" max="10" width="51.625" customWidth="1"/>
  </cols>
  <sheetData>
    <row r="1" spans="1:10">
      <c r="G1" s="3" t="str">
        <f t="shared" ref="G1:G12" si="0">IF( IFERROR(FIND("A.",C1), 0) &gt; 0, TRIM(MID( C1, SEARCH("A.", C1)+2, 100)),TRIM(C1))</f>
        <v/>
      </c>
      <c r="H1" s="3" t="str">
        <f t="shared" ref="H1:H12" si="1">IF( IFERROR(FIND("B.",D1), 0) &gt; 0, TRIM(MID( D1, SEARCH("B.", D1)+2, 100)),TRIM(D1))</f>
        <v/>
      </c>
      <c r="I1" s="4" t="str">
        <f t="shared" ref="I1:I2" si="2">IF( IFERROR(FIND("C.",F1), 0) &gt; 0, TRIM(MID( F1, SEARCH("C.", F1)+2, 100)),TRIM(F1))</f>
        <v/>
      </c>
    </row>
    <row r="2" spans="1:10">
      <c r="B2" s="1" t="s">
        <v>6649</v>
      </c>
      <c r="G2" s="3" t="str">
        <f t="shared" si="0"/>
        <v/>
      </c>
      <c r="H2" s="3" t="str">
        <f t="shared" si="1"/>
        <v/>
      </c>
      <c r="I2" s="4" t="str">
        <f t="shared" si="2"/>
        <v/>
      </c>
    </row>
    <row r="3" spans="1:10">
      <c r="A3">
        <v>99</v>
      </c>
      <c r="B3" s="1" t="s">
        <v>12143</v>
      </c>
      <c r="C3" s="1" t="s">
        <v>12144</v>
      </c>
      <c r="D3" s="1" t="s">
        <v>12145</v>
      </c>
      <c r="E3" s="1" t="s">
        <v>12146</v>
      </c>
      <c r="F3" s="1" t="s">
        <v>12147</v>
      </c>
      <c r="G3" s="3" t="str">
        <f t="shared" si="0"/>
        <v>매년</v>
      </c>
      <c r="H3" s="3" t="str">
        <f t="shared" si="1"/>
        <v>광년</v>
      </c>
      <c r="I3" s="3" t="str">
        <f>IF( IFERROR(FIND("C.",E3), 0) &gt; 0, TRIM(MID( E3, SEARCH("C.", E3)+2, 100)),TRIM(E3))</f>
        <v>이말년</v>
      </c>
      <c r="J3" t="str">
        <f>"("&amp;$B$2&amp;","&amp;A3&amp;",'"&amp;B3&amp;"','"&amp;G3&amp;"','"&amp;H3&amp;"','"&amp;I3&amp;"',"&amp;F3&amp;"),"</f>
        <v>(999,99,'빛이 진공 속에서 1년간 진행하는 거리를 나타내는 단위는?','매년','광년','이말년',1),</v>
      </c>
    </row>
    <row r="4" spans="1:10">
      <c r="A4">
        <v>99</v>
      </c>
      <c r="B4" s="1" t="s">
        <v>12148</v>
      </c>
      <c r="C4" s="1" t="s">
        <v>12149</v>
      </c>
      <c r="D4" s="1" t="s">
        <v>12150</v>
      </c>
      <c r="E4" s="1" t="s">
        <v>12151</v>
      </c>
      <c r="F4" s="1" t="s">
        <v>12152</v>
      </c>
      <c r="G4" s="3" t="str">
        <f t="shared" si="0"/>
        <v>엄마.근심.진심</v>
      </c>
      <c r="H4" s="3" t="str">
        <f t="shared" si="1"/>
        <v>엄청.근거리.진짜</v>
      </c>
      <c r="I4" s="3" t="str">
        <f t="shared" ref="I4:I67" si="3">IF( IFERROR(FIND("C.",E4), 0) &gt; 0, TRIM(MID( E4, SEARCH("C.", E4)+2, 100)),TRIM(E4))</f>
        <v>엄격.근엄.진지</v>
      </c>
      <c r="J4" t="str">
        <f t="shared" ref="J4:J67" si="4">"("&amp;$B$2&amp;","&amp;A4&amp;",'"&amp;B4&amp;"','"&amp;G4&amp;"','"&amp;H4&amp;"','"&amp;I4&amp;"',"&amp;F4&amp;"),"</f>
        <v>(999,99,'신조어 "엄근진"은 세가지 단어의 합성어다. 각각 무엇을 뜻할까?','엄마.근심.진심','엄청.근거리.진짜','엄격.근엄.진지',2),</v>
      </c>
    </row>
    <row r="5" spans="1:10">
      <c r="A5">
        <v>99</v>
      </c>
      <c r="B5" s="1" t="s">
        <v>12153</v>
      </c>
      <c r="C5" s="1" t="s">
        <v>12154</v>
      </c>
      <c r="D5" s="1" t="s">
        <v>12155</v>
      </c>
      <c r="E5" s="1" t="s">
        <v>12156</v>
      </c>
      <c r="F5" s="1" t="s">
        <v>12152</v>
      </c>
      <c r="G5" s="3" t="str">
        <f t="shared" si="0"/>
        <v>미니멀리스트</v>
      </c>
      <c r="H5" s="3" t="str">
        <f t="shared" si="1"/>
        <v>프리랜서</v>
      </c>
      <c r="I5" s="3" t="str">
        <f t="shared" si="3"/>
        <v>미니잡</v>
      </c>
      <c r="J5" t="str">
        <f t="shared" si="4"/>
        <v>(999,99,'근로시간이 주당 15시간 미만으로 짧은 초단시간 근로자를 일컫는 말은?','미니멀리스트','프리랜서','미니잡',2),</v>
      </c>
    </row>
    <row r="6" spans="1:10">
      <c r="A6">
        <v>99</v>
      </c>
      <c r="B6" s="1" t="s">
        <v>12157</v>
      </c>
      <c r="C6" s="1" t="s">
        <v>12158</v>
      </c>
      <c r="D6" s="1" t="s">
        <v>12159</v>
      </c>
      <c r="E6" s="1" t="s">
        <v>12160</v>
      </c>
      <c r="F6" s="1" t="s">
        <v>12147</v>
      </c>
      <c r="G6" s="3" t="str">
        <f t="shared" si="0"/>
        <v>5~6(대여섯)</v>
      </c>
      <c r="H6" s="3" t="str">
        <f t="shared" si="1"/>
        <v>6~7(여닐곱)</v>
      </c>
      <c r="I6" s="3" t="str">
        <f t="shared" si="3"/>
        <v>7~8(일고여덟)</v>
      </c>
      <c r="J6" t="str">
        <f t="shared" si="4"/>
        <v>(999,99,'다음 중 어림수를 잘못 읽은 것은?','5~6(대여섯)','6~7(여닐곱)','7~8(일고여덟)',1),</v>
      </c>
    </row>
    <row r="7" spans="1:10">
      <c r="A7">
        <v>99</v>
      </c>
      <c r="B7" s="1" t="s">
        <v>12161</v>
      </c>
      <c r="C7" s="1" t="s">
        <v>12162</v>
      </c>
      <c r="D7" s="1" t="s">
        <v>12163</v>
      </c>
      <c r="E7" s="1" t="s">
        <v>12164</v>
      </c>
      <c r="F7" s="1" t="s">
        <v>12165</v>
      </c>
      <c r="G7" s="3" t="str">
        <f t="shared" si="0"/>
        <v>TYDTWD</v>
      </c>
      <c r="H7" s="3" t="str">
        <f t="shared" si="1"/>
        <v>TPD</v>
      </c>
      <c r="I7" s="3" t="str">
        <f t="shared" si="3"/>
        <v>GTWD</v>
      </c>
      <c r="J7" t="str">
        <f t="shared" si="4"/>
        <v>(999,99,'"직장에 반려견을 데리고 가는 날"의 약자는?','TYDTWD','TPD','GTWD',0),</v>
      </c>
    </row>
    <row r="8" spans="1:10">
      <c r="A8">
        <v>99</v>
      </c>
      <c r="B8" s="1" t="s">
        <v>12195</v>
      </c>
      <c r="C8" s="1" t="s">
        <v>12166</v>
      </c>
      <c r="D8" s="1" t="s">
        <v>12167</v>
      </c>
      <c r="E8" s="1" t="s">
        <v>12168</v>
      </c>
      <c r="F8" s="1" t="s">
        <v>12165</v>
      </c>
      <c r="G8" s="3" t="str">
        <f t="shared" si="0"/>
        <v>너 좋을 대로 해</v>
      </c>
      <c r="H8" s="3" t="str">
        <f t="shared" si="1"/>
        <v>너 좋아해</v>
      </c>
      <c r="I8" s="3" t="str">
        <f t="shared" si="3"/>
        <v>너 싫어해</v>
      </c>
      <c r="J8" t="str">
        <f t="shared" si="4"/>
        <v>(999,99,'It"s up to you. 는 무슨 뜻일까?','너 좋을 대로 해','너 좋아해','너 싫어해',0),</v>
      </c>
    </row>
    <row r="9" spans="1:10">
      <c r="A9">
        <v>99</v>
      </c>
      <c r="B9" s="1" t="s">
        <v>12169</v>
      </c>
      <c r="C9" s="1" t="s">
        <v>12170</v>
      </c>
      <c r="D9" s="1" t="s">
        <v>12171</v>
      </c>
      <c r="E9" s="1" t="s">
        <v>12172</v>
      </c>
      <c r="F9" s="1" t="s">
        <v>12173</v>
      </c>
      <c r="G9" s="3" t="str">
        <f t="shared" si="0"/>
        <v>용</v>
      </c>
      <c r="H9" s="3" t="str">
        <f t="shared" si="1"/>
        <v>해태</v>
      </c>
      <c r="I9" s="3" t="str">
        <f t="shared" si="3"/>
        <v>현무</v>
      </c>
      <c r="J9" t="str">
        <f t="shared" si="4"/>
        <v>(999,99,'옳고 그름을 가릴 줄 알고, 화재나 재앙을 물리친다고 알려진 상상 속의 동물은?','용','해태','현무',1),</v>
      </c>
    </row>
    <row r="10" spans="1:10">
      <c r="A10">
        <v>99</v>
      </c>
      <c r="B10" s="1" t="s">
        <v>12174</v>
      </c>
      <c r="C10" s="1" t="s">
        <v>12175</v>
      </c>
      <c r="D10" s="1" t="s">
        <v>12176</v>
      </c>
      <c r="E10" s="1" t="s">
        <v>12177</v>
      </c>
      <c r="F10" s="1" t="s">
        <v>12178</v>
      </c>
      <c r="G10" s="3" t="str">
        <f t="shared" si="0"/>
        <v>IPv1</v>
      </c>
      <c r="H10" s="3" t="str">
        <f t="shared" si="1"/>
        <v>IPv5</v>
      </c>
      <c r="I10" s="3" t="str">
        <f t="shared" si="3"/>
        <v>IPv6</v>
      </c>
      <c r="J10" t="str">
        <f t="shared" si="4"/>
        <v>(999,99,'IPv4에 이어서 개발, IPv4를 대폭 확장한 차세대 인터넷주소 체계는?','IPv1','IPv5','IPv6',2),</v>
      </c>
    </row>
    <row r="11" spans="1:10">
      <c r="A11">
        <v>99</v>
      </c>
      <c r="B11" s="1" t="s">
        <v>12179</v>
      </c>
      <c r="C11" s="1" t="s">
        <v>12180</v>
      </c>
      <c r="D11" s="1" t="s">
        <v>12181</v>
      </c>
      <c r="E11" s="1" t="s">
        <v>12182</v>
      </c>
      <c r="F11" s="1" t="s">
        <v>12165</v>
      </c>
      <c r="G11" s="3" t="str">
        <f t="shared" si="0"/>
        <v>개도</v>
      </c>
      <c r="H11" s="3" t="str">
        <f t="shared" si="1"/>
        <v>멍도</v>
      </c>
      <c r="I11" s="3" t="str">
        <f t="shared" si="3"/>
        <v>견도</v>
      </c>
      <c r="J11" t="str">
        <f t="shared" si="4"/>
        <v>(999,99,'전라남도 신안군 하의면에 딸린 섬으로 모양이 개처럼 생긴 이 섬의 이름은?','개도','멍도','견도',0),</v>
      </c>
    </row>
    <row r="12" spans="1:10">
      <c r="A12">
        <v>99</v>
      </c>
      <c r="B12" s="1" t="s">
        <v>12183</v>
      </c>
      <c r="C12" s="1" t="s">
        <v>12184</v>
      </c>
      <c r="D12" s="1" t="s">
        <v>12185</v>
      </c>
      <c r="E12" s="1" t="s">
        <v>12186</v>
      </c>
      <c r="F12" s="1" t="s">
        <v>12165</v>
      </c>
      <c r="G12" s="3" t="str">
        <f t="shared" si="0"/>
        <v>만 17세</v>
      </c>
      <c r="H12" s="3" t="str">
        <f t="shared" si="1"/>
        <v>만 18세</v>
      </c>
      <c r="I12" s="3" t="str">
        <f t="shared" si="3"/>
        <v>만 19세</v>
      </c>
      <c r="J12" t="str">
        <f t="shared" si="4"/>
        <v>(999,99,'K리그 프로팀과 계약할 수 있는 선수의  최저 연령은?','만 17세','만 18세','만 19세',0),</v>
      </c>
    </row>
    <row r="13" spans="1:10">
      <c r="A13">
        <v>99</v>
      </c>
      <c r="B13" s="1" t="s">
        <v>12187</v>
      </c>
      <c r="C13" s="1" t="s">
        <v>12188</v>
      </c>
      <c r="D13" s="1" t="s">
        <v>12189</v>
      </c>
      <c r="E13" s="1" t="s">
        <v>12190</v>
      </c>
      <c r="F13" s="1" t="s">
        <v>12147</v>
      </c>
      <c r="G13" s="3" t="str">
        <f t="shared" ref="G13:G64" si="5">IF( IFERROR(FIND("A.",C13), 0) &gt; 0, TRIM(MID( C13, SEARCH("A.", C13)+2, 100)),TRIM(C13))</f>
        <v>딸기</v>
      </c>
      <c r="H13" s="3" t="str">
        <f t="shared" ref="H13:H64" si="6">IF( IFERROR(FIND("B.",D13), 0) &gt; 0, TRIM(MID( D13, SEARCH("B.", D13)+2, 100)),TRIM(D13))</f>
        <v>사과</v>
      </c>
      <c r="I13" s="3" t="str">
        <f t="shared" si="3"/>
        <v>오렌지</v>
      </c>
      <c r="J13" t="str">
        <f t="shared" si="4"/>
        <v>(999,99,'1930년대 대공황 시절 뉴욕의 실업자들은 너도나도 이 과일을 파는 노점상을 했다. 이 과일은?','딸기','사과','오렌지',1),</v>
      </c>
    </row>
    <row r="14" spans="1:10">
      <c r="A14">
        <v>99</v>
      </c>
      <c r="B14" s="1" t="s">
        <v>12191</v>
      </c>
      <c r="C14" s="1" t="s">
        <v>12192</v>
      </c>
      <c r="D14" s="1" t="s">
        <v>12193</v>
      </c>
      <c r="E14" s="1" t="s">
        <v>12194</v>
      </c>
      <c r="F14" s="1" t="s">
        <v>12152</v>
      </c>
      <c r="G14" s="3" t="str">
        <f t="shared" si="5"/>
        <v>스푸트니크 1호</v>
      </c>
      <c r="H14" s="3" t="str">
        <f t="shared" si="6"/>
        <v>머큐리</v>
      </c>
      <c r="I14" s="3" t="str">
        <f t="shared" si="3"/>
        <v>보이저 1호</v>
      </c>
      <c r="J14" t="str">
        <f t="shared" si="4"/>
        <v>(999,99,'지구에서 가장 멀리 날아간 우주선은?','스푸트니크 1호','머큐리','보이저 1호',2),</v>
      </c>
    </row>
    <row r="15" spans="1:10">
      <c r="A15">
        <v>99</v>
      </c>
      <c r="G15" s="3" t="str">
        <f t="shared" si="5"/>
        <v/>
      </c>
      <c r="H15" s="3" t="str">
        <f t="shared" si="6"/>
        <v/>
      </c>
      <c r="I15" s="3" t="str">
        <f t="shared" si="3"/>
        <v/>
      </c>
      <c r="J15" t="str">
        <f t="shared" si="4"/>
        <v>(999,99,'','','','',),</v>
      </c>
    </row>
    <row r="16" spans="1:10">
      <c r="A16">
        <v>99</v>
      </c>
      <c r="G16" s="3" t="str">
        <f t="shared" si="5"/>
        <v/>
      </c>
      <c r="H16" s="3" t="str">
        <f t="shared" si="6"/>
        <v/>
      </c>
      <c r="I16" s="3" t="str">
        <f t="shared" si="3"/>
        <v/>
      </c>
      <c r="J16" t="str">
        <f t="shared" si="4"/>
        <v>(999,99,'','','','',),</v>
      </c>
    </row>
    <row r="17" spans="1:10">
      <c r="A17">
        <v>99</v>
      </c>
      <c r="G17" s="3" t="str">
        <f t="shared" si="5"/>
        <v/>
      </c>
      <c r="H17" s="3" t="str">
        <f t="shared" si="6"/>
        <v/>
      </c>
      <c r="I17" s="3" t="str">
        <f t="shared" si="3"/>
        <v/>
      </c>
      <c r="J17" t="str">
        <f t="shared" si="4"/>
        <v>(999,99,'','','','',),</v>
      </c>
    </row>
    <row r="18" spans="1:10">
      <c r="A18">
        <v>99</v>
      </c>
      <c r="G18" s="3" t="str">
        <f t="shared" si="5"/>
        <v/>
      </c>
      <c r="H18" s="3" t="str">
        <f t="shared" si="6"/>
        <v/>
      </c>
      <c r="I18" s="3" t="str">
        <f t="shared" si="3"/>
        <v/>
      </c>
      <c r="J18" t="str">
        <f t="shared" si="4"/>
        <v>(999,99,'','','','',),</v>
      </c>
    </row>
    <row r="19" spans="1:10">
      <c r="A19">
        <v>99</v>
      </c>
      <c r="G19" s="3" t="str">
        <f t="shared" si="5"/>
        <v/>
      </c>
      <c r="H19" s="3" t="str">
        <f t="shared" si="6"/>
        <v/>
      </c>
      <c r="I19" s="3" t="str">
        <f t="shared" si="3"/>
        <v/>
      </c>
      <c r="J19" t="str">
        <f t="shared" si="4"/>
        <v>(999,99,'','','','',),</v>
      </c>
    </row>
    <row r="20" spans="1:10">
      <c r="A20">
        <v>99</v>
      </c>
      <c r="G20" s="3" t="str">
        <f t="shared" si="5"/>
        <v/>
      </c>
      <c r="H20" s="3" t="str">
        <f t="shared" si="6"/>
        <v/>
      </c>
      <c r="I20" s="3" t="str">
        <f t="shared" si="3"/>
        <v/>
      </c>
      <c r="J20" t="str">
        <f t="shared" si="4"/>
        <v>(999,99,'','','','',),</v>
      </c>
    </row>
    <row r="21" spans="1:10">
      <c r="A21">
        <v>99</v>
      </c>
      <c r="G21" s="3" t="str">
        <f t="shared" si="5"/>
        <v/>
      </c>
      <c r="H21" s="3" t="str">
        <f t="shared" si="6"/>
        <v/>
      </c>
      <c r="I21" s="3" t="str">
        <f t="shared" si="3"/>
        <v/>
      </c>
      <c r="J21" t="str">
        <f t="shared" si="4"/>
        <v>(999,99,'','','','',),</v>
      </c>
    </row>
    <row r="22" spans="1:10">
      <c r="A22">
        <v>99</v>
      </c>
      <c r="G22" s="3" t="str">
        <f t="shared" si="5"/>
        <v/>
      </c>
      <c r="H22" s="3" t="str">
        <f t="shared" si="6"/>
        <v/>
      </c>
      <c r="I22" s="3" t="str">
        <f t="shared" si="3"/>
        <v/>
      </c>
      <c r="J22" t="str">
        <f t="shared" si="4"/>
        <v>(999,99,'','','','',),</v>
      </c>
    </row>
    <row r="23" spans="1:10">
      <c r="A23">
        <v>99</v>
      </c>
      <c r="G23" s="3" t="str">
        <f t="shared" si="5"/>
        <v/>
      </c>
      <c r="H23" s="3" t="str">
        <f t="shared" si="6"/>
        <v/>
      </c>
      <c r="I23" s="3" t="str">
        <f t="shared" si="3"/>
        <v/>
      </c>
      <c r="J23" t="str">
        <f t="shared" si="4"/>
        <v>(999,99,'','','','',),</v>
      </c>
    </row>
    <row r="24" spans="1:10">
      <c r="A24">
        <v>99</v>
      </c>
      <c r="G24" s="3" t="str">
        <f t="shared" si="5"/>
        <v/>
      </c>
      <c r="H24" s="3" t="str">
        <f t="shared" si="6"/>
        <v/>
      </c>
      <c r="I24" s="3" t="str">
        <f t="shared" si="3"/>
        <v/>
      </c>
      <c r="J24" t="str">
        <f t="shared" si="4"/>
        <v>(999,99,'','','','',),</v>
      </c>
    </row>
    <row r="25" spans="1:10">
      <c r="A25">
        <v>99</v>
      </c>
      <c r="G25" s="3" t="str">
        <f t="shared" si="5"/>
        <v/>
      </c>
      <c r="H25" s="3" t="str">
        <f t="shared" si="6"/>
        <v/>
      </c>
      <c r="I25" s="3" t="str">
        <f t="shared" si="3"/>
        <v/>
      </c>
      <c r="J25" t="str">
        <f t="shared" si="4"/>
        <v>(999,99,'','','','',),</v>
      </c>
    </row>
    <row r="26" spans="1:10">
      <c r="A26">
        <v>99</v>
      </c>
      <c r="G26" s="3" t="str">
        <f t="shared" si="5"/>
        <v/>
      </c>
      <c r="H26" s="3" t="str">
        <f t="shared" si="6"/>
        <v/>
      </c>
      <c r="I26" s="3" t="str">
        <f t="shared" si="3"/>
        <v/>
      </c>
      <c r="J26" t="str">
        <f t="shared" si="4"/>
        <v>(999,99,'','','','',),</v>
      </c>
    </row>
    <row r="27" spans="1:10">
      <c r="A27">
        <v>99</v>
      </c>
      <c r="G27" s="3" t="str">
        <f t="shared" si="5"/>
        <v/>
      </c>
      <c r="H27" s="3" t="str">
        <f t="shared" si="6"/>
        <v/>
      </c>
      <c r="I27" s="3" t="str">
        <f t="shared" si="3"/>
        <v/>
      </c>
      <c r="J27" t="str">
        <f t="shared" si="4"/>
        <v>(999,99,'','','','',),</v>
      </c>
    </row>
    <row r="28" spans="1:10">
      <c r="A28">
        <v>99</v>
      </c>
      <c r="G28" s="3" t="str">
        <f t="shared" si="5"/>
        <v/>
      </c>
      <c r="H28" s="3" t="str">
        <f t="shared" si="6"/>
        <v/>
      </c>
      <c r="I28" s="3" t="str">
        <f t="shared" si="3"/>
        <v/>
      </c>
      <c r="J28" t="str">
        <f t="shared" si="4"/>
        <v>(999,99,'','','','',),</v>
      </c>
    </row>
    <row r="29" spans="1:10">
      <c r="A29">
        <v>99</v>
      </c>
      <c r="G29" s="3" t="str">
        <f t="shared" si="5"/>
        <v/>
      </c>
      <c r="H29" s="3" t="str">
        <f t="shared" si="6"/>
        <v/>
      </c>
      <c r="I29" s="3" t="str">
        <f t="shared" si="3"/>
        <v/>
      </c>
      <c r="J29" t="str">
        <f t="shared" si="4"/>
        <v>(999,99,'','','','',),</v>
      </c>
    </row>
    <row r="30" spans="1:10">
      <c r="A30">
        <v>99</v>
      </c>
      <c r="G30" s="3" t="str">
        <f t="shared" si="5"/>
        <v/>
      </c>
      <c r="H30" s="3" t="str">
        <f t="shared" si="6"/>
        <v/>
      </c>
      <c r="I30" s="3" t="str">
        <f t="shared" si="3"/>
        <v/>
      </c>
      <c r="J30" t="str">
        <f t="shared" si="4"/>
        <v>(999,99,'','','','',),</v>
      </c>
    </row>
    <row r="31" spans="1:10">
      <c r="A31">
        <v>99</v>
      </c>
      <c r="G31" s="3" t="str">
        <f t="shared" si="5"/>
        <v/>
      </c>
      <c r="H31" s="3" t="str">
        <f t="shared" si="6"/>
        <v/>
      </c>
      <c r="I31" s="3" t="str">
        <f t="shared" si="3"/>
        <v/>
      </c>
      <c r="J31" t="str">
        <f t="shared" si="4"/>
        <v>(999,99,'','','','',),</v>
      </c>
    </row>
    <row r="32" spans="1:10">
      <c r="A32">
        <v>99</v>
      </c>
      <c r="G32" s="3" t="str">
        <f t="shared" si="5"/>
        <v/>
      </c>
      <c r="H32" s="3" t="str">
        <f t="shared" si="6"/>
        <v/>
      </c>
      <c r="I32" s="3" t="str">
        <f t="shared" si="3"/>
        <v/>
      </c>
      <c r="J32" t="str">
        <f t="shared" si="4"/>
        <v>(999,99,'','','','',),</v>
      </c>
    </row>
    <row r="33" spans="1:10">
      <c r="A33">
        <v>99</v>
      </c>
      <c r="G33" s="3" t="str">
        <f t="shared" si="5"/>
        <v/>
      </c>
      <c r="H33" s="3" t="str">
        <f t="shared" si="6"/>
        <v/>
      </c>
      <c r="I33" s="3" t="str">
        <f t="shared" si="3"/>
        <v/>
      </c>
      <c r="J33" t="str">
        <f t="shared" si="4"/>
        <v>(999,99,'','','','',),</v>
      </c>
    </row>
    <row r="34" spans="1:10">
      <c r="A34">
        <v>99</v>
      </c>
      <c r="G34" s="3" t="str">
        <f t="shared" si="5"/>
        <v/>
      </c>
      <c r="H34" s="3" t="str">
        <f t="shared" si="6"/>
        <v/>
      </c>
      <c r="I34" s="3" t="str">
        <f t="shared" si="3"/>
        <v/>
      </c>
      <c r="J34" t="str">
        <f t="shared" si="4"/>
        <v>(999,99,'','','','',),</v>
      </c>
    </row>
    <row r="35" spans="1:10">
      <c r="A35">
        <v>99</v>
      </c>
      <c r="G35" s="3" t="str">
        <f t="shared" si="5"/>
        <v/>
      </c>
      <c r="H35" s="3" t="str">
        <f t="shared" si="6"/>
        <v/>
      </c>
      <c r="I35" s="3" t="str">
        <f t="shared" si="3"/>
        <v/>
      </c>
      <c r="J35" t="str">
        <f t="shared" si="4"/>
        <v>(999,99,'','','','',),</v>
      </c>
    </row>
    <row r="36" spans="1:10">
      <c r="A36">
        <v>99</v>
      </c>
      <c r="G36" s="3" t="str">
        <f t="shared" si="5"/>
        <v/>
      </c>
      <c r="H36" s="3" t="str">
        <f t="shared" si="6"/>
        <v/>
      </c>
      <c r="I36" s="3" t="str">
        <f t="shared" si="3"/>
        <v/>
      </c>
      <c r="J36" t="str">
        <f t="shared" si="4"/>
        <v>(999,99,'','','','',),</v>
      </c>
    </row>
    <row r="37" spans="1:10">
      <c r="A37">
        <v>99</v>
      </c>
      <c r="G37" s="3" t="str">
        <f t="shared" si="5"/>
        <v/>
      </c>
      <c r="H37" s="3" t="str">
        <f t="shared" si="6"/>
        <v/>
      </c>
      <c r="I37" s="3" t="str">
        <f t="shared" si="3"/>
        <v/>
      </c>
      <c r="J37" t="str">
        <f t="shared" si="4"/>
        <v>(999,99,'','','','',),</v>
      </c>
    </row>
    <row r="38" spans="1:10">
      <c r="A38">
        <v>99</v>
      </c>
      <c r="G38" s="3" t="str">
        <f t="shared" si="5"/>
        <v/>
      </c>
      <c r="H38" s="3" t="str">
        <f t="shared" si="6"/>
        <v/>
      </c>
      <c r="I38" s="3" t="str">
        <f t="shared" si="3"/>
        <v/>
      </c>
      <c r="J38" t="str">
        <f t="shared" si="4"/>
        <v>(999,99,'','','','',),</v>
      </c>
    </row>
    <row r="39" spans="1:10">
      <c r="A39">
        <v>99</v>
      </c>
      <c r="G39" s="3" t="str">
        <f t="shared" si="5"/>
        <v/>
      </c>
      <c r="H39" s="3" t="str">
        <f t="shared" si="6"/>
        <v/>
      </c>
      <c r="I39" s="3" t="str">
        <f t="shared" si="3"/>
        <v/>
      </c>
      <c r="J39" t="str">
        <f t="shared" si="4"/>
        <v>(999,99,'','','','',),</v>
      </c>
    </row>
    <row r="40" spans="1:10">
      <c r="A40">
        <v>99</v>
      </c>
      <c r="G40" s="3" t="str">
        <f t="shared" si="5"/>
        <v/>
      </c>
      <c r="H40" s="3" t="str">
        <f t="shared" si="6"/>
        <v/>
      </c>
      <c r="I40" s="3" t="str">
        <f t="shared" si="3"/>
        <v/>
      </c>
      <c r="J40" t="str">
        <f t="shared" si="4"/>
        <v>(999,99,'','','','',),</v>
      </c>
    </row>
    <row r="41" spans="1:10">
      <c r="A41">
        <v>99</v>
      </c>
      <c r="G41" s="3" t="str">
        <f t="shared" si="5"/>
        <v/>
      </c>
      <c r="H41" s="3" t="str">
        <f t="shared" si="6"/>
        <v/>
      </c>
      <c r="I41" s="3" t="str">
        <f t="shared" si="3"/>
        <v/>
      </c>
      <c r="J41" t="str">
        <f t="shared" si="4"/>
        <v>(999,99,'','','','',),</v>
      </c>
    </row>
    <row r="42" spans="1:10">
      <c r="A42">
        <v>99</v>
      </c>
      <c r="G42" s="3" t="str">
        <f t="shared" si="5"/>
        <v/>
      </c>
      <c r="H42" s="3" t="str">
        <f t="shared" si="6"/>
        <v/>
      </c>
      <c r="I42" s="3" t="str">
        <f t="shared" si="3"/>
        <v/>
      </c>
      <c r="J42" t="str">
        <f t="shared" si="4"/>
        <v>(999,99,'','','','',),</v>
      </c>
    </row>
    <row r="43" spans="1:10">
      <c r="A43">
        <v>99</v>
      </c>
      <c r="G43" s="3" t="str">
        <f t="shared" si="5"/>
        <v/>
      </c>
      <c r="H43" s="3" t="str">
        <f t="shared" si="6"/>
        <v/>
      </c>
      <c r="I43" s="3" t="str">
        <f t="shared" si="3"/>
        <v/>
      </c>
      <c r="J43" t="str">
        <f t="shared" si="4"/>
        <v>(999,99,'','','','',),</v>
      </c>
    </row>
    <row r="44" spans="1:10">
      <c r="A44">
        <v>99</v>
      </c>
      <c r="G44" s="3" t="str">
        <f t="shared" si="5"/>
        <v/>
      </c>
      <c r="H44" s="3" t="str">
        <f t="shared" si="6"/>
        <v/>
      </c>
      <c r="I44" s="3" t="str">
        <f t="shared" si="3"/>
        <v/>
      </c>
      <c r="J44" t="str">
        <f t="shared" si="4"/>
        <v>(999,99,'','','','',),</v>
      </c>
    </row>
    <row r="45" spans="1:10">
      <c r="A45">
        <v>99</v>
      </c>
      <c r="G45" s="3" t="str">
        <f t="shared" si="5"/>
        <v/>
      </c>
      <c r="H45" s="3" t="str">
        <f t="shared" si="6"/>
        <v/>
      </c>
      <c r="I45" s="3" t="str">
        <f t="shared" si="3"/>
        <v/>
      </c>
      <c r="J45" t="str">
        <f t="shared" si="4"/>
        <v>(999,99,'','','','',),</v>
      </c>
    </row>
    <row r="46" spans="1:10">
      <c r="A46">
        <v>99</v>
      </c>
      <c r="G46" s="3" t="str">
        <f t="shared" si="5"/>
        <v/>
      </c>
      <c r="H46" s="3" t="str">
        <f t="shared" si="6"/>
        <v/>
      </c>
      <c r="I46" s="3" t="str">
        <f t="shared" si="3"/>
        <v/>
      </c>
      <c r="J46" t="str">
        <f t="shared" si="4"/>
        <v>(999,99,'','','','',),</v>
      </c>
    </row>
    <row r="47" spans="1:10">
      <c r="A47">
        <v>99</v>
      </c>
      <c r="G47" s="3" t="str">
        <f t="shared" si="5"/>
        <v/>
      </c>
      <c r="H47" s="3" t="str">
        <f t="shared" si="6"/>
        <v/>
      </c>
      <c r="I47" s="3" t="str">
        <f t="shared" si="3"/>
        <v/>
      </c>
      <c r="J47" t="str">
        <f t="shared" si="4"/>
        <v>(999,99,'','','','',),</v>
      </c>
    </row>
    <row r="48" spans="1:10">
      <c r="A48">
        <v>99</v>
      </c>
      <c r="G48" s="3" t="str">
        <f t="shared" si="5"/>
        <v/>
      </c>
      <c r="H48" s="3" t="str">
        <f t="shared" si="6"/>
        <v/>
      </c>
      <c r="I48" s="3" t="str">
        <f t="shared" si="3"/>
        <v/>
      </c>
      <c r="J48" t="str">
        <f t="shared" si="4"/>
        <v>(999,99,'','','','',),</v>
      </c>
    </row>
    <row r="49" spans="1:10">
      <c r="A49">
        <v>99</v>
      </c>
      <c r="G49" s="3" t="str">
        <f t="shared" si="5"/>
        <v/>
      </c>
      <c r="H49" s="3" t="str">
        <f t="shared" si="6"/>
        <v/>
      </c>
      <c r="I49" s="3" t="str">
        <f t="shared" si="3"/>
        <v/>
      </c>
      <c r="J49" t="str">
        <f t="shared" si="4"/>
        <v>(999,99,'','','','',),</v>
      </c>
    </row>
    <row r="50" spans="1:10">
      <c r="A50">
        <v>99</v>
      </c>
      <c r="G50" s="3" t="str">
        <f t="shared" si="5"/>
        <v/>
      </c>
      <c r="H50" s="3" t="str">
        <f t="shared" si="6"/>
        <v/>
      </c>
      <c r="I50" s="3" t="str">
        <f t="shared" si="3"/>
        <v/>
      </c>
      <c r="J50" t="str">
        <f t="shared" si="4"/>
        <v>(999,99,'','','','',),</v>
      </c>
    </row>
    <row r="51" spans="1:10">
      <c r="A51">
        <v>99</v>
      </c>
      <c r="G51" s="3" t="str">
        <f t="shared" si="5"/>
        <v/>
      </c>
      <c r="H51" s="3" t="str">
        <f t="shared" si="6"/>
        <v/>
      </c>
      <c r="I51" s="3" t="str">
        <f t="shared" si="3"/>
        <v/>
      </c>
      <c r="J51" t="str">
        <f t="shared" si="4"/>
        <v>(999,99,'','','','',),</v>
      </c>
    </row>
    <row r="52" spans="1:10">
      <c r="A52">
        <v>99</v>
      </c>
      <c r="G52" s="3" t="str">
        <f t="shared" si="5"/>
        <v/>
      </c>
      <c r="H52" s="3" t="str">
        <f t="shared" si="6"/>
        <v/>
      </c>
      <c r="I52" s="3" t="str">
        <f t="shared" si="3"/>
        <v/>
      </c>
      <c r="J52" t="str">
        <f t="shared" si="4"/>
        <v>(999,99,'','','','',),</v>
      </c>
    </row>
    <row r="53" spans="1:10">
      <c r="A53">
        <v>99</v>
      </c>
      <c r="G53" s="3" t="str">
        <f t="shared" si="5"/>
        <v/>
      </c>
      <c r="H53" s="3" t="str">
        <f t="shared" si="6"/>
        <v/>
      </c>
      <c r="I53" s="3" t="str">
        <f t="shared" si="3"/>
        <v/>
      </c>
      <c r="J53" t="str">
        <f t="shared" si="4"/>
        <v>(999,99,'','','','',),</v>
      </c>
    </row>
    <row r="54" spans="1:10">
      <c r="A54">
        <v>99</v>
      </c>
      <c r="G54" s="3" t="str">
        <f t="shared" si="5"/>
        <v/>
      </c>
      <c r="H54" s="3" t="str">
        <f t="shared" si="6"/>
        <v/>
      </c>
      <c r="I54" s="3" t="str">
        <f t="shared" si="3"/>
        <v/>
      </c>
      <c r="J54" t="str">
        <f t="shared" si="4"/>
        <v>(999,99,'','','','',),</v>
      </c>
    </row>
    <row r="55" spans="1:10">
      <c r="A55">
        <v>99</v>
      </c>
      <c r="G55" s="3" t="str">
        <f t="shared" si="5"/>
        <v/>
      </c>
      <c r="H55" s="3" t="str">
        <f t="shared" si="6"/>
        <v/>
      </c>
      <c r="I55" s="3" t="str">
        <f t="shared" si="3"/>
        <v/>
      </c>
      <c r="J55" t="str">
        <f t="shared" si="4"/>
        <v>(999,99,'','','','',),</v>
      </c>
    </row>
    <row r="56" spans="1:10">
      <c r="A56">
        <v>99</v>
      </c>
      <c r="G56" s="3" t="str">
        <f t="shared" si="5"/>
        <v/>
      </c>
      <c r="H56" s="3" t="str">
        <f t="shared" si="6"/>
        <v/>
      </c>
      <c r="I56" s="3" t="str">
        <f t="shared" si="3"/>
        <v/>
      </c>
      <c r="J56" t="str">
        <f t="shared" si="4"/>
        <v>(999,99,'','','','',),</v>
      </c>
    </row>
    <row r="57" spans="1:10">
      <c r="A57">
        <v>99</v>
      </c>
      <c r="G57" s="3" t="str">
        <f t="shared" si="5"/>
        <v/>
      </c>
      <c r="H57" s="3" t="str">
        <f t="shared" si="6"/>
        <v/>
      </c>
      <c r="I57" s="3" t="str">
        <f t="shared" si="3"/>
        <v/>
      </c>
      <c r="J57" t="str">
        <f t="shared" si="4"/>
        <v>(999,99,'','','','',),</v>
      </c>
    </row>
    <row r="58" spans="1:10">
      <c r="A58">
        <v>99</v>
      </c>
      <c r="G58" s="3" t="str">
        <f t="shared" si="5"/>
        <v/>
      </c>
      <c r="H58" s="3" t="str">
        <f t="shared" si="6"/>
        <v/>
      </c>
      <c r="I58" s="3" t="str">
        <f t="shared" si="3"/>
        <v/>
      </c>
      <c r="J58" t="str">
        <f t="shared" si="4"/>
        <v>(999,99,'','','','',),</v>
      </c>
    </row>
    <row r="59" spans="1:10">
      <c r="A59">
        <v>99</v>
      </c>
      <c r="G59" s="3" t="str">
        <f t="shared" si="5"/>
        <v/>
      </c>
      <c r="H59" s="3" t="str">
        <f t="shared" si="6"/>
        <v/>
      </c>
      <c r="I59" s="3" t="str">
        <f t="shared" si="3"/>
        <v/>
      </c>
      <c r="J59" t="str">
        <f t="shared" si="4"/>
        <v>(999,99,'','','','',),</v>
      </c>
    </row>
    <row r="60" spans="1:10">
      <c r="A60">
        <v>99</v>
      </c>
      <c r="G60" s="3" t="str">
        <f t="shared" si="5"/>
        <v/>
      </c>
      <c r="H60" s="3" t="str">
        <f t="shared" si="6"/>
        <v/>
      </c>
      <c r="I60" s="3" t="str">
        <f t="shared" si="3"/>
        <v/>
      </c>
      <c r="J60" t="str">
        <f t="shared" si="4"/>
        <v>(999,99,'','','','',),</v>
      </c>
    </row>
    <row r="61" spans="1:10">
      <c r="A61">
        <v>99</v>
      </c>
      <c r="G61" s="3" t="str">
        <f t="shared" si="5"/>
        <v/>
      </c>
      <c r="H61" s="3" t="str">
        <f t="shared" si="6"/>
        <v/>
      </c>
      <c r="I61" s="3" t="str">
        <f t="shared" si="3"/>
        <v/>
      </c>
      <c r="J61" t="str">
        <f t="shared" si="4"/>
        <v>(999,99,'','','','',),</v>
      </c>
    </row>
    <row r="62" spans="1:10">
      <c r="A62">
        <v>99</v>
      </c>
      <c r="G62" s="3" t="str">
        <f t="shared" si="5"/>
        <v/>
      </c>
      <c r="H62" s="3" t="str">
        <f t="shared" si="6"/>
        <v/>
      </c>
      <c r="I62" s="3" t="str">
        <f t="shared" si="3"/>
        <v/>
      </c>
      <c r="J62" t="str">
        <f t="shared" si="4"/>
        <v>(999,99,'','','','',),</v>
      </c>
    </row>
    <row r="63" spans="1:10">
      <c r="A63">
        <v>99</v>
      </c>
      <c r="G63" s="3" t="str">
        <f t="shared" si="5"/>
        <v/>
      </c>
      <c r="H63" s="3" t="str">
        <f t="shared" si="6"/>
        <v/>
      </c>
      <c r="I63" s="3" t="str">
        <f t="shared" si="3"/>
        <v/>
      </c>
      <c r="J63" t="str">
        <f t="shared" si="4"/>
        <v>(999,99,'','','','',),</v>
      </c>
    </row>
    <row r="64" spans="1:10">
      <c r="A64">
        <v>99</v>
      </c>
      <c r="G64" s="3" t="str">
        <f t="shared" si="5"/>
        <v/>
      </c>
      <c r="H64" s="3" t="str">
        <f t="shared" si="6"/>
        <v/>
      </c>
      <c r="I64" s="3" t="str">
        <f t="shared" si="3"/>
        <v/>
      </c>
      <c r="J64" t="str">
        <f t="shared" si="4"/>
        <v>(999,99,'','','','',),</v>
      </c>
    </row>
    <row r="65" spans="1:10">
      <c r="A65">
        <v>99</v>
      </c>
      <c r="G65" s="3" t="str">
        <f t="shared" ref="G65:G128" si="7">IF( IFERROR(FIND("A.",C65), 0) &gt; 0, TRIM(MID( C65, SEARCH("A.", C65)+2, 100)),TRIM(C65))</f>
        <v/>
      </c>
      <c r="H65" s="3" t="str">
        <f t="shared" ref="H65:H128" si="8">IF( IFERROR(FIND("B.",D65), 0) &gt; 0, TRIM(MID( D65, SEARCH("B.", D65)+2, 100)),TRIM(D65))</f>
        <v/>
      </c>
      <c r="I65" s="3" t="str">
        <f t="shared" si="3"/>
        <v/>
      </c>
      <c r="J65" t="str">
        <f t="shared" si="4"/>
        <v>(999,99,'','','','',),</v>
      </c>
    </row>
    <row r="66" spans="1:10">
      <c r="A66">
        <v>99</v>
      </c>
      <c r="G66" s="3" t="str">
        <f t="shared" si="7"/>
        <v/>
      </c>
      <c r="H66" s="3" t="str">
        <f t="shared" si="8"/>
        <v/>
      </c>
      <c r="I66" s="3" t="str">
        <f t="shared" si="3"/>
        <v/>
      </c>
      <c r="J66" t="str">
        <f t="shared" si="4"/>
        <v>(999,99,'','','','',),</v>
      </c>
    </row>
    <row r="67" spans="1:10">
      <c r="A67">
        <v>99</v>
      </c>
      <c r="G67" s="3" t="str">
        <f t="shared" si="7"/>
        <v/>
      </c>
      <c r="H67" s="3" t="str">
        <f t="shared" si="8"/>
        <v/>
      </c>
      <c r="I67" s="3" t="str">
        <f t="shared" si="3"/>
        <v/>
      </c>
      <c r="J67" t="str">
        <f t="shared" si="4"/>
        <v>(999,99,'','','','',),</v>
      </c>
    </row>
    <row r="68" spans="1:10">
      <c r="A68">
        <v>99</v>
      </c>
      <c r="G68" s="3" t="str">
        <f t="shared" si="7"/>
        <v/>
      </c>
      <c r="H68" s="3" t="str">
        <f t="shared" si="8"/>
        <v/>
      </c>
      <c r="I68" s="3" t="str">
        <f t="shared" ref="I68:I131" si="9">IF( IFERROR(FIND("C.",E68), 0) &gt; 0, TRIM(MID( E68, SEARCH("C.", E68)+2, 100)),TRIM(E68))</f>
        <v/>
      </c>
      <c r="J68" t="str">
        <f t="shared" ref="J68:J131" si="10">"("&amp;$B$2&amp;","&amp;A68&amp;",'"&amp;B68&amp;"','"&amp;G68&amp;"','"&amp;H68&amp;"','"&amp;I68&amp;"',"&amp;F68&amp;"),"</f>
        <v>(999,99,'','','','',),</v>
      </c>
    </row>
    <row r="69" spans="1:10">
      <c r="A69">
        <v>99</v>
      </c>
      <c r="G69" s="3" t="str">
        <f t="shared" si="7"/>
        <v/>
      </c>
      <c r="H69" s="3" t="str">
        <f t="shared" si="8"/>
        <v/>
      </c>
      <c r="I69" s="3" t="str">
        <f t="shared" si="9"/>
        <v/>
      </c>
      <c r="J69" t="str">
        <f t="shared" si="10"/>
        <v>(999,99,'','','','',),</v>
      </c>
    </row>
    <row r="70" spans="1:10">
      <c r="A70">
        <v>99</v>
      </c>
      <c r="G70" s="3" t="str">
        <f t="shared" si="7"/>
        <v/>
      </c>
      <c r="H70" s="3" t="str">
        <f t="shared" si="8"/>
        <v/>
      </c>
      <c r="I70" s="3" t="str">
        <f t="shared" si="9"/>
        <v/>
      </c>
      <c r="J70" t="str">
        <f t="shared" si="10"/>
        <v>(999,99,'','','','',),</v>
      </c>
    </row>
    <row r="71" spans="1:10">
      <c r="A71">
        <v>99</v>
      </c>
      <c r="G71" s="3" t="str">
        <f t="shared" si="7"/>
        <v/>
      </c>
      <c r="H71" s="3" t="str">
        <f t="shared" si="8"/>
        <v/>
      </c>
      <c r="I71" s="3" t="str">
        <f t="shared" si="9"/>
        <v/>
      </c>
      <c r="J71" t="str">
        <f t="shared" si="10"/>
        <v>(999,99,'','','','',),</v>
      </c>
    </row>
    <row r="72" spans="1:10">
      <c r="A72">
        <v>99</v>
      </c>
      <c r="G72" s="3" t="str">
        <f t="shared" si="7"/>
        <v/>
      </c>
      <c r="H72" s="3" t="str">
        <f t="shared" si="8"/>
        <v/>
      </c>
      <c r="I72" s="3" t="str">
        <f t="shared" si="9"/>
        <v/>
      </c>
      <c r="J72" t="str">
        <f t="shared" si="10"/>
        <v>(999,99,'','','','',),</v>
      </c>
    </row>
    <row r="73" spans="1:10">
      <c r="A73">
        <v>99</v>
      </c>
      <c r="G73" s="3" t="str">
        <f t="shared" si="7"/>
        <v/>
      </c>
      <c r="H73" s="3" t="str">
        <f t="shared" si="8"/>
        <v/>
      </c>
      <c r="I73" s="3" t="str">
        <f t="shared" si="9"/>
        <v/>
      </c>
      <c r="J73" t="str">
        <f t="shared" si="10"/>
        <v>(999,99,'','','','',),</v>
      </c>
    </row>
    <row r="74" spans="1:10">
      <c r="A74">
        <v>99</v>
      </c>
      <c r="G74" s="3" t="str">
        <f t="shared" si="7"/>
        <v/>
      </c>
      <c r="H74" s="3" t="str">
        <f t="shared" si="8"/>
        <v/>
      </c>
      <c r="I74" s="3" t="str">
        <f t="shared" si="9"/>
        <v/>
      </c>
      <c r="J74" t="str">
        <f t="shared" si="10"/>
        <v>(999,99,'','','','',),</v>
      </c>
    </row>
    <row r="75" spans="1:10">
      <c r="A75">
        <v>99</v>
      </c>
      <c r="G75" s="3" t="str">
        <f t="shared" si="7"/>
        <v/>
      </c>
      <c r="H75" s="3" t="str">
        <f t="shared" si="8"/>
        <v/>
      </c>
      <c r="I75" s="3" t="str">
        <f t="shared" si="9"/>
        <v/>
      </c>
      <c r="J75" t="str">
        <f t="shared" si="10"/>
        <v>(999,99,'','','','',),</v>
      </c>
    </row>
    <row r="76" spans="1:10">
      <c r="A76">
        <v>99</v>
      </c>
      <c r="G76" s="3" t="str">
        <f t="shared" si="7"/>
        <v/>
      </c>
      <c r="H76" s="3" t="str">
        <f t="shared" si="8"/>
        <v/>
      </c>
      <c r="I76" s="3" t="str">
        <f t="shared" si="9"/>
        <v/>
      </c>
      <c r="J76" t="str">
        <f t="shared" si="10"/>
        <v>(999,99,'','','','',),</v>
      </c>
    </row>
    <row r="77" spans="1:10">
      <c r="A77">
        <v>99</v>
      </c>
      <c r="G77" s="3" t="str">
        <f t="shared" si="7"/>
        <v/>
      </c>
      <c r="H77" s="3" t="str">
        <f t="shared" si="8"/>
        <v/>
      </c>
      <c r="I77" s="3" t="str">
        <f t="shared" si="9"/>
        <v/>
      </c>
      <c r="J77" t="str">
        <f t="shared" si="10"/>
        <v>(999,99,'','','','',),</v>
      </c>
    </row>
    <row r="78" spans="1:10">
      <c r="A78">
        <v>99</v>
      </c>
      <c r="G78" s="3" t="str">
        <f t="shared" si="7"/>
        <v/>
      </c>
      <c r="H78" s="3" t="str">
        <f t="shared" si="8"/>
        <v/>
      </c>
      <c r="I78" s="3" t="str">
        <f t="shared" si="9"/>
        <v/>
      </c>
      <c r="J78" t="str">
        <f t="shared" si="10"/>
        <v>(999,99,'','','','',),</v>
      </c>
    </row>
    <row r="79" spans="1:10">
      <c r="A79">
        <v>99</v>
      </c>
      <c r="G79" s="3" t="str">
        <f t="shared" si="7"/>
        <v/>
      </c>
      <c r="H79" s="3" t="str">
        <f t="shared" si="8"/>
        <v/>
      </c>
      <c r="I79" s="3" t="str">
        <f t="shared" si="9"/>
        <v/>
      </c>
      <c r="J79" t="str">
        <f t="shared" si="10"/>
        <v>(999,99,'','','','',),</v>
      </c>
    </row>
    <row r="80" spans="1:10">
      <c r="A80">
        <v>99</v>
      </c>
      <c r="G80" s="3" t="str">
        <f t="shared" si="7"/>
        <v/>
      </c>
      <c r="H80" s="3" t="str">
        <f t="shared" si="8"/>
        <v/>
      </c>
      <c r="I80" s="3" t="str">
        <f t="shared" si="9"/>
        <v/>
      </c>
      <c r="J80" t="str">
        <f t="shared" si="10"/>
        <v>(999,99,'','','','',),</v>
      </c>
    </row>
    <row r="81" spans="1:10">
      <c r="A81">
        <v>99</v>
      </c>
      <c r="G81" s="3" t="str">
        <f t="shared" si="7"/>
        <v/>
      </c>
      <c r="H81" s="3" t="str">
        <f t="shared" si="8"/>
        <v/>
      </c>
      <c r="I81" s="3" t="str">
        <f t="shared" si="9"/>
        <v/>
      </c>
      <c r="J81" t="str">
        <f t="shared" si="10"/>
        <v>(999,99,'','','','',),</v>
      </c>
    </row>
    <row r="82" spans="1:10">
      <c r="A82">
        <v>99</v>
      </c>
      <c r="G82" s="3" t="str">
        <f t="shared" si="7"/>
        <v/>
      </c>
      <c r="H82" s="3" t="str">
        <f t="shared" si="8"/>
        <v/>
      </c>
      <c r="I82" s="3" t="str">
        <f t="shared" si="9"/>
        <v/>
      </c>
      <c r="J82" t="str">
        <f t="shared" si="10"/>
        <v>(999,99,'','','','',),</v>
      </c>
    </row>
    <row r="83" spans="1:10">
      <c r="A83">
        <v>99</v>
      </c>
      <c r="G83" s="3" t="str">
        <f t="shared" si="7"/>
        <v/>
      </c>
      <c r="H83" s="3" t="str">
        <f t="shared" si="8"/>
        <v/>
      </c>
      <c r="I83" s="3" t="str">
        <f t="shared" si="9"/>
        <v/>
      </c>
      <c r="J83" t="str">
        <f t="shared" si="10"/>
        <v>(999,99,'','','','',),</v>
      </c>
    </row>
    <row r="84" spans="1:10">
      <c r="A84">
        <v>99</v>
      </c>
      <c r="G84" s="3" t="str">
        <f t="shared" si="7"/>
        <v/>
      </c>
      <c r="H84" s="3" t="str">
        <f t="shared" si="8"/>
        <v/>
      </c>
      <c r="I84" s="3" t="str">
        <f t="shared" si="9"/>
        <v/>
      </c>
      <c r="J84" t="str">
        <f t="shared" si="10"/>
        <v>(999,99,'','','','',),</v>
      </c>
    </row>
    <row r="85" spans="1:10">
      <c r="A85">
        <v>99</v>
      </c>
      <c r="G85" s="3" t="str">
        <f t="shared" si="7"/>
        <v/>
      </c>
      <c r="H85" s="3" t="str">
        <f t="shared" si="8"/>
        <v/>
      </c>
      <c r="I85" s="3" t="str">
        <f t="shared" si="9"/>
        <v/>
      </c>
      <c r="J85" t="str">
        <f t="shared" si="10"/>
        <v>(999,99,'','','','',),</v>
      </c>
    </row>
    <row r="86" spans="1:10">
      <c r="A86">
        <v>99</v>
      </c>
      <c r="G86" s="3" t="str">
        <f t="shared" si="7"/>
        <v/>
      </c>
      <c r="H86" s="3" t="str">
        <f t="shared" si="8"/>
        <v/>
      </c>
      <c r="I86" s="3" t="str">
        <f t="shared" si="9"/>
        <v/>
      </c>
      <c r="J86" t="str">
        <f t="shared" si="10"/>
        <v>(999,99,'','','','',),</v>
      </c>
    </row>
    <row r="87" spans="1:10">
      <c r="A87">
        <v>99</v>
      </c>
      <c r="G87" s="3" t="str">
        <f t="shared" si="7"/>
        <v/>
      </c>
      <c r="H87" s="3" t="str">
        <f t="shared" si="8"/>
        <v/>
      </c>
      <c r="I87" s="3" t="str">
        <f t="shared" si="9"/>
        <v/>
      </c>
      <c r="J87" t="str">
        <f t="shared" si="10"/>
        <v>(999,99,'','','','',),</v>
      </c>
    </row>
    <row r="88" spans="1:10">
      <c r="A88">
        <v>99</v>
      </c>
      <c r="G88" s="3" t="str">
        <f t="shared" si="7"/>
        <v/>
      </c>
      <c r="H88" s="3" t="str">
        <f t="shared" si="8"/>
        <v/>
      </c>
      <c r="I88" s="3" t="str">
        <f t="shared" si="9"/>
        <v/>
      </c>
      <c r="J88" t="str">
        <f t="shared" si="10"/>
        <v>(999,99,'','','','',),</v>
      </c>
    </row>
    <row r="89" spans="1:10">
      <c r="A89">
        <v>99</v>
      </c>
      <c r="G89" s="3" t="str">
        <f t="shared" si="7"/>
        <v/>
      </c>
      <c r="H89" s="3" t="str">
        <f t="shared" si="8"/>
        <v/>
      </c>
      <c r="I89" s="3" t="str">
        <f t="shared" si="9"/>
        <v/>
      </c>
      <c r="J89" t="str">
        <f t="shared" si="10"/>
        <v>(999,99,'','','','',),</v>
      </c>
    </row>
    <row r="90" spans="1:10">
      <c r="A90">
        <v>99</v>
      </c>
      <c r="G90" s="3" t="str">
        <f t="shared" si="7"/>
        <v/>
      </c>
      <c r="H90" s="3" t="str">
        <f t="shared" si="8"/>
        <v/>
      </c>
      <c r="I90" s="3" t="str">
        <f t="shared" si="9"/>
        <v/>
      </c>
      <c r="J90" t="str">
        <f t="shared" si="10"/>
        <v>(999,99,'','','','',),</v>
      </c>
    </row>
    <row r="91" spans="1:10">
      <c r="A91">
        <v>99</v>
      </c>
      <c r="G91" s="3" t="str">
        <f t="shared" si="7"/>
        <v/>
      </c>
      <c r="H91" s="3" t="str">
        <f t="shared" si="8"/>
        <v/>
      </c>
      <c r="I91" s="3" t="str">
        <f t="shared" si="9"/>
        <v/>
      </c>
      <c r="J91" t="str">
        <f t="shared" si="10"/>
        <v>(999,99,'','','','',),</v>
      </c>
    </row>
    <row r="92" spans="1:10">
      <c r="A92">
        <v>99</v>
      </c>
      <c r="G92" s="3" t="str">
        <f t="shared" si="7"/>
        <v/>
      </c>
      <c r="H92" s="3" t="str">
        <f t="shared" si="8"/>
        <v/>
      </c>
      <c r="I92" s="3" t="str">
        <f t="shared" si="9"/>
        <v/>
      </c>
      <c r="J92" t="str">
        <f t="shared" si="10"/>
        <v>(999,99,'','','','',),</v>
      </c>
    </row>
    <row r="93" spans="1:10">
      <c r="A93">
        <v>99</v>
      </c>
      <c r="G93" s="3" t="str">
        <f t="shared" si="7"/>
        <v/>
      </c>
      <c r="H93" s="3" t="str">
        <f t="shared" si="8"/>
        <v/>
      </c>
      <c r="I93" s="3" t="str">
        <f t="shared" si="9"/>
        <v/>
      </c>
      <c r="J93" t="str">
        <f t="shared" si="10"/>
        <v>(999,99,'','','','',),</v>
      </c>
    </row>
    <row r="94" spans="1:10">
      <c r="A94">
        <v>99</v>
      </c>
      <c r="G94" s="3" t="str">
        <f t="shared" si="7"/>
        <v/>
      </c>
      <c r="H94" s="3" t="str">
        <f t="shared" si="8"/>
        <v/>
      </c>
      <c r="I94" s="3" t="str">
        <f t="shared" si="9"/>
        <v/>
      </c>
      <c r="J94" t="str">
        <f t="shared" si="10"/>
        <v>(999,99,'','','','',),</v>
      </c>
    </row>
    <row r="95" spans="1:10">
      <c r="A95">
        <v>99</v>
      </c>
      <c r="G95" s="3" t="str">
        <f t="shared" si="7"/>
        <v/>
      </c>
      <c r="H95" s="3" t="str">
        <f t="shared" si="8"/>
        <v/>
      </c>
      <c r="I95" s="3" t="str">
        <f t="shared" si="9"/>
        <v/>
      </c>
      <c r="J95" t="str">
        <f t="shared" si="10"/>
        <v>(999,99,'','','','',),</v>
      </c>
    </row>
    <row r="96" spans="1:10">
      <c r="A96">
        <v>99</v>
      </c>
      <c r="G96" s="3" t="str">
        <f t="shared" si="7"/>
        <v/>
      </c>
      <c r="H96" s="3" t="str">
        <f t="shared" si="8"/>
        <v/>
      </c>
      <c r="I96" s="3" t="str">
        <f t="shared" si="9"/>
        <v/>
      </c>
      <c r="J96" t="str">
        <f t="shared" si="10"/>
        <v>(999,99,'','','','',),</v>
      </c>
    </row>
    <row r="97" spans="1:10">
      <c r="A97">
        <v>99</v>
      </c>
      <c r="G97" s="3" t="str">
        <f t="shared" si="7"/>
        <v/>
      </c>
      <c r="H97" s="3" t="str">
        <f t="shared" si="8"/>
        <v/>
      </c>
      <c r="I97" s="3" t="str">
        <f t="shared" si="9"/>
        <v/>
      </c>
      <c r="J97" t="str">
        <f t="shared" si="10"/>
        <v>(999,99,'','','','',),</v>
      </c>
    </row>
    <row r="98" spans="1:10">
      <c r="A98">
        <v>99</v>
      </c>
      <c r="G98" s="3" t="str">
        <f t="shared" si="7"/>
        <v/>
      </c>
      <c r="H98" s="3" t="str">
        <f t="shared" si="8"/>
        <v/>
      </c>
      <c r="I98" s="3" t="str">
        <f t="shared" si="9"/>
        <v/>
      </c>
      <c r="J98" t="str">
        <f t="shared" si="10"/>
        <v>(999,99,'','','','',),</v>
      </c>
    </row>
    <row r="99" spans="1:10">
      <c r="A99">
        <v>99</v>
      </c>
      <c r="G99" s="3" t="str">
        <f t="shared" si="7"/>
        <v/>
      </c>
      <c r="H99" s="3" t="str">
        <f t="shared" si="8"/>
        <v/>
      </c>
      <c r="I99" s="3" t="str">
        <f t="shared" si="9"/>
        <v/>
      </c>
      <c r="J99" t="str">
        <f t="shared" si="10"/>
        <v>(999,99,'','','','',),</v>
      </c>
    </row>
    <row r="100" spans="1:10">
      <c r="A100">
        <v>99</v>
      </c>
      <c r="G100" s="3" t="str">
        <f t="shared" si="7"/>
        <v/>
      </c>
      <c r="H100" s="3" t="str">
        <f t="shared" si="8"/>
        <v/>
      </c>
      <c r="I100" s="3" t="str">
        <f t="shared" si="9"/>
        <v/>
      </c>
      <c r="J100" t="str">
        <f t="shared" si="10"/>
        <v>(999,99,'','','','',),</v>
      </c>
    </row>
    <row r="101" spans="1:10">
      <c r="A101">
        <v>99</v>
      </c>
      <c r="G101" s="3" t="str">
        <f t="shared" si="7"/>
        <v/>
      </c>
      <c r="H101" s="3" t="str">
        <f t="shared" si="8"/>
        <v/>
      </c>
      <c r="I101" s="3" t="str">
        <f t="shared" si="9"/>
        <v/>
      </c>
      <c r="J101" t="str">
        <f t="shared" si="10"/>
        <v>(999,99,'','','','',),</v>
      </c>
    </row>
    <row r="102" spans="1:10">
      <c r="A102">
        <v>99</v>
      </c>
      <c r="G102" s="3" t="str">
        <f t="shared" si="7"/>
        <v/>
      </c>
      <c r="H102" s="3" t="str">
        <f t="shared" si="8"/>
        <v/>
      </c>
      <c r="I102" s="3" t="str">
        <f t="shared" si="9"/>
        <v/>
      </c>
      <c r="J102" t="str">
        <f t="shared" si="10"/>
        <v>(999,99,'','','','',),</v>
      </c>
    </row>
    <row r="103" spans="1:10">
      <c r="A103">
        <v>99</v>
      </c>
      <c r="G103" s="3" t="str">
        <f t="shared" si="7"/>
        <v/>
      </c>
      <c r="H103" s="3" t="str">
        <f t="shared" si="8"/>
        <v/>
      </c>
      <c r="I103" s="3" t="str">
        <f t="shared" si="9"/>
        <v/>
      </c>
      <c r="J103" t="str">
        <f t="shared" si="10"/>
        <v>(999,99,'','','','',),</v>
      </c>
    </row>
    <row r="104" spans="1:10">
      <c r="A104">
        <v>99</v>
      </c>
      <c r="G104" s="3" t="str">
        <f t="shared" si="7"/>
        <v/>
      </c>
      <c r="H104" s="3" t="str">
        <f t="shared" si="8"/>
        <v/>
      </c>
      <c r="I104" s="3" t="str">
        <f t="shared" si="9"/>
        <v/>
      </c>
      <c r="J104" t="str">
        <f t="shared" si="10"/>
        <v>(999,99,'','','','',),</v>
      </c>
    </row>
    <row r="105" spans="1:10">
      <c r="A105">
        <v>99</v>
      </c>
      <c r="G105" s="3" t="str">
        <f t="shared" si="7"/>
        <v/>
      </c>
      <c r="H105" s="3" t="str">
        <f t="shared" si="8"/>
        <v/>
      </c>
      <c r="I105" s="3" t="str">
        <f t="shared" si="9"/>
        <v/>
      </c>
      <c r="J105" t="str">
        <f t="shared" si="10"/>
        <v>(999,99,'','','','',),</v>
      </c>
    </row>
    <row r="106" spans="1:10">
      <c r="A106">
        <v>99</v>
      </c>
      <c r="G106" s="3" t="str">
        <f t="shared" si="7"/>
        <v/>
      </c>
      <c r="H106" s="3" t="str">
        <f t="shared" si="8"/>
        <v/>
      </c>
      <c r="I106" s="3" t="str">
        <f t="shared" si="9"/>
        <v/>
      </c>
      <c r="J106" t="str">
        <f t="shared" si="10"/>
        <v>(999,99,'','','','',),</v>
      </c>
    </row>
    <row r="107" spans="1:10">
      <c r="A107">
        <v>99</v>
      </c>
      <c r="G107" s="3" t="str">
        <f t="shared" si="7"/>
        <v/>
      </c>
      <c r="H107" s="3" t="str">
        <f t="shared" si="8"/>
        <v/>
      </c>
      <c r="I107" s="3" t="str">
        <f t="shared" si="9"/>
        <v/>
      </c>
      <c r="J107" t="str">
        <f t="shared" si="10"/>
        <v>(999,99,'','','','',),</v>
      </c>
    </row>
    <row r="108" spans="1:10">
      <c r="A108">
        <v>99</v>
      </c>
      <c r="G108" s="3" t="str">
        <f t="shared" si="7"/>
        <v/>
      </c>
      <c r="H108" s="3" t="str">
        <f t="shared" si="8"/>
        <v/>
      </c>
      <c r="I108" s="3" t="str">
        <f t="shared" si="9"/>
        <v/>
      </c>
      <c r="J108" t="str">
        <f t="shared" si="10"/>
        <v>(999,99,'','','','',),</v>
      </c>
    </row>
    <row r="109" spans="1:10">
      <c r="A109">
        <v>99</v>
      </c>
      <c r="G109" s="3" t="str">
        <f t="shared" si="7"/>
        <v/>
      </c>
      <c r="H109" s="3" t="str">
        <f t="shared" si="8"/>
        <v/>
      </c>
      <c r="I109" s="3" t="str">
        <f t="shared" si="9"/>
        <v/>
      </c>
      <c r="J109" t="str">
        <f t="shared" si="10"/>
        <v>(999,99,'','','','',),</v>
      </c>
    </row>
    <row r="110" spans="1:10">
      <c r="A110">
        <v>99</v>
      </c>
      <c r="G110" s="3" t="str">
        <f t="shared" si="7"/>
        <v/>
      </c>
      <c r="H110" s="3" t="str">
        <f t="shared" si="8"/>
        <v/>
      </c>
      <c r="I110" s="3" t="str">
        <f t="shared" si="9"/>
        <v/>
      </c>
      <c r="J110" t="str">
        <f t="shared" si="10"/>
        <v>(999,99,'','','','',),</v>
      </c>
    </row>
    <row r="111" spans="1:10">
      <c r="A111">
        <v>99</v>
      </c>
      <c r="G111" s="3" t="str">
        <f t="shared" si="7"/>
        <v/>
      </c>
      <c r="H111" s="3" t="str">
        <f t="shared" si="8"/>
        <v/>
      </c>
      <c r="I111" s="3" t="str">
        <f t="shared" si="9"/>
        <v/>
      </c>
      <c r="J111" t="str">
        <f t="shared" si="10"/>
        <v>(999,99,'','','','',),</v>
      </c>
    </row>
    <row r="112" spans="1:10">
      <c r="A112">
        <v>99</v>
      </c>
      <c r="G112" s="3" t="str">
        <f t="shared" si="7"/>
        <v/>
      </c>
      <c r="H112" s="3" t="str">
        <f t="shared" si="8"/>
        <v/>
      </c>
      <c r="I112" s="3" t="str">
        <f t="shared" si="9"/>
        <v/>
      </c>
      <c r="J112" t="str">
        <f t="shared" si="10"/>
        <v>(999,99,'','','','',),</v>
      </c>
    </row>
    <row r="113" spans="1:10">
      <c r="A113">
        <v>99</v>
      </c>
      <c r="G113" s="3" t="str">
        <f t="shared" si="7"/>
        <v/>
      </c>
      <c r="H113" s="3" t="str">
        <f t="shared" si="8"/>
        <v/>
      </c>
      <c r="I113" s="3" t="str">
        <f t="shared" si="9"/>
        <v/>
      </c>
      <c r="J113" t="str">
        <f t="shared" si="10"/>
        <v>(999,99,'','','','',),</v>
      </c>
    </row>
    <row r="114" spans="1:10">
      <c r="A114">
        <v>99</v>
      </c>
      <c r="G114" s="3" t="str">
        <f t="shared" si="7"/>
        <v/>
      </c>
      <c r="H114" s="3" t="str">
        <f t="shared" si="8"/>
        <v/>
      </c>
      <c r="I114" s="3" t="str">
        <f t="shared" si="9"/>
        <v/>
      </c>
      <c r="J114" t="str">
        <f t="shared" si="10"/>
        <v>(999,99,'','','','',),</v>
      </c>
    </row>
    <row r="115" spans="1:10">
      <c r="A115">
        <v>99</v>
      </c>
      <c r="G115" s="3" t="str">
        <f t="shared" si="7"/>
        <v/>
      </c>
      <c r="H115" s="3" t="str">
        <f t="shared" si="8"/>
        <v/>
      </c>
      <c r="I115" s="3" t="str">
        <f t="shared" si="9"/>
        <v/>
      </c>
      <c r="J115" t="str">
        <f t="shared" si="10"/>
        <v>(999,99,'','','','',),</v>
      </c>
    </row>
    <row r="116" spans="1:10">
      <c r="A116">
        <v>99</v>
      </c>
      <c r="G116" s="3" t="str">
        <f t="shared" si="7"/>
        <v/>
      </c>
      <c r="H116" s="3" t="str">
        <f t="shared" si="8"/>
        <v/>
      </c>
      <c r="I116" s="3" t="str">
        <f t="shared" si="9"/>
        <v/>
      </c>
      <c r="J116" t="str">
        <f t="shared" si="10"/>
        <v>(999,99,'','','','',),</v>
      </c>
    </row>
    <row r="117" spans="1:10">
      <c r="A117">
        <v>99</v>
      </c>
      <c r="G117" s="3" t="str">
        <f t="shared" si="7"/>
        <v/>
      </c>
      <c r="H117" s="3" t="str">
        <f t="shared" si="8"/>
        <v/>
      </c>
      <c r="I117" s="3" t="str">
        <f t="shared" si="9"/>
        <v/>
      </c>
      <c r="J117" t="str">
        <f t="shared" si="10"/>
        <v>(999,99,'','','','',),</v>
      </c>
    </row>
    <row r="118" spans="1:10">
      <c r="A118">
        <v>99</v>
      </c>
      <c r="G118" s="3" t="str">
        <f t="shared" si="7"/>
        <v/>
      </c>
      <c r="H118" s="3" t="str">
        <f t="shared" si="8"/>
        <v/>
      </c>
      <c r="I118" s="3" t="str">
        <f t="shared" si="9"/>
        <v/>
      </c>
      <c r="J118" t="str">
        <f t="shared" si="10"/>
        <v>(999,99,'','','','',),</v>
      </c>
    </row>
    <row r="119" spans="1:10">
      <c r="A119">
        <v>99</v>
      </c>
      <c r="G119" s="3" t="str">
        <f t="shared" si="7"/>
        <v/>
      </c>
      <c r="H119" s="3" t="str">
        <f t="shared" si="8"/>
        <v/>
      </c>
      <c r="I119" s="3" t="str">
        <f t="shared" si="9"/>
        <v/>
      </c>
      <c r="J119" t="str">
        <f t="shared" si="10"/>
        <v>(999,99,'','','','',),</v>
      </c>
    </row>
    <row r="120" spans="1:10">
      <c r="A120">
        <v>99</v>
      </c>
      <c r="G120" s="3" t="str">
        <f t="shared" si="7"/>
        <v/>
      </c>
      <c r="H120" s="3" t="str">
        <f t="shared" si="8"/>
        <v/>
      </c>
      <c r="I120" s="3" t="str">
        <f t="shared" si="9"/>
        <v/>
      </c>
      <c r="J120" t="str">
        <f t="shared" si="10"/>
        <v>(999,99,'','','','',),</v>
      </c>
    </row>
    <row r="121" spans="1:10">
      <c r="A121">
        <v>99</v>
      </c>
      <c r="G121" s="3" t="str">
        <f t="shared" si="7"/>
        <v/>
      </c>
      <c r="H121" s="3" t="str">
        <f t="shared" si="8"/>
        <v/>
      </c>
      <c r="I121" s="3" t="str">
        <f t="shared" si="9"/>
        <v/>
      </c>
      <c r="J121" t="str">
        <f t="shared" si="10"/>
        <v>(999,99,'','','','',),</v>
      </c>
    </row>
    <row r="122" spans="1:10">
      <c r="A122">
        <v>99</v>
      </c>
      <c r="G122" s="3" t="str">
        <f t="shared" si="7"/>
        <v/>
      </c>
      <c r="H122" s="3" t="str">
        <f t="shared" si="8"/>
        <v/>
      </c>
      <c r="I122" s="3" t="str">
        <f t="shared" si="9"/>
        <v/>
      </c>
      <c r="J122" t="str">
        <f t="shared" si="10"/>
        <v>(999,99,'','','','',),</v>
      </c>
    </row>
    <row r="123" spans="1:10">
      <c r="A123">
        <v>99</v>
      </c>
      <c r="G123" s="3" t="str">
        <f t="shared" si="7"/>
        <v/>
      </c>
      <c r="H123" s="3" t="str">
        <f t="shared" si="8"/>
        <v/>
      </c>
      <c r="I123" s="3" t="str">
        <f t="shared" si="9"/>
        <v/>
      </c>
      <c r="J123" t="str">
        <f t="shared" si="10"/>
        <v>(999,99,'','','','',),</v>
      </c>
    </row>
    <row r="124" spans="1:10">
      <c r="A124">
        <v>99</v>
      </c>
      <c r="G124" s="3" t="str">
        <f t="shared" si="7"/>
        <v/>
      </c>
      <c r="H124" s="3" t="str">
        <f t="shared" si="8"/>
        <v/>
      </c>
      <c r="I124" s="3" t="str">
        <f t="shared" si="9"/>
        <v/>
      </c>
      <c r="J124" t="str">
        <f t="shared" si="10"/>
        <v>(999,99,'','','','',),</v>
      </c>
    </row>
    <row r="125" spans="1:10">
      <c r="A125">
        <v>99</v>
      </c>
      <c r="G125" s="3" t="str">
        <f t="shared" si="7"/>
        <v/>
      </c>
      <c r="H125" s="3" t="str">
        <f t="shared" si="8"/>
        <v/>
      </c>
      <c r="I125" s="3" t="str">
        <f t="shared" si="9"/>
        <v/>
      </c>
      <c r="J125" t="str">
        <f t="shared" si="10"/>
        <v>(999,99,'','','','',),</v>
      </c>
    </row>
    <row r="126" spans="1:10">
      <c r="A126">
        <v>99</v>
      </c>
      <c r="G126" s="3" t="str">
        <f t="shared" si="7"/>
        <v/>
      </c>
      <c r="H126" s="3" t="str">
        <f t="shared" si="8"/>
        <v/>
      </c>
      <c r="I126" s="3" t="str">
        <f t="shared" si="9"/>
        <v/>
      </c>
      <c r="J126" t="str">
        <f t="shared" si="10"/>
        <v>(999,99,'','','','',),</v>
      </c>
    </row>
    <row r="127" spans="1:10">
      <c r="A127">
        <v>99</v>
      </c>
      <c r="G127" s="3" t="str">
        <f t="shared" si="7"/>
        <v/>
      </c>
      <c r="H127" s="3" t="str">
        <f t="shared" si="8"/>
        <v/>
      </c>
      <c r="I127" s="3" t="str">
        <f t="shared" si="9"/>
        <v/>
      </c>
      <c r="J127" t="str">
        <f t="shared" si="10"/>
        <v>(999,99,'','','','',),</v>
      </c>
    </row>
    <row r="128" spans="1:10">
      <c r="A128">
        <v>99</v>
      </c>
      <c r="G128" s="3" t="str">
        <f t="shared" si="7"/>
        <v/>
      </c>
      <c r="H128" s="3" t="str">
        <f t="shared" si="8"/>
        <v/>
      </c>
      <c r="I128" s="3" t="str">
        <f t="shared" si="9"/>
        <v/>
      </c>
      <c r="J128" t="str">
        <f t="shared" si="10"/>
        <v>(999,99,'','','','',),</v>
      </c>
    </row>
    <row r="129" spans="1:10">
      <c r="A129">
        <v>99</v>
      </c>
      <c r="G129" s="3" t="str">
        <f t="shared" ref="G129:G134" si="11">IF( IFERROR(FIND("A.",C129), 0) &gt; 0, TRIM(MID( C129, SEARCH("A.", C129)+2, 100)),TRIM(C129))</f>
        <v/>
      </c>
      <c r="H129" s="3" t="str">
        <f t="shared" ref="H129:H134" si="12">IF( IFERROR(FIND("B.",D129), 0) &gt; 0, TRIM(MID( D129, SEARCH("B.", D129)+2, 100)),TRIM(D129))</f>
        <v/>
      </c>
      <c r="I129" s="3" t="str">
        <f t="shared" si="9"/>
        <v/>
      </c>
      <c r="J129" t="str">
        <f t="shared" si="10"/>
        <v>(999,99,'','','','',),</v>
      </c>
    </row>
    <row r="130" spans="1:10">
      <c r="A130">
        <v>99</v>
      </c>
      <c r="G130" s="3" t="str">
        <f t="shared" si="11"/>
        <v/>
      </c>
      <c r="H130" s="3" t="str">
        <f t="shared" si="12"/>
        <v/>
      </c>
      <c r="I130" s="3" t="str">
        <f t="shared" si="9"/>
        <v/>
      </c>
      <c r="J130" t="str">
        <f t="shared" si="10"/>
        <v>(999,99,'','','','',),</v>
      </c>
    </row>
    <row r="131" spans="1:10">
      <c r="A131">
        <v>99</v>
      </c>
      <c r="G131" s="3" t="str">
        <f t="shared" si="11"/>
        <v/>
      </c>
      <c r="H131" s="3" t="str">
        <f t="shared" si="12"/>
        <v/>
      </c>
      <c r="I131" s="3" t="str">
        <f t="shared" si="9"/>
        <v/>
      </c>
      <c r="J131" t="str">
        <f t="shared" si="10"/>
        <v>(999,99,'','','','',),</v>
      </c>
    </row>
    <row r="132" spans="1:10">
      <c r="A132">
        <v>99</v>
      </c>
      <c r="G132" s="3" t="str">
        <f t="shared" si="11"/>
        <v/>
      </c>
      <c r="H132" s="3" t="str">
        <f t="shared" si="12"/>
        <v/>
      </c>
      <c r="I132" s="3" t="str">
        <f t="shared" ref="I132:I134" si="13">IF( IFERROR(FIND("C.",E132), 0) &gt; 0, TRIM(MID( E132, SEARCH("C.", E132)+2, 100)),TRIM(E132))</f>
        <v/>
      </c>
      <c r="J132" t="str">
        <f t="shared" ref="J132:J134" si="14">"("&amp;$B$2&amp;","&amp;A132&amp;",'"&amp;B132&amp;"','"&amp;G132&amp;"','"&amp;H132&amp;"','"&amp;I132&amp;"',"&amp;F132&amp;"),"</f>
        <v>(999,99,'','','','',),</v>
      </c>
    </row>
    <row r="133" spans="1:10">
      <c r="A133">
        <v>99</v>
      </c>
      <c r="G133" s="3" t="str">
        <f t="shared" si="11"/>
        <v/>
      </c>
      <c r="H133" s="3" t="str">
        <f t="shared" si="12"/>
        <v/>
      </c>
      <c r="I133" s="3" t="str">
        <f t="shared" si="13"/>
        <v/>
      </c>
      <c r="J133" t="str">
        <f t="shared" si="14"/>
        <v>(999,99,'','','','',),</v>
      </c>
    </row>
    <row r="134" spans="1:10">
      <c r="A134">
        <v>99</v>
      </c>
      <c r="G134" s="3" t="str">
        <f t="shared" si="11"/>
        <v/>
      </c>
      <c r="H134" s="3" t="str">
        <f t="shared" si="12"/>
        <v/>
      </c>
      <c r="I134" s="3" t="str">
        <f t="shared" si="13"/>
        <v/>
      </c>
      <c r="J134" t="str">
        <f t="shared" si="14"/>
        <v>(999,99,'','','','',),</v>
      </c>
    </row>
    <row r="135" spans="1:10">
      <c r="A135">
        <v>99</v>
      </c>
      <c r="G135" s="3" t="str">
        <f t="shared" ref="G135:G198" si="15">IF( IFERROR(FIND("A.",C135), 0) &gt; 0, TRIM(MID( C135, SEARCH("A.", C135)+2, 100)),TRIM(C135))</f>
        <v/>
      </c>
      <c r="H135" s="3" t="str">
        <f t="shared" ref="H135:H198" si="16">IF( IFERROR(FIND("B.",D135), 0) &gt; 0, TRIM(MID( D135, SEARCH("B.", D135)+2, 100)),TRIM(D135))</f>
        <v/>
      </c>
      <c r="I135" s="3" t="str">
        <f t="shared" ref="I135:I198" si="17">IF( IFERROR(FIND("C.",E135), 0) &gt; 0, TRIM(MID( E135, SEARCH("C.", E135)+2, 100)),TRIM(E135))</f>
        <v/>
      </c>
      <c r="J135" t="str">
        <f t="shared" ref="J135:J198" si="18">"("&amp;$B$2&amp;","&amp;A135&amp;",'"&amp;B135&amp;"','"&amp;G135&amp;"','"&amp;H135&amp;"','"&amp;I135&amp;"',"&amp;F135&amp;"),"</f>
        <v>(999,99,'','','','',),</v>
      </c>
    </row>
    <row r="136" spans="1:10">
      <c r="A136">
        <v>99</v>
      </c>
      <c r="G136" s="3" t="str">
        <f t="shared" si="15"/>
        <v/>
      </c>
      <c r="H136" s="3" t="str">
        <f t="shared" si="16"/>
        <v/>
      </c>
      <c r="I136" s="3" t="str">
        <f t="shared" si="17"/>
        <v/>
      </c>
      <c r="J136" t="str">
        <f t="shared" si="18"/>
        <v>(999,99,'','','','',),</v>
      </c>
    </row>
    <row r="137" spans="1:10">
      <c r="A137">
        <v>99</v>
      </c>
      <c r="G137" s="3" t="str">
        <f t="shared" si="15"/>
        <v/>
      </c>
      <c r="H137" s="3" t="str">
        <f t="shared" si="16"/>
        <v/>
      </c>
      <c r="I137" s="3" t="str">
        <f t="shared" si="17"/>
        <v/>
      </c>
      <c r="J137" t="str">
        <f t="shared" si="18"/>
        <v>(999,99,'','','','',),</v>
      </c>
    </row>
    <row r="138" spans="1:10">
      <c r="A138">
        <v>99</v>
      </c>
      <c r="G138" s="3" t="str">
        <f t="shared" si="15"/>
        <v/>
      </c>
      <c r="H138" s="3" t="str">
        <f t="shared" si="16"/>
        <v/>
      </c>
      <c r="I138" s="3" t="str">
        <f t="shared" si="17"/>
        <v/>
      </c>
      <c r="J138" t="str">
        <f t="shared" si="18"/>
        <v>(999,99,'','','','',),</v>
      </c>
    </row>
    <row r="139" spans="1:10">
      <c r="A139">
        <v>99</v>
      </c>
      <c r="G139" s="3" t="str">
        <f t="shared" si="15"/>
        <v/>
      </c>
      <c r="H139" s="3" t="str">
        <f t="shared" si="16"/>
        <v/>
      </c>
      <c r="I139" s="3" t="str">
        <f t="shared" si="17"/>
        <v/>
      </c>
      <c r="J139" t="str">
        <f t="shared" si="18"/>
        <v>(999,99,'','','','',),</v>
      </c>
    </row>
    <row r="140" spans="1:10">
      <c r="A140">
        <v>99</v>
      </c>
      <c r="G140" s="3" t="str">
        <f t="shared" si="15"/>
        <v/>
      </c>
      <c r="H140" s="3" t="str">
        <f t="shared" si="16"/>
        <v/>
      </c>
      <c r="I140" s="3" t="str">
        <f t="shared" si="17"/>
        <v/>
      </c>
      <c r="J140" t="str">
        <f t="shared" si="18"/>
        <v>(999,99,'','','','',),</v>
      </c>
    </row>
    <row r="141" spans="1:10">
      <c r="A141">
        <v>99</v>
      </c>
      <c r="G141" s="3" t="str">
        <f t="shared" si="15"/>
        <v/>
      </c>
      <c r="H141" s="3" t="str">
        <f t="shared" si="16"/>
        <v/>
      </c>
      <c r="I141" s="3" t="str">
        <f t="shared" si="17"/>
        <v/>
      </c>
      <c r="J141" t="str">
        <f t="shared" si="18"/>
        <v>(999,99,'','','','',),</v>
      </c>
    </row>
    <row r="142" spans="1:10">
      <c r="A142">
        <v>99</v>
      </c>
      <c r="G142" s="3" t="str">
        <f t="shared" si="15"/>
        <v/>
      </c>
      <c r="H142" s="3" t="str">
        <f t="shared" si="16"/>
        <v/>
      </c>
      <c r="I142" s="3" t="str">
        <f t="shared" si="17"/>
        <v/>
      </c>
      <c r="J142" t="str">
        <f t="shared" si="18"/>
        <v>(999,99,'','','','',),</v>
      </c>
    </row>
    <row r="143" spans="1:10">
      <c r="A143">
        <v>99</v>
      </c>
      <c r="G143" s="3" t="str">
        <f t="shared" si="15"/>
        <v/>
      </c>
      <c r="H143" s="3" t="str">
        <f t="shared" si="16"/>
        <v/>
      </c>
      <c r="I143" s="3" t="str">
        <f t="shared" si="17"/>
        <v/>
      </c>
      <c r="J143" t="str">
        <f t="shared" si="18"/>
        <v>(999,99,'','','','',),</v>
      </c>
    </row>
    <row r="144" spans="1:10">
      <c r="A144">
        <v>99</v>
      </c>
      <c r="G144" s="3" t="str">
        <f t="shared" si="15"/>
        <v/>
      </c>
      <c r="H144" s="3" t="str">
        <f t="shared" si="16"/>
        <v/>
      </c>
      <c r="I144" s="3" t="str">
        <f t="shared" si="17"/>
        <v/>
      </c>
      <c r="J144" t="str">
        <f t="shared" si="18"/>
        <v>(999,99,'','','','',),</v>
      </c>
    </row>
    <row r="145" spans="1:10">
      <c r="A145">
        <v>99</v>
      </c>
      <c r="G145" s="3" t="str">
        <f t="shared" si="15"/>
        <v/>
      </c>
      <c r="H145" s="3" t="str">
        <f t="shared" si="16"/>
        <v/>
      </c>
      <c r="I145" s="3" t="str">
        <f t="shared" si="17"/>
        <v/>
      </c>
      <c r="J145" t="str">
        <f t="shared" si="18"/>
        <v>(999,99,'','','','',),</v>
      </c>
    </row>
    <row r="146" spans="1:10">
      <c r="A146">
        <v>99</v>
      </c>
      <c r="G146" s="3" t="str">
        <f t="shared" si="15"/>
        <v/>
      </c>
      <c r="H146" s="3" t="str">
        <f t="shared" si="16"/>
        <v/>
      </c>
      <c r="I146" s="3" t="str">
        <f t="shared" si="17"/>
        <v/>
      </c>
      <c r="J146" t="str">
        <f t="shared" si="18"/>
        <v>(999,99,'','','','',),</v>
      </c>
    </row>
    <row r="147" spans="1:10">
      <c r="A147">
        <v>99</v>
      </c>
      <c r="G147" s="3" t="str">
        <f t="shared" si="15"/>
        <v/>
      </c>
      <c r="H147" s="3" t="str">
        <f t="shared" si="16"/>
        <v/>
      </c>
      <c r="I147" s="3" t="str">
        <f t="shared" si="17"/>
        <v/>
      </c>
      <c r="J147" t="str">
        <f t="shared" si="18"/>
        <v>(999,99,'','','','',),</v>
      </c>
    </row>
    <row r="148" spans="1:10">
      <c r="A148">
        <v>99</v>
      </c>
      <c r="G148" s="3" t="str">
        <f t="shared" si="15"/>
        <v/>
      </c>
      <c r="H148" s="3" t="str">
        <f t="shared" si="16"/>
        <v/>
      </c>
      <c r="I148" s="3" t="str">
        <f t="shared" si="17"/>
        <v/>
      </c>
      <c r="J148" t="str">
        <f t="shared" si="18"/>
        <v>(999,99,'','','','',),</v>
      </c>
    </row>
    <row r="149" spans="1:10">
      <c r="A149">
        <v>99</v>
      </c>
      <c r="G149" s="3" t="str">
        <f t="shared" si="15"/>
        <v/>
      </c>
      <c r="H149" s="3" t="str">
        <f t="shared" si="16"/>
        <v/>
      </c>
      <c r="I149" s="3" t="str">
        <f t="shared" si="17"/>
        <v/>
      </c>
      <c r="J149" t="str">
        <f t="shared" si="18"/>
        <v>(999,99,'','','','',),</v>
      </c>
    </row>
    <row r="150" spans="1:10">
      <c r="A150">
        <v>99</v>
      </c>
      <c r="G150" s="3" t="str">
        <f t="shared" si="15"/>
        <v/>
      </c>
      <c r="H150" s="3" t="str">
        <f t="shared" si="16"/>
        <v/>
      </c>
      <c r="I150" s="3" t="str">
        <f t="shared" si="17"/>
        <v/>
      </c>
      <c r="J150" t="str">
        <f t="shared" si="18"/>
        <v>(999,99,'','','','',),</v>
      </c>
    </row>
    <row r="151" spans="1:10">
      <c r="A151">
        <v>99</v>
      </c>
      <c r="G151" s="3" t="str">
        <f t="shared" si="15"/>
        <v/>
      </c>
      <c r="H151" s="3" t="str">
        <f t="shared" si="16"/>
        <v/>
      </c>
      <c r="I151" s="3" t="str">
        <f t="shared" si="17"/>
        <v/>
      </c>
      <c r="J151" t="str">
        <f t="shared" si="18"/>
        <v>(999,99,'','','','',),</v>
      </c>
    </row>
    <row r="152" spans="1:10">
      <c r="A152">
        <v>99</v>
      </c>
      <c r="G152" s="3" t="str">
        <f t="shared" si="15"/>
        <v/>
      </c>
      <c r="H152" s="3" t="str">
        <f t="shared" si="16"/>
        <v/>
      </c>
      <c r="I152" s="3" t="str">
        <f t="shared" si="17"/>
        <v/>
      </c>
      <c r="J152" t="str">
        <f t="shared" si="18"/>
        <v>(999,99,'','','','',),</v>
      </c>
    </row>
    <row r="153" spans="1:10">
      <c r="A153">
        <v>99</v>
      </c>
      <c r="G153" s="3" t="str">
        <f t="shared" si="15"/>
        <v/>
      </c>
      <c r="H153" s="3" t="str">
        <f t="shared" si="16"/>
        <v/>
      </c>
      <c r="I153" s="3" t="str">
        <f t="shared" si="17"/>
        <v/>
      </c>
      <c r="J153" t="str">
        <f t="shared" si="18"/>
        <v>(999,99,'','','','',),</v>
      </c>
    </row>
    <row r="154" spans="1:10">
      <c r="A154">
        <v>99</v>
      </c>
      <c r="G154" s="3" t="str">
        <f t="shared" si="15"/>
        <v/>
      </c>
      <c r="H154" s="3" t="str">
        <f t="shared" si="16"/>
        <v/>
      </c>
      <c r="I154" s="3" t="str">
        <f t="shared" si="17"/>
        <v/>
      </c>
      <c r="J154" t="str">
        <f t="shared" si="18"/>
        <v>(999,99,'','','','',),</v>
      </c>
    </row>
    <row r="155" spans="1:10">
      <c r="A155">
        <v>99</v>
      </c>
      <c r="G155" s="3" t="str">
        <f t="shared" si="15"/>
        <v/>
      </c>
      <c r="H155" s="3" t="str">
        <f t="shared" si="16"/>
        <v/>
      </c>
      <c r="I155" s="3" t="str">
        <f t="shared" si="17"/>
        <v/>
      </c>
      <c r="J155" t="str">
        <f t="shared" si="18"/>
        <v>(999,99,'','','','',),</v>
      </c>
    </row>
    <row r="156" spans="1:10">
      <c r="A156">
        <v>99</v>
      </c>
      <c r="G156" s="3" t="str">
        <f t="shared" si="15"/>
        <v/>
      </c>
      <c r="H156" s="3" t="str">
        <f t="shared" si="16"/>
        <v/>
      </c>
      <c r="I156" s="3" t="str">
        <f t="shared" si="17"/>
        <v/>
      </c>
      <c r="J156" t="str">
        <f t="shared" si="18"/>
        <v>(999,99,'','','','',),</v>
      </c>
    </row>
    <row r="157" spans="1:10">
      <c r="A157">
        <v>99</v>
      </c>
      <c r="G157" s="3" t="str">
        <f t="shared" si="15"/>
        <v/>
      </c>
      <c r="H157" s="3" t="str">
        <f t="shared" si="16"/>
        <v/>
      </c>
      <c r="I157" s="3" t="str">
        <f t="shared" si="17"/>
        <v/>
      </c>
      <c r="J157" t="str">
        <f t="shared" si="18"/>
        <v>(999,99,'','','','',),</v>
      </c>
    </row>
    <row r="158" spans="1:10">
      <c r="A158">
        <v>99</v>
      </c>
      <c r="G158" s="3" t="str">
        <f t="shared" si="15"/>
        <v/>
      </c>
      <c r="H158" s="3" t="str">
        <f t="shared" si="16"/>
        <v/>
      </c>
      <c r="I158" s="3" t="str">
        <f t="shared" si="17"/>
        <v/>
      </c>
      <c r="J158" t="str">
        <f t="shared" si="18"/>
        <v>(999,99,'','','','',),</v>
      </c>
    </row>
    <row r="159" spans="1:10">
      <c r="A159">
        <v>99</v>
      </c>
      <c r="G159" s="3" t="str">
        <f t="shared" si="15"/>
        <v/>
      </c>
      <c r="H159" s="3" t="str">
        <f t="shared" si="16"/>
        <v/>
      </c>
      <c r="I159" s="3" t="str">
        <f t="shared" si="17"/>
        <v/>
      </c>
      <c r="J159" t="str">
        <f t="shared" si="18"/>
        <v>(999,99,'','','','',),</v>
      </c>
    </row>
    <row r="160" spans="1:10">
      <c r="A160">
        <v>99</v>
      </c>
      <c r="G160" s="3" t="str">
        <f t="shared" si="15"/>
        <v/>
      </c>
      <c r="H160" s="3" t="str">
        <f t="shared" si="16"/>
        <v/>
      </c>
      <c r="I160" s="3" t="str">
        <f t="shared" si="17"/>
        <v/>
      </c>
      <c r="J160" t="str">
        <f t="shared" si="18"/>
        <v>(999,99,'','','','',),</v>
      </c>
    </row>
    <row r="161" spans="1:10">
      <c r="A161">
        <v>99</v>
      </c>
      <c r="G161" s="3" t="str">
        <f t="shared" si="15"/>
        <v/>
      </c>
      <c r="H161" s="3" t="str">
        <f t="shared" si="16"/>
        <v/>
      </c>
      <c r="I161" s="3" t="str">
        <f t="shared" si="17"/>
        <v/>
      </c>
      <c r="J161" t="str">
        <f t="shared" si="18"/>
        <v>(999,99,'','','','',),</v>
      </c>
    </row>
    <row r="162" spans="1:10">
      <c r="A162">
        <v>99</v>
      </c>
      <c r="G162" s="3" t="str">
        <f t="shared" si="15"/>
        <v/>
      </c>
      <c r="H162" s="3" t="str">
        <f t="shared" si="16"/>
        <v/>
      </c>
      <c r="I162" s="3" t="str">
        <f t="shared" si="17"/>
        <v/>
      </c>
      <c r="J162" t="str">
        <f t="shared" si="18"/>
        <v>(999,99,'','','','',),</v>
      </c>
    </row>
    <row r="163" spans="1:10">
      <c r="A163">
        <v>99</v>
      </c>
      <c r="G163" s="3" t="str">
        <f t="shared" si="15"/>
        <v/>
      </c>
      <c r="H163" s="3" t="str">
        <f t="shared" si="16"/>
        <v/>
      </c>
      <c r="I163" s="3" t="str">
        <f t="shared" si="17"/>
        <v/>
      </c>
      <c r="J163" t="str">
        <f t="shared" si="18"/>
        <v>(999,99,'','','','',),</v>
      </c>
    </row>
    <row r="164" spans="1:10">
      <c r="A164">
        <v>99</v>
      </c>
      <c r="G164" s="3" t="str">
        <f t="shared" si="15"/>
        <v/>
      </c>
      <c r="H164" s="3" t="str">
        <f t="shared" si="16"/>
        <v/>
      </c>
      <c r="I164" s="3" t="str">
        <f t="shared" si="17"/>
        <v/>
      </c>
      <c r="J164" t="str">
        <f t="shared" si="18"/>
        <v>(999,99,'','','','',),</v>
      </c>
    </row>
    <row r="165" spans="1:10">
      <c r="A165">
        <v>99</v>
      </c>
      <c r="G165" s="3" t="str">
        <f t="shared" si="15"/>
        <v/>
      </c>
      <c r="H165" s="3" t="str">
        <f t="shared" si="16"/>
        <v/>
      </c>
      <c r="I165" s="3" t="str">
        <f t="shared" si="17"/>
        <v/>
      </c>
      <c r="J165" t="str">
        <f t="shared" si="18"/>
        <v>(999,99,'','','','',),</v>
      </c>
    </row>
    <row r="166" spans="1:10">
      <c r="A166">
        <v>99</v>
      </c>
      <c r="G166" s="3" t="str">
        <f t="shared" si="15"/>
        <v/>
      </c>
      <c r="H166" s="3" t="str">
        <f t="shared" si="16"/>
        <v/>
      </c>
      <c r="I166" s="3" t="str">
        <f t="shared" si="17"/>
        <v/>
      </c>
      <c r="J166" t="str">
        <f t="shared" si="18"/>
        <v>(999,99,'','','','',),</v>
      </c>
    </row>
    <row r="167" spans="1:10">
      <c r="A167">
        <v>99</v>
      </c>
      <c r="G167" s="3" t="str">
        <f t="shared" si="15"/>
        <v/>
      </c>
      <c r="H167" s="3" t="str">
        <f t="shared" si="16"/>
        <v/>
      </c>
      <c r="I167" s="3" t="str">
        <f t="shared" si="17"/>
        <v/>
      </c>
      <c r="J167" t="str">
        <f t="shared" si="18"/>
        <v>(999,99,'','','','',),</v>
      </c>
    </row>
    <row r="168" spans="1:10">
      <c r="A168">
        <v>99</v>
      </c>
      <c r="G168" s="3" t="str">
        <f t="shared" si="15"/>
        <v/>
      </c>
      <c r="H168" s="3" t="str">
        <f t="shared" si="16"/>
        <v/>
      </c>
      <c r="I168" s="3" t="str">
        <f t="shared" si="17"/>
        <v/>
      </c>
      <c r="J168" t="str">
        <f t="shared" si="18"/>
        <v>(999,99,'','','','',),</v>
      </c>
    </row>
    <row r="169" spans="1:10">
      <c r="A169">
        <v>99</v>
      </c>
      <c r="G169" s="3" t="str">
        <f t="shared" si="15"/>
        <v/>
      </c>
      <c r="H169" s="3" t="str">
        <f t="shared" si="16"/>
        <v/>
      </c>
      <c r="I169" s="3" t="str">
        <f t="shared" si="17"/>
        <v/>
      </c>
      <c r="J169" t="str">
        <f t="shared" si="18"/>
        <v>(999,99,'','','','',),</v>
      </c>
    </row>
    <row r="170" spans="1:10">
      <c r="A170">
        <v>99</v>
      </c>
      <c r="G170" s="3" t="str">
        <f t="shared" si="15"/>
        <v/>
      </c>
      <c r="H170" s="3" t="str">
        <f t="shared" si="16"/>
        <v/>
      </c>
      <c r="I170" s="3" t="str">
        <f t="shared" si="17"/>
        <v/>
      </c>
      <c r="J170" t="str">
        <f t="shared" si="18"/>
        <v>(999,99,'','','','',),</v>
      </c>
    </row>
    <row r="171" spans="1:10">
      <c r="A171">
        <v>99</v>
      </c>
      <c r="G171" s="3" t="str">
        <f t="shared" si="15"/>
        <v/>
      </c>
      <c r="H171" s="3" t="str">
        <f t="shared" si="16"/>
        <v/>
      </c>
      <c r="I171" s="3" t="str">
        <f t="shared" si="17"/>
        <v/>
      </c>
      <c r="J171" t="str">
        <f t="shared" si="18"/>
        <v>(999,99,'','','','',),</v>
      </c>
    </row>
    <row r="172" spans="1:10">
      <c r="A172">
        <v>99</v>
      </c>
      <c r="G172" s="3" t="str">
        <f t="shared" si="15"/>
        <v/>
      </c>
      <c r="H172" s="3" t="str">
        <f t="shared" si="16"/>
        <v/>
      </c>
      <c r="I172" s="3" t="str">
        <f t="shared" si="17"/>
        <v/>
      </c>
      <c r="J172" t="str">
        <f t="shared" si="18"/>
        <v>(999,99,'','','','',),</v>
      </c>
    </row>
    <row r="173" spans="1:10">
      <c r="A173">
        <v>99</v>
      </c>
      <c r="G173" s="3" t="str">
        <f t="shared" si="15"/>
        <v/>
      </c>
      <c r="H173" s="3" t="str">
        <f t="shared" si="16"/>
        <v/>
      </c>
      <c r="I173" s="3" t="str">
        <f t="shared" si="17"/>
        <v/>
      </c>
      <c r="J173" t="str">
        <f t="shared" si="18"/>
        <v>(999,99,'','','','',),</v>
      </c>
    </row>
    <row r="174" spans="1:10">
      <c r="A174">
        <v>99</v>
      </c>
      <c r="G174" s="3" t="str">
        <f t="shared" si="15"/>
        <v/>
      </c>
      <c r="H174" s="3" t="str">
        <f t="shared" si="16"/>
        <v/>
      </c>
      <c r="I174" s="3" t="str">
        <f t="shared" si="17"/>
        <v/>
      </c>
      <c r="J174" t="str">
        <f t="shared" si="18"/>
        <v>(999,99,'','','','',),</v>
      </c>
    </row>
    <row r="175" spans="1:10">
      <c r="A175">
        <v>99</v>
      </c>
      <c r="G175" s="3" t="str">
        <f t="shared" si="15"/>
        <v/>
      </c>
      <c r="H175" s="3" t="str">
        <f t="shared" si="16"/>
        <v/>
      </c>
      <c r="I175" s="3" t="str">
        <f t="shared" si="17"/>
        <v/>
      </c>
      <c r="J175" t="str">
        <f t="shared" si="18"/>
        <v>(999,99,'','','','',),</v>
      </c>
    </row>
    <row r="176" spans="1:10">
      <c r="A176">
        <v>99</v>
      </c>
      <c r="G176" s="3" t="str">
        <f t="shared" si="15"/>
        <v/>
      </c>
      <c r="H176" s="3" t="str">
        <f t="shared" si="16"/>
        <v/>
      </c>
      <c r="I176" s="3" t="str">
        <f t="shared" si="17"/>
        <v/>
      </c>
      <c r="J176" t="str">
        <f t="shared" si="18"/>
        <v>(999,99,'','','','',),</v>
      </c>
    </row>
    <row r="177" spans="1:10">
      <c r="A177">
        <v>99</v>
      </c>
      <c r="G177" s="3" t="str">
        <f t="shared" si="15"/>
        <v/>
      </c>
      <c r="H177" s="3" t="str">
        <f t="shared" si="16"/>
        <v/>
      </c>
      <c r="I177" s="3" t="str">
        <f t="shared" si="17"/>
        <v/>
      </c>
      <c r="J177" t="str">
        <f t="shared" si="18"/>
        <v>(999,99,'','','','',),</v>
      </c>
    </row>
    <row r="178" spans="1:10">
      <c r="A178">
        <v>99</v>
      </c>
      <c r="G178" s="3" t="str">
        <f t="shared" si="15"/>
        <v/>
      </c>
      <c r="H178" s="3" t="str">
        <f t="shared" si="16"/>
        <v/>
      </c>
      <c r="I178" s="3" t="str">
        <f t="shared" si="17"/>
        <v/>
      </c>
      <c r="J178" t="str">
        <f t="shared" si="18"/>
        <v>(999,99,'','','','',),</v>
      </c>
    </row>
    <row r="179" spans="1:10">
      <c r="A179">
        <v>99</v>
      </c>
      <c r="G179" s="3" t="str">
        <f t="shared" si="15"/>
        <v/>
      </c>
      <c r="H179" s="3" t="str">
        <f t="shared" si="16"/>
        <v/>
      </c>
      <c r="I179" s="3" t="str">
        <f t="shared" si="17"/>
        <v/>
      </c>
      <c r="J179" t="str">
        <f t="shared" si="18"/>
        <v>(999,99,'','','','',),</v>
      </c>
    </row>
    <row r="180" spans="1:10">
      <c r="A180">
        <v>99</v>
      </c>
      <c r="G180" s="3" t="str">
        <f t="shared" si="15"/>
        <v/>
      </c>
      <c r="H180" s="3" t="str">
        <f t="shared" si="16"/>
        <v/>
      </c>
      <c r="I180" s="3" t="str">
        <f t="shared" si="17"/>
        <v/>
      </c>
      <c r="J180" t="str">
        <f t="shared" si="18"/>
        <v>(999,99,'','','','',),</v>
      </c>
    </row>
    <row r="181" spans="1:10">
      <c r="A181">
        <v>99</v>
      </c>
      <c r="G181" s="3" t="str">
        <f t="shared" si="15"/>
        <v/>
      </c>
      <c r="H181" s="3" t="str">
        <f t="shared" si="16"/>
        <v/>
      </c>
      <c r="I181" s="3" t="str">
        <f t="shared" si="17"/>
        <v/>
      </c>
      <c r="J181" t="str">
        <f t="shared" si="18"/>
        <v>(999,99,'','','','',),</v>
      </c>
    </row>
    <row r="182" spans="1:10">
      <c r="A182">
        <v>99</v>
      </c>
      <c r="G182" s="3" t="str">
        <f t="shared" si="15"/>
        <v/>
      </c>
      <c r="H182" s="3" t="str">
        <f t="shared" si="16"/>
        <v/>
      </c>
      <c r="I182" s="3" t="str">
        <f t="shared" si="17"/>
        <v/>
      </c>
      <c r="J182" t="str">
        <f t="shared" si="18"/>
        <v>(999,99,'','','','',),</v>
      </c>
    </row>
    <row r="183" spans="1:10">
      <c r="A183">
        <v>99</v>
      </c>
      <c r="G183" s="3" t="str">
        <f t="shared" si="15"/>
        <v/>
      </c>
      <c r="H183" s="3" t="str">
        <f t="shared" si="16"/>
        <v/>
      </c>
      <c r="I183" s="3" t="str">
        <f t="shared" si="17"/>
        <v/>
      </c>
      <c r="J183" t="str">
        <f t="shared" si="18"/>
        <v>(999,99,'','','','',),</v>
      </c>
    </row>
    <row r="184" spans="1:10">
      <c r="A184">
        <v>99</v>
      </c>
      <c r="G184" s="3" t="str">
        <f t="shared" si="15"/>
        <v/>
      </c>
      <c r="H184" s="3" t="str">
        <f t="shared" si="16"/>
        <v/>
      </c>
      <c r="I184" s="3" t="str">
        <f t="shared" si="17"/>
        <v/>
      </c>
      <c r="J184" t="str">
        <f t="shared" si="18"/>
        <v>(999,99,'','','','',),</v>
      </c>
    </row>
    <row r="185" spans="1:10">
      <c r="A185">
        <v>99</v>
      </c>
      <c r="G185" s="3" t="str">
        <f t="shared" si="15"/>
        <v/>
      </c>
      <c r="H185" s="3" t="str">
        <f t="shared" si="16"/>
        <v/>
      </c>
      <c r="I185" s="3" t="str">
        <f t="shared" si="17"/>
        <v/>
      </c>
      <c r="J185" t="str">
        <f t="shared" si="18"/>
        <v>(999,99,'','','','',),</v>
      </c>
    </row>
    <row r="186" spans="1:10">
      <c r="A186">
        <v>99</v>
      </c>
      <c r="G186" s="3" t="str">
        <f t="shared" si="15"/>
        <v/>
      </c>
      <c r="H186" s="3" t="str">
        <f t="shared" si="16"/>
        <v/>
      </c>
      <c r="I186" s="3" t="str">
        <f t="shared" si="17"/>
        <v/>
      </c>
      <c r="J186" t="str">
        <f t="shared" si="18"/>
        <v>(999,99,'','','','',),</v>
      </c>
    </row>
    <row r="187" spans="1:10">
      <c r="A187">
        <v>99</v>
      </c>
      <c r="G187" s="3" t="str">
        <f t="shared" si="15"/>
        <v/>
      </c>
      <c r="H187" s="3" t="str">
        <f t="shared" si="16"/>
        <v/>
      </c>
      <c r="I187" s="3" t="str">
        <f t="shared" si="17"/>
        <v/>
      </c>
      <c r="J187" t="str">
        <f t="shared" si="18"/>
        <v>(999,99,'','','','',),</v>
      </c>
    </row>
    <row r="188" spans="1:10">
      <c r="A188">
        <v>99</v>
      </c>
      <c r="G188" s="3" t="str">
        <f t="shared" si="15"/>
        <v/>
      </c>
      <c r="H188" s="3" t="str">
        <f t="shared" si="16"/>
        <v/>
      </c>
      <c r="I188" s="3" t="str">
        <f t="shared" si="17"/>
        <v/>
      </c>
      <c r="J188" t="str">
        <f t="shared" si="18"/>
        <v>(999,99,'','','','',),</v>
      </c>
    </row>
    <row r="189" spans="1:10">
      <c r="A189">
        <v>99</v>
      </c>
      <c r="G189" s="3" t="str">
        <f t="shared" si="15"/>
        <v/>
      </c>
      <c r="H189" s="3" t="str">
        <f t="shared" si="16"/>
        <v/>
      </c>
      <c r="I189" s="3" t="str">
        <f t="shared" si="17"/>
        <v/>
      </c>
      <c r="J189" t="str">
        <f t="shared" si="18"/>
        <v>(999,99,'','','','',),</v>
      </c>
    </row>
    <row r="190" spans="1:10">
      <c r="A190">
        <v>99</v>
      </c>
      <c r="G190" s="3" t="str">
        <f t="shared" si="15"/>
        <v/>
      </c>
      <c r="H190" s="3" t="str">
        <f t="shared" si="16"/>
        <v/>
      </c>
      <c r="I190" s="3" t="str">
        <f t="shared" si="17"/>
        <v/>
      </c>
      <c r="J190" t="str">
        <f t="shared" si="18"/>
        <v>(999,99,'','','','',),</v>
      </c>
    </row>
    <row r="191" spans="1:10">
      <c r="A191">
        <v>99</v>
      </c>
      <c r="G191" s="3" t="str">
        <f t="shared" si="15"/>
        <v/>
      </c>
      <c r="H191" s="3" t="str">
        <f t="shared" si="16"/>
        <v/>
      </c>
      <c r="I191" s="3" t="str">
        <f t="shared" si="17"/>
        <v/>
      </c>
      <c r="J191" t="str">
        <f t="shared" si="18"/>
        <v>(999,99,'','','','',),</v>
      </c>
    </row>
    <row r="192" spans="1:10">
      <c r="A192">
        <v>99</v>
      </c>
      <c r="G192" s="3" t="str">
        <f t="shared" si="15"/>
        <v/>
      </c>
      <c r="H192" s="3" t="str">
        <f t="shared" si="16"/>
        <v/>
      </c>
      <c r="I192" s="3" t="str">
        <f t="shared" si="17"/>
        <v/>
      </c>
      <c r="J192" t="str">
        <f t="shared" si="18"/>
        <v>(999,99,'','','','',),</v>
      </c>
    </row>
    <row r="193" spans="1:10">
      <c r="A193">
        <v>99</v>
      </c>
      <c r="G193" s="3" t="str">
        <f t="shared" si="15"/>
        <v/>
      </c>
      <c r="H193" s="3" t="str">
        <f t="shared" si="16"/>
        <v/>
      </c>
      <c r="I193" s="3" t="str">
        <f t="shared" si="17"/>
        <v/>
      </c>
      <c r="J193" t="str">
        <f t="shared" si="18"/>
        <v>(999,99,'','','','',),</v>
      </c>
    </row>
    <row r="194" spans="1:10">
      <c r="A194">
        <v>99</v>
      </c>
      <c r="G194" s="3" t="str">
        <f t="shared" si="15"/>
        <v/>
      </c>
      <c r="H194" s="3" t="str">
        <f t="shared" si="16"/>
        <v/>
      </c>
      <c r="I194" s="3" t="str">
        <f t="shared" si="17"/>
        <v/>
      </c>
      <c r="J194" t="str">
        <f t="shared" si="18"/>
        <v>(999,99,'','','','',),</v>
      </c>
    </row>
    <row r="195" spans="1:10">
      <c r="A195">
        <v>99</v>
      </c>
      <c r="G195" s="3" t="str">
        <f t="shared" si="15"/>
        <v/>
      </c>
      <c r="H195" s="3" t="str">
        <f t="shared" si="16"/>
        <v/>
      </c>
      <c r="I195" s="3" t="str">
        <f t="shared" si="17"/>
        <v/>
      </c>
      <c r="J195" t="str">
        <f t="shared" si="18"/>
        <v>(999,99,'','','','',),</v>
      </c>
    </row>
    <row r="196" spans="1:10">
      <c r="A196">
        <v>99</v>
      </c>
      <c r="G196" s="3" t="str">
        <f t="shared" si="15"/>
        <v/>
      </c>
      <c r="H196" s="3" t="str">
        <f t="shared" si="16"/>
        <v/>
      </c>
      <c r="I196" s="3" t="str">
        <f t="shared" si="17"/>
        <v/>
      </c>
      <c r="J196" t="str">
        <f t="shared" si="18"/>
        <v>(999,99,'','','','',),</v>
      </c>
    </row>
    <row r="197" spans="1:10">
      <c r="A197">
        <v>99</v>
      </c>
      <c r="G197" s="3" t="str">
        <f t="shared" si="15"/>
        <v/>
      </c>
      <c r="H197" s="3" t="str">
        <f t="shared" si="16"/>
        <v/>
      </c>
      <c r="I197" s="3" t="str">
        <f t="shared" si="17"/>
        <v/>
      </c>
      <c r="J197" t="str">
        <f t="shared" si="18"/>
        <v>(999,99,'','','','',),</v>
      </c>
    </row>
    <row r="198" spans="1:10">
      <c r="A198">
        <v>99</v>
      </c>
      <c r="G198" s="3" t="str">
        <f t="shared" si="15"/>
        <v/>
      </c>
      <c r="H198" s="3" t="str">
        <f t="shared" si="16"/>
        <v/>
      </c>
      <c r="I198" s="3" t="str">
        <f t="shared" si="17"/>
        <v/>
      </c>
      <c r="J198" t="str">
        <f t="shared" si="18"/>
        <v>(999,99,'','','','',),</v>
      </c>
    </row>
    <row r="199" spans="1:10">
      <c r="A199">
        <v>99</v>
      </c>
      <c r="G199" s="3" t="str">
        <f t="shared" ref="G199:G216" si="19">IF( IFERROR(FIND("A.",C199), 0) &gt; 0, TRIM(MID( C199, SEARCH("A.", C199)+2, 100)),TRIM(C199))</f>
        <v/>
      </c>
      <c r="H199" s="3" t="str">
        <f t="shared" ref="H199:H216" si="20">IF( IFERROR(FIND("B.",D199), 0) &gt; 0, TRIM(MID( D199, SEARCH("B.", D199)+2, 100)),TRIM(D199))</f>
        <v/>
      </c>
      <c r="I199" s="3" t="str">
        <f t="shared" ref="I199:I216" si="21">IF( IFERROR(FIND("C.",E199), 0) &gt; 0, TRIM(MID( E199, SEARCH("C.", E199)+2, 100)),TRIM(E199))</f>
        <v/>
      </c>
      <c r="J199" t="str">
        <f t="shared" ref="J199:J216" si="22">"("&amp;$B$2&amp;","&amp;A199&amp;",'"&amp;B199&amp;"','"&amp;G199&amp;"','"&amp;H199&amp;"','"&amp;I199&amp;"',"&amp;F199&amp;"),"</f>
        <v>(999,99,'','','','',),</v>
      </c>
    </row>
    <row r="200" spans="1:10">
      <c r="A200">
        <v>99</v>
      </c>
      <c r="G200" s="3" t="str">
        <f t="shared" si="19"/>
        <v/>
      </c>
      <c r="H200" s="3" t="str">
        <f t="shared" si="20"/>
        <v/>
      </c>
      <c r="I200" s="3" t="str">
        <f t="shared" si="21"/>
        <v/>
      </c>
      <c r="J200" t="str">
        <f t="shared" si="22"/>
        <v>(999,99,'','','','',),</v>
      </c>
    </row>
    <row r="201" spans="1:10">
      <c r="A201">
        <v>99</v>
      </c>
      <c r="G201" s="3" t="str">
        <f t="shared" si="19"/>
        <v/>
      </c>
      <c r="H201" s="3" t="str">
        <f t="shared" si="20"/>
        <v/>
      </c>
      <c r="I201" s="3" t="str">
        <f t="shared" si="21"/>
        <v/>
      </c>
      <c r="J201" t="str">
        <f t="shared" si="22"/>
        <v>(999,99,'','','','',),</v>
      </c>
    </row>
    <row r="202" spans="1:10">
      <c r="A202">
        <v>99</v>
      </c>
      <c r="G202" s="3" t="str">
        <f t="shared" si="19"/>
        <v/>
      </c>
      <c r="H202" s="3" t="str">
        <f t="shared" si="20"/>
        <v/>
      </c>
      <c r="I202" s="3" t="str">
        <f t="shared" si="21"/>
        <v/>
      </c>
      <c r="J202" t="str">
        <f t="shared" si="22"/>
        <v>(999,99,'','','','',),</v>
      </c>
    </row>
    <row r="203" spans="1:10">
      <c r="A203">
        <v>99</v>
      </c>
      <c r="G203" s="3" t="str">
        <f t="shared" si="19"/>
        <v/>
      </c>
      <c r="H203" s="3" t="str">
        <f t="shared" si="20"/>
        <v/>
      </c>
      <c r="I203" s="3" t="str">
        <f t="shared" si="21"/>
        <v/>
      </c>
      <c r="J203" t="str">
        <f t="shared" si="22"/>
        <v>(999,99,'','','','',),</v>
      </c>
    </row>
    <row r="204" spans="1:10">
      <c r="A204">
        <v>99</v>
      </c>
      <c r="G204" s="3" t="str">
        <f t="shared" si="19"/>
        <v/>
      </c>
      <c r="H204" s="3" t="str">
        <f t="shared" si="20"/>
        <v/>
      </c>
      <c r="I204" s="3" t="str">
        <f t="shared" si="21"/>
        <v/>
      </c>
      <c r="J204" t="str">
        <f t="shared" si="22"/>
        <v>(999,99,'','','','',),</v>
      </c>
    </row>
    <row r="205" spans="1:10">
      <c r="A205">
        <v>99</v>
      </c>
      <c r="G205" s="3" t="str">
        <f t="shared" si="19"/>
        <v/>
      </c>
      <c r="H205" s="3" t="str">
        <f t="shared" si="20"/>
        <v/>
      </c>
      <c r="I205" s="3" t="str">
        <f t="shared" si="21"/>
        <v/>
      </c>
      <c r="J205" t="str">
        <f t="shared" si="22"/>
        <v>(999,99,'','','','',),</v>
      </c>
    </row>
    <row r="206" spans="1:10">
      <c r="A206">
        <v>99</v>
      </c>
      <c r="G206" s="3" t="str">
        <f t="shared" si="19"/>
        <v/>
      </c>
      <c r="H206" s="3" t="str">
        <f t="shared" si="20"/>
        <v/>
      </c>
      <c r="I206" s="3" t="str">
        <f t="shared" si="21"/>
        <v/>
      </c>
      <c r="J206" t="str">
        <f t="shared" si="22"/>
        <v>(999,99,'','','','',),</v>
      </c>
    </row>
    <row r="207" spans="1:10">
      <c r="A207">
        <v>99</v>
      </c>
      <c r="G207" s="3" t="str">
        <f t="shared" si="19"/>
        <v/>
      </c>
      <c r="H207" s="3" t="str">
        <f t="shared" si="20"/>
        <v/>
      </c>
      <c r="I207" s="3" t="str">
        <f t="shared" si="21"/>
        <v/>
      </c>
      <c r="J207" t="str">
        <f t="shared" si="22"/>
        <v>(999,99,'','','','',),</v>
      </c>
    </row>
    <row r="208" spans="1:10">
      <c r="A208">
        <v>99</v>
      </c>
      <c r="G208" s="3" t="str">
        <f t="shared" si="19"/>
        <v/>
      </c>
      <c r="H208" s="3" t="str">
        <f t="shared" si="20"/>
        <v/>
      </c>
      <c r="I208" s="3" t="str">
        <f t="shared" si="21"/>
        <v/>
      </c>
      <c r="J208" t="str">
        <f t="shared" si="22"/>
        <v>(999,99,'','','','',),</v>
      </c>
    </row>
    <row r="209" spans="1:10">
      <c r="A209">
        <v>99</v>
      </c>
      <c r="G209" s="3" t="str">
        <f t="shared" si="19"/>
        <v/>
      </c>
      <c r="H209" s="3" t="str">
        <f t="shared" si="20"/>
        <v/>
      </c>
      <c r="I209" s="3" t="str">
        <f t="shared" si="21"/>
        <v/>
      </c>
      <c r="J209" t="str">
        <f t="shared" si="22"/>
        <v>(999,99,'','','','',),</v>
      </c>
    </row>
    <row r="210" spans="1:10">
      <c r="A210">
        <v>99</v>
      </c>
      <c r="G210" s="3" t="str">
        <f t="shared" si="19"/>
        <v/>
      </c>
      <c r="H210" s="3" t="str">
        <f t="shared" si="20"/>
        <v/>
      </c>
      <c r="I210" s="3" t="str">
        <f t="shared" si="21"/>
        <v/>
      </c>
      <c r="J210" t="str">
        <f t="shared" si="22"/>
        <v>(999,99,'','','','',),</v>
      </c>
    </row>
    <row r="211" spans="1:10">
      <c r="A211">
        <v>99</v>
      </c>
      <c r="G211" s="3" t="str">
        <f t="shared" si="19"/>
        <v/>
      </c>
      <c r="H211" s="3" t="str">
        <f t="shared" si="20"/>
        <v/>
      </c>
      <c r="I211" s="3" t="str">
        <f t="shared" si="21"/>
        <v/>
      </c>
      <c r="J211" t="str">
        <f t="shared" si="22"/>
        <v>(999,99,'','','','',),</v>
      </c>
    </row>
    <row r="212" spans="1:10">
      <c r="A212">
        <v>99</v>
      </c>
      <c r="G212" s="3" t="str">
        <f t="shared" si="19"/>
        <v/>
      </c>
      <c r="H212" s="3" t="str">
        <f t="shared" si="20"/>
        <v/>
      </c>
      <c r="I212" s="3" t="str">
        <f t="shared" si="21"/>
        <v/>
      </c>
      <c r="J212" t="str">
        <f t="shared" si="22"/>
        <v>(999,99,'','','','',),</v>
      </c>
    </row>
    <row r="213" spans="1:10">
      <c r="A213">
        <v>99</v>
      </c>
      <c r="G213" s="3" t="str">
        <f t="shared" si="19"/>
        <v/>
      </c>
      <c r="H213" s="3" t="str">
        <f t="shared" si="20"/>
        <v/>
      </c>
      <c r="I213" s="3" t="str">
        <f t="shared" si="21"/>
        <v/>
      </c>
      <c r="J213" t="str">
        <f t="shared" si="22"/>
        <v>(999,99,'','','','',),</v>
      </c>
    </row>
    <row r="214" spans="1:10">
      <c r="A214">
        <v>99</v>
      </c>
      <c r="G214" s="3" t="str">
        <f t="shared" si="19"/>
        <v/>
      </c>
      <c r="H214" s="3" t="str">
        <f t="shared" si="20"/>
        <v/>
      </c>
      <c r="I214" s="3" t="str">
        <f t="shared" si="21"/>
        <v/>
      </c>
      <c r="J214" t="str">
        <f t="shared" si="22"/>
        <v>(999,99,'','','','',),</v>
      </c>
    </row>
    <row r="215" spans="1:10">
      <c r="A215">
        <v>99</v>
      </c>
      <c r="G215" s="3" t="str">
        <f t="shared" si="19"/>
        <v/>
      </c>
      <c r="H215" s="3" t="str">
        <f t="shared" si="20"/>
        <v/>
      </c>
      <c r="I215" s="3" t="str">
        <f t="shared" si="21"/>
        <v/>
      </c>
      <c r="J215" t="str">
        <f t="shared" si="22"/>
        <v>(999,99,'','','','',),</v>
      </c>
    </row>
    <row r="216" spans="1:10">
      <c r="A216">
        <v>99</v>
      </c>
      <c r="G216" s="3" t="str">
        <f t="shared" si="19"/>
        <v/>
      </c>
      <c r="H216" s="3" t="str">
        <f t="shared" si="20"/>
        <v/>
      </c>
      <c r="I216" s="3" t="str">
        <f t="shared" si="21"/>
        <v/>
      </c>
      <c r="J216" t="str">
        <f t="shared" si="22"/>
        <v>(999,99,'','','','',),</v>
      </c>
    </row>
    <row r="217" spans="1:10">
      <c r="A217">
        <v>99</v>
      </c>
      <c r="G217" s="3" t="str">
        <f t="shared" ref="G217:G280" si="23">IF( IFERROR(FIND("A.",C217), 0) &gt; 0, TRIM(MID( C217, SEARCH("A.", C217)+2, 100)),TRIM(C217))</f>
        <v/>
      </c>
      <c r="H217" s="3" t="str">
        <f t="shared" ref="H217:H280" si="24">IF( IFERROR(FIND("B.",D217), 0) &gt; 0, TRIM(MID( D217, SEARCH("B.", D217)+2, 100)),TRIM(D217))</f>
        <v/>
      </c>
      <c r="I217" s="3" t="str">
        <f t="shared" ref="I217:I280" si="25">IF( IFERROR(FIND("C.",E217), 0) &gt; 0, TRIM(MID( E217, SEARCH("C.", E217)+2, 100)),TRIM(E217))</f>
        <v/>
      </c>
      <c r="J217" t="str">
        <f t="shared" ref="J217:J280" si="26">"("&amp;$B$2&amp;","&amp;A217&amp;",'"&amp;B217&amp;"','"&amp;G217&amp;"','"&amp;H217&amp;"','"&amp;I217&amp;"',"&amp;F217&amp;"),"</f>
        <v>(999,99,'','','','',),</v>
      </c>
    </row>
    <row r="218" spans="1:10">
      <c r="A218">
        <v>99</v>
      </c>
      <c r="G218" s="3" t="str">
        <f t="shared" si="23"/>
        <v/>
      </c>
      <c r="H218" s="3" t="str">
        <f t="shared" si="24"/>
        <v/>
      </c>
      <c r="I218" s="3" t="str">
        <f t="shared" si="25"/>
        <v/>
      </c>
      <c r="J218" t="str">
        <f t="shared" si="26"/>
        <v>(999,99,'','','','',),</v>
      </c>
    </row>
    <row r="219" spans="1:10">
      <c r="A219">
        <v>99</v>
      </c>
      <c r="G219" s="3" t="str">
        <f t="shared" si="23"/>
        <v/>
      </c>
      <c r="H219" s="3" t="str">
        <f t="shared" si="24"/>
        <v/>
      </c>
      <c r="I219" s="3" t="str">
        <f t="shared" si="25"/>
        <v/>
      </c>
      <c r="J219" t="str">
        <f t="shared" si="26"/>
        <v>(999,99,'','','','',),</v>
      </c>
    </row>
    <row r="220" spans="1:10">
      <c r="A220">
        <v>99</v>
      </c>
      <c r="G220" s="3" t="str">
        <f t="shared" si="23"/>
        <v/>
      </c>
      <c r="H220" s="3" t="str">
        <f t="shared" si="24"/>
        <v/>
      </c>
      <c r="I220" s="3" t="str">
        <f t="shared" si="25"/>
        <v/>
      </c>
      <c r="J220" t="str">
        <f t="shared" si="26"/>
        <v>(999,99,'','','','',),</v>
      </c>
    </row>
    <row r="221" spans="1:10">
      <c r="A221">
        <v>99</v>
      </c>
      <c r="G221" s="3" t="str">
        <f t="shared" si="23"/>
        <v/>
      </c>
      <c r="H221" s="3" t="str">
        <f t="shared" si="24"/>
        <v/>
      </c>
      <c r="I221" s="3" t="str">
        <f t="shared" si="25"/>
        <v/>
      </c>
      <c r="J221" t="str">
        <f t="shared" si="26"/>
        <v>(999,99,'','','','',),</v>
      </c>
    </row>
    <row r="222" spans="1:10">
      <c r="A222">
        <v>99</v>
      </c>
      <c r="G222" s="3" t="str">
        <f t="shared" si="23"/>
        <v/>
      </c>
      <c r="H222" s="3" t="str">
        <f t="shared" si="24"/>
        <v/>
      </c>
      <c r="I222" s="3" t="str">
        <f t="shared" si="25"/>
        <v/>
      </c>
      <c r="J222" t="str">
        <f t="shared" si="26"/>
        <v>(999,99,'','','','',),</v>
      </c>
    </row>
    <row r="223" spans="1:10">
      <c r="A223">
        <v>99</v>
      </c>
      <c r="G223" s="3" t="str">
        <f t="shared" si="23"/>
        <v/>
      </c>
      <c r="H223" s="3" t="str">
        <f t="shared" si="24"/>
        <v/>
      </c>
      <c r="I223" s="3" t="str">
        <f t="shared" si="25"/>
        <v/>
      </c>
      <c r="J223" t="str">
        <f t="shared" si="26"/>
        <v>(999,99,'','','','',),</v>
      </c>
    </row>
    <row r="224" spans="1:10">
      <c r="A224">
        <v>99</v>
      </c>
      <c r="G224" s="3" t="str">
        <f t="shared" si="23"/>
        <v/>
      </c>
      <c r="H224" s="3" t="str">
        <f t="shared" si="24"/>
        <v/>
      </c>
      <c r="I224" s="3" t="str">
        <f t="shared" si="25"/>
        <v/>
      </c>
      <c r="J224" t="str">
        <f t="shared" si="26"/>
        <v>(999,99,'','','','',),</v>
      </c>
    </row>
    <row r="225" spans="1:10">
      <c r="A225">
        <v>99</v>
      </c>
      <c r="G225" s="3" t="str">
        <f t="shared" si="23"/>
        <v/>
      </c>
      <c r="H225" s="3" t="str">
        <f t="shared" si="24"/>
        <v/>
      </c>
      <c r="I225" s="3" t="str">
        <f t="shared" si="25"/>
        <v/>
      </c>
      <c r="J225" t="str">
        <f t="shared" si="26"/>
        <v>(999,99,'','','','',),</v>
      </c>
    </row>
    <row r="226" spans="1:10">
      <c r="A226">
        <v>99</v>
      </c>
      <c r="G226" s="3" t="str">
        <f t="shared" si="23"/>
        <v/>
      </c>
      <c r="H226" s="3" t="str">
        <f t="shared" si="24"/>
        <v/>
      </c>
      <c r="I226" s="3" t="str">
        <f t="shared" si="25"/>
        <v/>
      </c>
      <c r="J226" t="str">
        <f t="shared" si="26"/>
        <v>(999,99,'','','','',),</v>
      </c>
    </row>
    <row r="227" spans="1:10">
      <c r="A227">
        <v>99</v>
      </c>
      <c r="G227" s="3" t="str">
        <f t="shared" si="23"/>
        <v/>
      </c>
      <c r="H227" s="3" t="str">
        <f t="shared" si="24"/>
        <v/>
      </c>
      <c r="I227" s="3" t="str">
        <f t="shared" si="25"/>
        <v/>
      </c>
      <c r="J227" t="str">
        <f t="shared" si="26"/>
        <v>(999,99,'','','','',),</v>
      </c>
    </row>
    <row r="228" spans="1:10">
      <c r="A228">
        <v>99</v>
      </c>
      <c r="G228" s="3" t="str">
        <f t="shared" si="23"/>
        <v/>
      </c>
      <c r="H228" s="3" t="str">
        <f t="shared" si="24"/>
        <v/>
      </c>
      <c r="I228" s="3" t="str">
        <f t="shared" si="25"/>
        <v/>
      </c>
      <c r="J228" t="str">
        <f t="shared" si="26"/>
        <v>(999,99,'','','','',),</v>
      </c>
    </row>
    <row r="229" spans="1:10">
      <c r="A229">
        <v>99</v>
      </c>
      <c r="G229" s="3" t="str">
        <f t="shared" si="23"/>
        <v/>
      </c>
      <c r="H229" s="3" t="str">
        <f t="shared" si="24"/>
        <v/>
      </c>
      <c r="I229" s="3" t="str">
        <f t="shared" si="25"/>
        <v/>
      </c>
      <c r="J229" t="str">
        <f t="shared" si="26"/>
        <v>(999,99,'','','','',),</v>
      </c>
    </row>
    <row r="230" spans="1:10">
      <c r="A230">
        <v>99</v>
      </c>
      <c r="G230" s="3" t="str">
        <f t="shared" si="23"/>
        <v/>
      </c>
      <c r="H230" s="3" t="str">
        <f t="shared" si="24"/>
        <v/>
      </c>
      <c r="I230" s="3" t="str">
        <f t="shared" si="25"/>
        <v/>
      </c>
      <c r="J230" t="str">
        <f t="shared" si="26"/>
        <v>(999,99,'','','','',),</v>
      </c>
    </row>
    <row r="231" spans="1:10">
      <c r="A231">
        <v>99</v>
      </c>
      <c r="G231" s="3" t="str">
        <f t="shared" si="23"/>
        <v/>
      </c>
      <c r="H231" s="3" t="str">
        <f t="shared" si="24"/>
        <v/>
      </c>
      <c r="I231" s="3" t="str">
        <f t="shared" si="25"/>
        <v/>
      </c>
      <c r="J231" t="str">
        <f t="shared" si="26"/>
        <v>(999,99,'','','','',),</v>
      </c>
    </row>
    <row r="232" spans="1:10">
      <c r="A232">
        <v>99</v>
      </c>
      <c r="G232" s="3" t="str">
        <f t="shared" si="23"/>
        <v/>
      </c>
      <c r="H232" s="3" t="str">
        <f t="shared" si="24"/>
        <v/>
      </c>
      <c r="I232" s="3" t="str">
        <f t="shared" si="25"/>
        <v/>
      </c>
      <c r="J232" t="str">
        <f t="shared" si="26"/>
        <v>(999,99,'','','','',),</v>
      </c>
    </row>
    <row r="233" spans="1:10">
      <c r="A233">
        <v>99</v>
      </c>
      <c r="G233" s="3" t="str">
        <f t="shared" si="23"/>
        <v/>
      </c>
      <c r="H233" s="3" t="str">
        <f t="shared" si="24"/>
        <v/>
      </c>
      <c r="I233" s="3" t="str">
        <f t="shared" si="25"/>
        <v/>
      </c>
      <c r="J233" t="str">
        <f t="shared" si="26"/>
        <v>(999,99,'','','','',),</v>
      </c>
    </row>
    <row r="234" spans="1:10">
      <c r="A234">
        <v>99</v>
      </c>
      <c r="G234" s="3" t="str">
        <f t="shared" si="23"/>
        <v/>
      </c>
      <c r="H234" s="3" t="str">
        <f t="shared" si="24"/>
        <v/>
      </c>
      <c r="I234" s="3" t="str">
        <f t="shared" si="25"/>
        <v/>
      </c>
      <c r="J234" t="str">
        <f t="shared" si="26"/>
        <v>(999,99,'','','','',),</v>
      </c>
    </row>
    <row r="235" spans="1:10">
      <c r="A235">
        <v>99</v>
      </c>
      <c r="G235" s="3" t="str">
        <f t="shared" si="23"/>
        <v/>
      </c>
      <c r="H235" s="3" t="str">
        <f t="shared" si="24"/>
        <v/>
      </c>
      <c r="I235" s="3" t="str">
        <f t="shared" si="25"/>
        <v/>
      </c>
      <c r="J235" t="str">
        <f t="shared" si="26"/>
        <v>(999,99,'','','','',),</v>
      </c>
    </row>
    <row r="236" spans="1:10">
      <c r="A236">
        <v>99</v>
      </c>
      <c r="G236" s="3" t="str">
        <f t="shared" si="23"/>
        <v/>
      </c>
      <c r="H236" s="3" t="str">
        <f t="shared" si="24"/>
        <v/>
      </c>
      <c r="I236" s="3" t="str">
        <f t="shared" si="25"/>
        <v/>
      </c>
      <c r="J236" t="str">
        <f t="shared" si="26"/>
        <v>(999,99,'','','','',),</v>
      </c>
    </row>
    <row r="237" spans="1:10">
      <c r="A237">
        <v>99</v>
      </c>
      <c r="G237" s="3" t="str">
        <f t="shared" si="23"/>
        <v/>
      </c>
      <c r="H237" s="3" t="str">
        <f t="shared" si="24"/>
        <v/>
      </c>
      <c r="I237" s="3" t="str">
        <f t="shared" si="25"/>
        <v/>
      </c>
      <c r="J237" t="str">
        <f t="shared" si="26"/>
        <v>(999,99,'','','','',),</v>
      </c>
    </row>
    <row r="238" spans="1:10">
      <c r="A238">
        <v>99</v>
      </c>
      <c r="G238" s="3" t="str">
        <f t="shared" si="23"/>
        <v/>
      </c>
      <c r="H238" s="3" t="str">
        <f t="shared" si="24"/>
        <v/>
      </c>
      <c r="I238" s="3" t="str">
        <f t="shared" si="25"/>
        <v/>
      </c>
      <c r="J238" t="str">
        <f t="shared" si="26"/>
        <v>(999,99,'','','','',),</v>
      </c>
    </row>
    <row r="239" spans="1:10">
      <c r="A239">
        <v>99</v>
      </c>
      <c r="G239" s="3" t="str">
        <f t="shared" si="23"/>
        <v/>
      </c>
      <c r="H239" s="3" t="str">
        <f t="shared" si="24"/>
        <v/>
      </c>
      <c r="I239" s="3" t="str">
        <f t="shared" si="25"/>
        <v/>
      </c>
      <c r="J239" t="str">
        <f t="shared" si="26"/>
        <v>(999,99,'','','','',),</v>
      </c>
    </row>
    <row r="240" spans="1:10">
      <c r="A240">
        <v>99</v>
      </c>
      <c r="G240" s="3" t="str">
        <f t="shared" si="23"/>
        <v/>
      </c>
      <c r="H240" s="3" t="str">
        <f t="shared" si="24"/>
        <v/>
      </c>
      <c r="I240" s="3" t="str">
        <f t="shared" si="25"/>
        <v/>
      </c>
      <c r="J240" t="str">
        <f t="shared" si="26"/>
        <v>(999,99,'','','','',),</v>
      </c>
    </row>
    <row r="241" spans="1:10">
      <c r="A241">
        <v>99</v>
      </c>
      <c r="G241" s="3" t="str">
        <f t="shared" si="23"/>
        <v/>
      </c>
      <c r="H241" s="3" t="str">
        <f t="shared" si="24"/>
        <v/>
      </c>
      <c r="I241" s="3" t="str">
        <f t="shared" si="25"/>
        <v/>
      </c>
      <c r="J241" t="str">
        <f t="shared" si="26"/>
        <v>(999,99,'','','','',),</v>
      </c>
    </row>
    <row r="242" spans="1:10">
      <c r="A242">
        <v>99</v>
      </c>
      <c r="G242" s="3" t="str">
        <f t="shared" si="23"/>
        <v/>
      </c>
      <c r="H242" s="3" t="str">
        <f t="shared" si="24"/>
        <v/>
      </c>
      <c r="I242" s="3" t="str">
        <f t="shared" si="25"/>
        <v/>
      </c>
      <c r="J242" t="str">
        <f t="shared" si="26"/>
        <v>(999,99,'','','','',),</v>
      </c>
    </row>
    <row r="243" spans="1:10">
      <c r="A243">
        <v>99</v>
      </c>
      <c r="G243" s="3" t="str">
        <f t="shared" si="23"/>
        <v/>
      </c>
      <c r="H243" s="3" t="str">
        <f t="shared" si="24"/>
        <v/>
      </c>
      <c r="I243" s="3" t="str">
        <f t="shared" si="25"/>
        <v/>
      </c>
      <c r="J243" t="str">
        <f t="shared" si="26"/>
        <v>(999,99,'','','','',),</v>
      </c>
    </row>
    <row r="244" spans="1:10">
      <c r="A244">
        <v>99</v>
      </c>
      <c r="G244" s="3" t="str">
        <f t="shared" si="23"/>
        <v/>
      </c>
      <c r="H244" s="3" t="str">
        <f t="shared" si="24"/>
        <v/>
      </c>
      <c r="I244" s="3" t="str">
        <f t="shared" si="25"/>
        <v/>
      </c>
      <c r="J244" t="str">
        <f t="shared" si="26"/>
        <v>(999,99,'','','','',),</v>
      </c>
    </row>
    <row r="245" spans="1:10">
      <c r="A245">
        <v>99</v>
      </c>
      <c r="G245" s="3" t="str">
        <f t="shared" si="23"/>
        <v/>
      </c>
      <c r="H245" s="3" t="str">
        <f t="shared" si="24"/>
        <v/>
      </c>
      <c r="I245" s="3" t="str">
        <f t="shared" si="25"/>
        <v/>
      </c>
      <c r="J245" t="str">
        <f t="shared" si="26"/>
        <v>(999,99,'','','','',),</v>
      </c>
    </row>
    <row r="246" spans="1:10">
      <c r="A246">
        <v>99</v>
      </c>
      <c r="G246" s="3" t="str">
        <f t="shared" si="23"/>
        <v/>
      </c>
      <c r="H246" s="3" t="str">
        <f t="shared" si="24"/>
        <v/>
      </c>
      <c r="I246" s="3" t="str">
        <f t="shared" si="25"/>
        <v/>
      </c>
      <c r="J246" t="str">
        <f t="shared" si="26"/>
        <v>(999,99,'','','','',),</v>
      </c>
    </row>
    <row r="247" spans="1:10">
      <c r="A247">
        <v>99</v>
      </c>
      <c r="G247" s="3" t="str">
        <f t="shared" si="23"/>
        <v/>
      </c>
      <c r="H247" s="3" t="str">
        <f t="shared" si="24"/>
        <v/>
      </c>
      <c r="I247" s="3" t="str">
        <f t="shared" si="25"/>
        <v/>
      </c>
      <c r="J247" t="str">
        <f t="shared" si="26"/>
        <v>(999,99,'','','','',),</v>
      </c>
    </row>
    <row r="248" spans="1:10">
      <c r="A248">
        <v>99</v>
      </c>
      <c r="G248" s="3" t="str">
        <f t="shared" si="23"/>
        <v/>
      </c>
      <c r="H248" s="3" t="str">
        <f t="shared" si="24"/>
        <v/>
      </c>
      <c r="I248" s="3" t="str">
        <f t="shared" si="25"/>
        <v/>
      </c>
      <c r="J248" t="str">
        <f t="shared" si="26"/>
        <v>(999,99,'','','','',),</v>
      </c>
    </row>
    <row r="249" spans="1:10">
      <c r="A249">
        <v>99</v>
      </c>
      <c r="G249" s="3" t="str">
        <f t="shared" si="23"/>
        <v/>
      </c>
      <c r="H249" s="3" t="str">
        <f t="shared" si="24"/>
        <v/>
      </c>
      <c r="I249" s="3" t="str">
        <f t="shared" si="25"/>
        <v/>
      </c>
      <c r="J249" t="str">
        <f t="shared" si="26"/>
        <v>(999,99,'','','','',),</v>
      </c>
    </row>
    <row r="250" spans="1:10">
      <c r="A250">
        <v>99</v>
      </c>
      <c r="G250" s="3" t="str">
        <f t="shared" si="23"/>
        <v/>
      </c>
      <c r="H250" s="3" t="str">
        <f t="shared" si="24"/>
        <v/>
      </c>
      <c r="I250" s="3" t="str">
        <f t="shared" si="25"/>
        <v/>
      </c>
      <c r="J250" t="str">
        <f t="shared" si="26"/>
        <v>(999,99,'','','','',),</v>
      </c>
    </row>
    <row r="251" spans="1:10">
      <c r="A251">
        <v>99</v>
      </c>
      <c r="G251" s="3" t="str">
        <f t="shared" si="23"/>
        <v/>
      </c>
      <c r="H251" s="3" t="str">
        <f t="shared" si="24"/>
        <v/>
      </c>
      <c r="I251" s="3" t="str">
        <f t="shared" si="25"/>
        <v/>
      </c>
      <c r="J251" t="str">
        <f t="shared" si="26"/>
        <v>(999,99,'','','','',),</v>
      </c>
    </row>
    <row r="252" spans="1:10">
      <c r="A252">
        <v>99</v>
      </c>
      <c r="G252" s="3" t="str">
        <f t="shared" si="23"/>
        <v/>
      </c>
      <c r="H252" s="3" t="str">
        <f t="shared" si="24"/>
        <v/>
      </c>
      <c r="I252" s="3" t="str">
        <f t="shared" si="25"/>
        <v/>
      </c>
      <c r="J252" t="str">
        <f t="shared" si="26"/>
        <v>(999,99,'','','','',),</v>
      </c>
    </row>
    <row r="253" spans="1:10">
      <c r="A253">
        <v>99</v>
      </c>
      <c r="G253" s="3" t="str">
        <f t="shared" si="23"/>
        <v/>
      </c>
      <c r="H253" s="3" t="str">
        <f t="shared" si="24"/>
        <v/>
      </c>
      <c r="I253" s="3" t="str">
        <f t="shared" si="25"/>
        <v/>
      </c>
      <c r="J253" t="str">
        <f t="shared" si="26"/>
        <v>(999,99,'','','','',),</v>
      </c>
    </row>
    <row r="254" spans="1:10">
      <c r="A254">
        <v>99</v>
      </c>
      <c r="G254" s="3" t="str">
        <f t="shared" si="23"/>
        <v/>
      </c>
      <c r="H254" s="3" t="str">
        <f t="shared" si="24"/>
        <v/>
      </c>
      <c r="I254" s="3" t="str">
        <f t="shared" si="25"/>
        <v/>
      </c>
      <c r="J254" t="str">
        <f t="shared" si="26"/>
        <v>(999,99,'','','','',),</v>
      </c>
    </row>
    <row r="255" spans="1:10">
      <c r="A255">
        <v>99</v>
      </c>
      <c r="G255" s="3" t="str">
        <f t="shared" si="23"/>
        <v/>
      </c>
      <c r="H255" s="3" t="str">
        <f t="shared" si="24"/>
        <v/>
      </c>
      <c r="I255" s="3" t="str">
        <f t="shared" si="25"/>
        <v/>
      </c>
      <c r="J255" t="str">
        <f t="shared" si="26"/>
        <v>(999,99,'','','','',),</v>
      </c>
    </row>
    <row r="256" spans="1:10">
      <c r="A256">
        <v>99</v>
      </c>
      <c r="G256" s="3" t="str">
        <f t="shared" si="23"/>
        <v/>
      </c>
      <c r="H256" s="3" t="str">
        <f t="shared" si="24"/>
        <v/>
      </c>
      <c r="I256" s="3" t="str">
        <f t="shared" si="25"/>
        <v/>
      </c>
      <c r="J256" t="str">
        <f t="shared" si="26"/>
        <v>(999,99,'','','','',),</v>
      </c>
    </row>
    <row r="257" spans="1:10">
      <c r="A257">
        <v>99</v>
      </c>
      <c r="G257" s="3" t="str">
        <f t="shared" si="23"/>
        <v/>
      </c>
      <c r="H257" s="3" t="str">
        <f t="shared" si="24"/>
        <v/>
      </c>
      <c r="I257" s="3" t="str">
        <f t="shared" si="25"/>
        <v/>
      </c>
      <c r="J257" t="str">
        <f t="shared" si="26"/>
        <v>(999,99,'','','','',),</v>
      </c>
    </row>
    <row r="258" spans="1:10">
      <c r="A258">
        <v>99</v>
      </c>
      <c r="G258" s="3" t="str">
        <f t="shared" si="23"/>
        <v/>
      </c>
      <c r="H258" s="3" t="str">
        <f t="shared" si="24"/>
        <v/>
      </c>
      <c r="I258" s="3" t="str">
        <f t="shared" si="25"/>
        <v/>
      </c>
      <c r="J258" t="str">
        <f t="shared" si="26"/>
        <v>(999,99,'','','','',),</v>
      </c>
    </row>
    <row r="259" spans="1:10">
      <c r="A259">
        <v>99</v>
      </c>
      <c r="G259" s="3" t="str">
        <f t="shared" si="23"/>
        <v/>
      </c>
      <c r="H259" s="3" t="str">
        <f t="shared" si="24"/>
        <v/>
      </c>
      <c r="I259" s="3" t="str">
        <f t="shared" si="25"/>
        <v/>
      </c>
      <c r="J259" t="str">
        <f t="shared" si="26"/>
        <v>(999,99,'','','','',),</v>
      </c>
    </row>
    <row r="260" spans="1:10">
      <c r="A260">
        <v>99</v>
      </c>
      <c r="G260" s="3" t="str">
        <f t="shared" si="23"/>
        <v/>
      </c>
      <c r="H260" s="3" t="str">
        <f t="shared" si="24"/>
        <v/>
      </c>
      <c r="I260" s="3" t="str">
        <f t="shared" si="25"/>
        <v/>
      </c>
      <c r="J260" t="str">
        <f t="shared" si="26"/>
        <v>(999,99,'','','','',),</v>
      </c>
    </row>
    <row r="261" spans="1:10">
      <c r="A261">
        <v>99</v>
      </c>
      <c r="G261" s="3" t="str">
        <f t="shared" si="23"/>
        <v/>
      </c>
      <c r="H261" s="3" t="str">
        <f t="shared" si="24"/>
        <v/>
      </c>
      <c r="I261" s="3" t="str">
        <f t="shared" si="25"/>
        <v/>
      </c>
      <c r="J261" t="str">
        <f t="shared" si="26"/>
        <v>(999,99,'','','','',),</v>
      </c>
    </row>
    <row r="262" spans="1:10">
      <c r="A262">
        <v>99</v>
      </c>
      <c r="G262" s="3" t="str">
        <f t="shared" si="23"/>
        <v/>
      </c>
      <c r="H262" s="3" t="str">
        <f t="shared" si="24"/>
        <v/>
      </c>
      <c r="I262" s="3" t="str">
        <f t="shared" si="25"/>
        <v/>
      </c>
      <c r="J262" t="str">
        <f t="shared" si="26"/>
        <v>(999,99,'','','','',),</v>
      </c>
    </row>
    <row r="263" spans="1:10">
      <c r="A263">
        <v>99</v>
      </c>
      <c r="G263" s="3" t="str">
        <f t="shared" si="23"/>
        <v/>
      </c>
      <c r="H263" s="3" t="str">
        <f t="shared" si="24"/>
        <v/>
      </c>
      <c r="I263" s="3" t="str">
        <f t="shared" si="25"/>
        <v/>
      </c>
      <c r="J263" t="str">
        <f t="shared" si="26"/>
        <v>(999,99,'','','','',),</v>
      </c>
    </row>
    <row r="264" spans="1:10">
      <c r="A264">
        <v>99</v>
      </c>
      <c r="G264" s="3" t="str">
        <f t="shared" si="23"/>
        <v/>
      </c>
      <c r="H264" s="3" t="str">
        <f t="shared" si="24"/>
        <v/>
      </c>
      <c r="I264" s="3" t="str">
        <f t="shared" si="25"/>
        <v/>
      </c>
      <c r="J264" t="str">
        <f t="shared" si="26"/>
        <v>(999,99,'','','','',),</v>
      </c>
    </row>
    <row r="265" spans="1:10">
      <c r="A265">
        <v>99</v>
      </c>
      <c r="G265" s="3" t="str">
        <f t="shared" si="23"/>
        <v/>
      </c>
      <c r="H265" s="3" t="str">
        <f t="shared" si="24"/>
        <v/>
      </c>
      <c r="I265" s="3" t="str">
        <f t="shared" si="25"/>
        <v/>
      </c>
      <c r="J265" t="str">
        <f t="shared" si="26"/>
        <v>(999,99,'','','','',),</v>
      </c>
    </row>
    <row r="266" spans="1:10">
      <c r="A266">
        <v>99</v>
      </c>
      <c r="G266" s="3" t="str">
        <f t="shared" si="23"/>
        <v/>
      </c>
      <c r="H266" s="3" t="str">
        <f t="shared" si="24"/>
        <v/>
      </c>
      <c r="I266" s="3" t="str">
        <f t="shared" si="25"/>
        <v/>
      </c>
      <c r="J266" t="str">
        <f t="shared" si="26"/>
        <v>(999,99,'','','','',),</v>
      </c>
    </row>
    <row r="267" spans="1:10">
      <c r="A267">
        <v>99</v>
      </c>
      <c r="G267" s="3" t="str">
        <f t="shared" si="23"/>
        <v/>
      </c>
      <c r="H267" s="3" t="str">
        <f t="shared" si="24"/>
        <v/>
      </c>
      <c r="I267" s="3" t="str">
        <f t="shared" si="25"/>
        <v/>
      </c>
      <c r="J267" t="str">
        <f t="shared" si="26"/>
        <v>(999,99,'','','','',),</v>
      </c>
    </row>
    <row r="268" spans="1:10">
      <c r="A268">
        <v>99</v>
      </c>
      <c r="G268" s="3" t="str">
        <f t="shared" si="23"/>
        <v/>
      </c>
      <c r="H268" s="3" t="str">
        <f t="shared" si="24"/>
        <v/>
      </c>
      <c r="I268" s="3" t="str">
        <f t="shared" si="25"/>
        <v/>
      </c>
      <c r="J268" t="str">
        <f t="shared" si="26"/>
        <v>(999,99,'','','','',),</v>
      </c>
    </row>
    <row r="269" spans="1:10">
      <c r="A269">
        <v>99</v>
      </c>
      <c r="G269" s="3" t="str">
        <f t="shared" si="23"/>
        <v/>
      </c>
      <c r="H269" s="3" t="str">
        <f t="shared" si="24"/>
        <v/>
      </c>
      <c r="I269" s="3" t="str">
        <f t="shared" si="25"/>
        <v/>
      </c>
      <c r="J269" t="str">
        <f t="shared" si="26"/>
        <v>(999,99,'','','','',),</v>
      </c>
    </row>
    <row r="270" spans="1:10">
      <c r="A270">
        <v>99</v>
      </c>
      <c r="G270" s="3" t="str">
        <f t="shared" si="23"/>
        <v/>
      </c>
      <c r="H270" s="3" t="str">
        <f t="shared" si="24"/>
        <v/>
      </c>
      <c r="I270" s="3" t="str">
        <f t="shared" si="25"/>
        <v/>
      </c>
      <c r="J270" t="str">
        <f t="shared" si="26"/>
        <v>(999,99,'','','','',),</v>
      </c>
    </row>
    <row r="271" spans="1:10">
      <c r="A271">
        <v>99</v>
      </c>
      <c r="G271" s="3" t="str">
        <f t="shared" si="23"/>
        <v/>
      </c>
      <c r="H271" s="3" t="str">
        <f t="shared" si="24"/>
        <v/>
      </c>
      <c r="I271" s="3" t="str">
        <f t="shared" si="25"/>
        <v/>
      </c>
      <c r="J271" t="str">
        <f t="shared" si="26"/>
        <v>(999,99,'','','','',),</v>
      </c>
    </row>
    <row r="272" spans="1:10">
      <c r="A272">
        <v>99</v>
      </c>
      <c r="G272" s="3" t="str">
        <f t="shared" si="23"/>
        <v/>
      </c>
      <c r="H272" s="3" t="str">
        <f t="shared" si="24"/>
        <v/>
      </c>
      <c r="I272" s="3" t="str">
        <f t="shared" si="25"/>
        <v/>
      </c>
      <c r="J272" t="str">
        <f t="shared" si="26"/>
        <v>(999,99,'','','','',),</v>
      </c>
    </row>
    <row r="273" spans="1:10">
      <c r="A273">
        <v>99</v>
      </c>
      <c r="G273" s="3" t="str">
        <f t="shared" si="23"/>
        <v/>
      </c>
      <c r="H273" s="3" t="str">
        <f t="shared" si="24"/>
        <v/>
      </c>
      <c r="I273" s="3" t="str">
        <f t="shared" si="25"/>
        <v/>
      </c>
      <c r="J273" t="str">
        <f t="shared" si="26"/>
        <v>(999,99,'','','','',),</v>
      </c>
    </row>
    <row r="274" spans="1:10">
      <c r="A274">
        <v>99</v>
      </c>
      <c r="G274" s="3" t="str">
        <f t="shared" si="23"/>
        <v/>
      </c>
      <c r="H274" s="3" t="str">
        <f t="shared" si="24"/>
        <v/>
      </c>
      <c r="I274" s="3" t="str">
        <f t="shared" si="25"/>
        <v/>
      </c>
      <c r="J274" t="str">
        <f t="shared" si="26"/>
        <v>(999,99,'','','','',),</v>
      </c>
    </row>
    <row r="275" spans="1:10">
      <c r="A275">
        <v>99</v>
      </c>
      <c r="G275" s="3" t="str">
        <f t="shared" si="23"/>
        <v/>
      </c>
      <c r="H275" s="3" t="str">
        <f t="shared" si="24"/>
        <v/>
      </c>
      <c r="I275" s="3" t="str">
        <f t="shared" si="25"/>
        <v/>
      </c>
      <c r="J275" t="str">
        <f t="shared" si="26"/>
        <v>(999,99,'','','','',),</v>
      </c>
    </row>
    <row r="276" spans="1:10">
      <c r="A276">
        <v>99</v>
      </c>
      <c r="G276" s="3" t="str">
        <f t="shared" si="23"/>
        <v/>
      </c>
      <c r="H276" s="3" t="str">
        <f t="shared" si="24"/>
        <v/>
      </c>
      <c r="I276" s="3" t="str">
        <f t="shared" si="25"/>
        <v/>
      </c>
      <c r="J276" t="str">
        <f t="shared" si="26"/>
        <v>(999,99,'','','','',),</v>
      </c>
    </row>
    <row r="277" spans="1:10">
      <c r="A277">
        <v>99</v>
      </c>
      <c r="G277" s="3" t="str">
        <f t="shared" si="23"/>
        <v/>
      </c>
      <c r="H277" s="3" t="str">
        <f t="shared" si="24"/>
        <v/>
      </c>
      <c r="I277" s="3" t="str">
        <f t="shared" si="25"/>
        <v/>
      </c>
      <c r="J277" t="str">
        <f t="shared" si="26"/>
        <v>(999,99,'','','','',),</v>
      </c>
    </row>
    <row r="278" spans="1:10">
      <c r="A278">
        <v>99</v>
      </c>
      <c r="G278" s="3" t="str">
        <f t="shared" si="23"/>
        <v/>
      </c>
      <c r="H278" s="3" t="str">
        <f t="shared" si="24"/>
        <v/>
      </c>
      <c r="I278" s="3" t="str">
        <f t="shared" si="25"/>
        <v/>
      </c>
      <c r="J278" t="str">
        <f t="shared" si="26"/>
        <v>(999,99,'','','','',),</v>
      </c>
    </row>
    <row r="279" spans="1:10">
      <c r="A279">
        <v>99</v>
      </c>
      <c r="G279" s="3" t="str">
        <f t="shared" si="23"/>
        <v/>
      </c>
      <c r="H279" s="3" t="str">
        <f t="shared" si="24"/>
        <v/>
      </c>
      <c r="I279" s="3" t="str">
        <f t="shared" si="25"/>
        <v/>
      </c>
      <c r="J279" t="str">
        <f t="shared" si="26"/>
        <v>(999,99,'','','','',),</v>
      </c>
    </row>
    <row r="280" spans="1:10">
      <c r="A280">
        <v>99</v>
      </c>
      <c r="G280" s="3" t="str">
        <f t="shared" si="23"/>
        <v/>
      </c>
      <c r="H280" s="3" t="str">
        <f t="shared" si="24"/>
        <v/>
      </c>
      <c r="I280" s="3" t="str">
        <f t="shared" si="25"/>
        <v/>
      </c>
      <c r="J280" t="str">
        <f t="shared" si="26"/>
        <v>(999,99,'','','','',),</v>
      </c>
    </row>
    <row r="281" spans="1:10">
      <c r="A281">
        <v>99</v>
      </c>
      <c r="G281" s="3" t="str">
        <f t="shared" ref="G281:G344" si="27">IF( IFERROR(FIND("A.",C281), 0) &gt; 0, TRIM(MID( C281, SEARCH("A.", C281)+2, 100)),TRIM(C281))</f>
        <v/>
      </c>
      <c r="H281" s="3" t="str">
        <f t="shared" ref="H281:H344" si="28">IF( IFERROR(FIND("B.",D281), 0) &gt; 0, TRIM(MID( D281, SEARCH("B.", D281)+2, 100)),TRIM(D281))</f>
        <v/>
      </c>
      <c r="I281" s="3" t="str">
        <f t="shared" ref="I281:I344" si="29">IF( IFERROR(FIND("C.",E281), 0) &gt; 0, TRIM(MID( E281, SEARCH("C.", E281)+2, 100)),TRIM(E281))</f>
        <v/>
      </c>
      <c r="J281" t="str">
        <f t="shared" ref="J281:J344" si="30">"("&amp;$B$2&amp;","&amp;A281&amp;",'"&amp;B281&amp;"','"&amp;G281&amp;"','"&amp;H281&amp;"','"&amp;I281&amp;"',"&amp;F281&amp;"),"</f>
        <v>(999,99,'','','','',),</v>
      </c>
    </row>
    <row r="282" spans="1:10">
      <c r="A282">
        <v>99</v>
      </c>
      <c r="G282" s="3" t="str">
        <f t="shared" si="27"/>
        <v/>
      </c>
      <c r="H282" s="3" t="str">
        <f t="shared" si="28"/>
        <v/>
      </c>
      <c r="I282" s="3" t="str">
        <f t="shared" si="29"/>
        <v/>
      </c>
      <c r="J282" t="str">
        <f t="shared" si="30"/>
        <v>(999,99,'','','','',),</v>
      </c>
    </row>
    <row r="283" spans="1:10">
      <c r="A283">
        <v>99</v>
      </c>
      <c r="G283" s="3" t="str">
        <f t="shared" si="27"/>
        <v/>
      </c>
      <c r="H283" s="3" t="str">
        <f t="shared" si="28"/>
        <v/>
      </c>
      <c r="I283" s="3" t="str">
        <f t="shared" si="29"/>
        <v/>
      </c>
      <c r="J283" t="str">
        <f t="shared" si="30"/>
        <v>(999,99,'','','','',),</v>
      </c>
    </row>
    <row r="284" spans="1:10">
      <c r="A284">
        <v>99</v>
      </c>
      <c r="G284" s="3" t="str">
        <f t="shared" si="27"/>
        <v/>
      </c>
      <c r="H284" s="3" t="str">
        <f t="shared" si="28"/>
        <v/>
      </c>
      <c r="I284" s="3" t="str">
        <f t="shared" si="29"/>
        <v/>
      </c>
      <c r="J284" t="str">
        <f t="shared" si="30"/>
        <v>(999,99,'','','','',),</v>
      </c>
    </row>
    <row r="285" spans="1:10">
      <c r="A285">
        <v>99</v>
      </c>
      <c r="G285" s="3" t="str">
        <f t="shared" si="27"/>
        <v/>
      </c>
      <c r="H285" s="3" t="str">
        <f t="shared" si="28"/>
        <v/>
      </c>
      <c r="I285" s="3" t="str">
        <f t="shared" si="29"/>
        <v/>
      </c>
      <c r="J285" t="str">
        <f t="shared" si="30"/>
        <v>(999,99,'','','','',),</v>
      </c>
    </row>
    <row r="286" spans="1:10">
      <c r="A286">
        <v>99</v>
      </c>
      <c r="G286" s="3" t="str">
        <f t="shared" si="27"/>
        <v/>
      </c>
      <c r="H286" s="3" t="str">
        <f t="shared" si="28"/>
        <v/>
      </c>
      <c r="I286" s="3" t="str">
        <f t="shared" si="29"/>
        <v/>
      </c>
      <c r="J286" t="str">
        <f t="shared" si="30"/>
        <v>(999,99,'','','','',),</v>
      </c>
    </row>
    <row r="287" spans="1:10">
      <c r="A287">
        <v>99</v>
      </c>
      <c r="G287" s="3" t="str">
        <f t="shared" si="27"/>
        <v/>
      </c>
      <c r="H287" s="3" t="str">
        <f t="shared" si="28"/>
        <v/>
      </c>
      <c r="I287" s="3" t="str">
        <f t="shared" si="29"/>
        <v/>
      </c>
      <c r="J287" t="str">
        <f t="shared" si="30"/>
        <v>(999,99,'','','','',),</v>
      </c>
    </row>
    <row r="288" spans="1:10">
      <c r="A288">
        <v>99</v>
      </c>
      <c r="G288" s="3" t="str">
        <f t="shared" si="27"/>
        <v/>
      </c>
      <c r="H288" s="3" t="str">
        <f t="shared" si="28"/>
        <v/>
      </c>
      <c r="I288" s="3" t="str">
        <f t="shared" si="29"/>
        <v/>
      </c>
      <c r="J288" t="str">
        <f t="shared" si="30"/>
        <v>(999,99,'','','','',),</v>
      </c>
    </row>
    <row r="289" spans="1:10">
      <c r="A289">
        <v>99</v>
      </c>
      <c r="G289" s="3" t="str">
        <f t="shared" si="27"/>
        <v/>
      </c>
      <c r="H289" s="3" t="str">
        <f t="shared" si="28"/>
        <v/>
      </c>
      <c r="I289" s="3" t="str">
        <f t="shared" si="29"/>
        <v/>
      </c>
      <c r="J289" t="str">
        <f t="shared" si="30"/>
        <v>(999,99,'','','','',),</v>
      </c>
    </row>
    <row r="290" spans="1:10">
      <c r="A290">
        <v>99</v>
      </c>
      <c r="G290" s="3" t="str">
        <f t="shared" si="27"/>
        <v/>
      </c>
      <c r="H290" s="3" t="str">
        <f t="shared" si="28"/>
        <v/>
      </c>
      <c r="I290" s="3" t="str">
        <f t="shared" si="29"/>
        <v/>
      </c>
      <c r="J290" t="str">
        <f t="shared" si="30"/>
        <v>(999,99,'','','','',),</v>
      </c>
    </row>
    <row r="291" spans="1:10">
      <c r="A291">
        <v>99</v>
      </c>
      <c r="G291" s="3" t="str">
        <f t="shared" si="27"/>
        <v/>
      </c>
      <c r="H291" s="3" t="str">
        <f t="shared" si="28"/>
        <v/>
      </c>
      <c r="I291" s="3" t="str">
        <f t="shared" si="29"/>
        <v/>
      </c>
      <c r="J291" t="str">
        <f t="shared" si="30"/>
        <v>(999,99,'','','','',),</v>
      </c>
    </row>
    <row r="292" spans="1:10">
      <c r="A292">
        <v>99</v>
      </c>
      <c r="G292" s="3" t="str">
        <f t="shared" si="27"/>
        <v/>
      </c>
      <c r="H292" s="3" t="str">
        <f t="shared" si="28"/>
        <v/>
      </c>
      <c r="I292" s="3" t="str">
        <f t="shared" si="29"/>
        <v/>
      </c>
      <c r="J292" t="str">
        <f t="shared" si="30"/>
        <v>(999,99,'','','','',),</v>
      </c>
    </row>
    <row r="293" spans="1:10">
      <c r="A293">
        <v>99</v>
      </c>
      <c r="G293" s="3" t="str">
        <f t="shared" si="27"/>
        <v/>
      </c>
      <c r="H293" s="3" t="str">
        <f t="shared" si="28"/>
        <v/>
      </c>
      <c r="I293" s="3" t="str">
        <f t="shared" si="29"/>
        <v/>
      </c>
      <c r="J293" t="str">
        <f t="shared" si="30"/>
        <v>(999,99,'','','','',),</v>
      </c>
    </row>
    <row r="294" spans="1:10">
      <c r="A294">
        <v>99</v>
      </c>
      <c r="G294" s="3" t="str">
        <f t="shared" si="27"/>
        <v/>
      </c>
      <c r="H294" s="3" t="str">
        <f t="shared" si="28"/>
        <v/>
      </c>
      <c r="I294" s="3" t="str">
        <f t="shared" si="29"/>
        <v/>
      </c>
      <c r="J294" t="str">
        <f t="shared" si="30"/>
        <v>(999,99,'','','','',),</v>
      </c>
    </row>
    <row r="295" spans="1:10">
      <c r="A295">
        <v>99</v>
      </c>
      <c r="G295" s="3" t="str">
        <f t="shared" si="27"/>
        <v/>
      </c>
      <c r="H295" s="3" t="str">
        <f t="shared" si="28"/>
        <v/>
      </c>
      <c r="I295" s="3" t="str">
        <f t="shared" si="29"/>
        <v/>
      </c>
      <c r="J295" t="str">
        <f t="shared" si="30"/>
        <v>(999,99,'','','','',),</v>
      </c>
    </row>
    <row r="296" spans="1:10">
      <c r="A296">
        <v>99</v>
      </c>
      <c r="G296" s="3" t="str">
        <f t="shared" si="27"/>
        <v/>
      </c>
      <c r="H296" s="3" t="str">
        <f t="shared" si="28"/>
        <v/>
      </c>
      <c r="I296" s="3" t="str">
        <f t="shared" si="29"/>
        <v/>
      </c>
      <c r="J296" t="str">
        <f t="shared" si="30"/>
        <v>(999,99,'','','','',),</v>
      </c>
    </row>
    <row r="297" spans="1:10">
      <c r="A297">
        <v>99</v>
      </c>
      <c r="G297" s="3" t="str">
        <f t="shared" si="27"/>
        <v/>
      </c>
      <c r="H297" s="3" t="str">
        <f t="shared" si="28"/>
        <v/>
      </c>
      <c r="I297" s="3" t="str">
        <f t="shared" si="29"/>
        <v/>
      </c>
      <c r="J297" t="str">
        <f t="shared" si="30"/>
        <v>(999,99,'','','','',),</v>
      </c>
    </row>
    <row r="298" spans="1:10">
      <c r="A298">
        <v>99</v>
      </c>
      <c r="G298" s="3" t="str">
        <f t="shared" si="27"/>
        <v/>
      </c>
      <c r="H298" s="3" t="str">
        <f t="shared" si="28"/>
        <v/>
      </c>
      <c r="I298" s="3" t="str">
        <f t="shared" si="29"/>
        <v/>
      </c>
      <c r="J298" t="str">
        <f t="shared" si="30"/>
        <v>(999,99,'','','','',),</v>
      </c>
    </row>
    <row r="299" spans="1:10">
      <c r="A299">
        <v>99</v>
      </c>
      <c r="G299" s="3" t="str">
        <f t="shared" si="27"/>
        <v/>
      </c>
      <c r="H299" s="3" t="str">
        <f t="shared" si="28"/>
        <v/>
      </c>
      <c r="I299" s="3" t="str">
        <f t="shared" si="29"/>
        <v/>
      </c>
      <c r="J299" t="str">
        <f t="shared" si="30"/>
        <v>(999,99,'','','','',),</v>
      </c>
    </row>
    <row r="300" spans="1:10">
      <c r="A300">
        <v>99</v>
      </c>
      <c r="G300" s="3" t="str">
        <f t="shared" si="27"/>
        <v/>
      </c>
      <c r="H300" s="3" t="str">
        <f t="shared" si="28"/>
        <v/>
      </c>
      <c r="I300" s="3" t="str">
        <f t="shared" si="29"/>
        <v/>
      </c>
      <c r="J300" t="str">
        <f t="shared" si="30"/>
        <v>(999,99,'','','','',),</v>
      </c>
    </row>
    <row r="301" spans="1:10">
      <c r="A301">
        <v>99</v>
      </c>
      <c r="G301" s="3" t="str">
        <f t="shared" si="27"/>
        <v/>
      </c>
      <c r="H301" s="3" t="str">
        <f t="shared" si="28"/>
        <v/>
      </c>
      <c r="I301" s="3" t="str">
        <f t="shared" si="29"/>
        <v/>
      </c>
      <c r="J301" t="str">
        <f t="shared" si="30"/>
        <v>(999,99,'','','','',),</v>
      </c>
    </row>
    <row r="302" spans="1:10">
      <c r="A302">
        <v>99</v>
      </c>
      <c r="G302" s="3" t="str">
        <f t="shared" si="27"/>
        <v/>
      </c>
      <c r="H302" s="3" t="str">
        <f t="shared" si="28"/>
        <v/>
      </c>
      <c r="I302" s="3" t="str">
        <f t="shared" si="29"/>
        <v/>
      </c>
      <c r="J302" t="str">
        <f t="shared" si="30"/>
        <v>(999,99,'','','','',),</v>
      </c>
    </row>
    <row r="303" spans="1:10">
      <c r="A303">
        <v>99</v>
      </c>
      <c r="G303" s="3" t="str">
        <f t="shared" si="27"/>
        <v/>
      </c>
      <c r="H303" s="3" t="str">
        <f t="shared" si="28"/>
        <v/>
      </c>
      <c r="I303" s="3" t="str">
        <f t="shared" si="29"/>
        <v/>
      </c>
      <c r="J303" t="str">
        <f t="shared" si="30"/>
        <v>(999,99,'','','','',),</v>
      </c>
    </row>
    <row r="304" spans="1:10">
      <c r="A304">
        <v>99</v>
      </c>
      <c r="G304" s="3" t="str">
        <f t="shared" si="27"/>
        <v/>
      </c>
      <c r="H304" s="3" t="str">
        <f t="shared" si="28"/>
        <v/>
      </c>
      <c r="I304" s="3" t="str">
        <f t="shared" si="29"/>
        <v/>
      </c>
      <c r="J304" t="str">
        <f t="shared" si="30"/>
        <v>(999,99,'','','','',),</v>
      </c>
    </row>
    <row r="305" spans="1:10">
      <c r="A305">
        <v>99</v>
      </c>
      <c r="G305" s="3" t="str">
        <f t="shared" si="27"/>
        <v/>
      </c>
      <c r="H305" s="3" t="str">
        <f t="shared" si="28"/>
        <v/>
      </c>
      <c r="I305" s="3" t="str">
        <f t="shared" si="29"/>
        <v/>
      </c>
      <c r="J305" t="str">
        <f t="shared" si="30"/>
        <v>(999,99,'','','','',),</v>
      </c>
    </row>
    <row r="306" spans="1:10">
      <c r="A306">
        <v>99</v>
      </c>
      <c r="G306" s="3" t="str">
        <f t="shared" si="27"/>
        <v/>
      </c>
      <c r="H306" s="3" t="str">
        <f t="shared" si="28"/>
        <v/>
      </c>
      <c r="I306" s="3" t="str">
        <f t="shared" si="29"/>
        <v/>
      </c>
      <c r="J306" t="str">
        <f t="shared" si="30"/>
        <v>(999,99,'','','','',),</v>
      </c>
    </row>
    <row r="307" spans="1:10">
      <c r="A307">
        <v>99</v>
      </c>
      <c r="G307" s="3" t="str">
        <f t="shared" si="27"/>
        <v/>
      </c>
      <c r="H307" s="3" t="str">
        <f t="shared" si="28"/>
        <v/>
      </c>
      <c r="I307" s="3" t="str">
        <f t="shared" si="29"/>
        <v/>
      </c>
      <c r="J307" t="str">
        <f t="shared" si="30"/>
        <v>(999,99,'','','','',),</v>
      </c>
    </row>
    <row r="308" spans="1:10">
      <c r="A308">
        <v>99</v>
      </c>
      <c r="G308" s="3" t="str">
        <f t="shared" si="27"/>
        <v/>
      </c>
      <c r="H308" s="3" t="str">
        <f t="shared" si="28"/>
        <v/>
      </c>
      <c r="I308" s="3" t="str">
        <f t="shared" si="29"/>
        <v/>
      </c>
      <c r="J308" t="str">
        <f t="shared" si="30"/>
        <v>(999,99,'','','','',),</v>
      </c>
    </row>
    <row r="309" spans="1:10">
      <c r="A309">
        <v>99</v>
      </c>
      <c r="G309" s="3" t="str">
        <f t="shared" si="27"/>
        <v/>
      </c>
      <c r="H309" s="3" t="str">
        <f t="shared" si="28"/>
        <v/>
      </c>
      <c r="I309" s="3" t="str">
        <f t="shared" si="29"/>
        <v/>
      </c>
      <c r="J309" t="str">
        <f t="shared" si="30"/>
        <v>(999,99,'','','','',),</v>
      </c>
    </row>
    <row r="310" spans="1:10">
      <c r="A310">
        <v>99</v>
      </c>
      <c r="G310" s="3" t="str">
        <f t="shared" si="27"/>
        <v/>
      </c>
      <c r="H310" s="3" t="str">
        <f t="shared" si="28"/>
        <v/>
      </c>
      <c r="I310" s="3" t="str">
        <f t="shared" si="29"/>
        <v/>
      </c>
      <c r="J310" t="str">
        <f t="shared" si="30"/>
        <v>(999,99,'','','','',),</v>
      </c>
    </row>
    <row r="311" spans="1:10">
      <c r="A311">
        <v>99</v>
      </c>
      <c r="G311" s="3" t="str">
        <f t="shared" si="27"/>
        <v/>
      </c>
      <c r="H311" s="3" t="str">
        <f t="shared" si="28"/>
        <v/>
      </c>
      <c r="I311" s="3" t="str">
        <f t="shared" si="29"/>
        <v/>
      </c>
      <c r="J311" t="str">
        <f t="shared" si="30"/>
        <v>(999,99,'','','','',),</v>
      </c>
    </row>
    <row r="312" spans="1:10">
      <c r="A312">
        <v>99</v>
      </c>
      <c r="G312" s="3" t="str">
        <f t="shared" si="27"/>
        <v/>
      </c>
      <c r="H312" s="3" t="str">
        <f t="shared" si="28"/>
        <v/>
      </c>
      <c r="I312" s="3" t="str">
        <f t="shared" si="29"/>
        <v/>
      </c>
      <c r="J312" t="str">
        <f t="shared" si="30"/>
        <v>(999,99,'','','','',),</v>
      </c>
    </row>
    <row r="313" spans="1:10">
      <c r="A313">
        <v>99</v>
      </c>
      <c r="G313" s="3" t="str">
        <f t="shared" si="27"/>
        <v/>
      </c>
      <c r="H313" s="3" t="str">
        <f t="shared" si="28"/>
        <v/>
      </c>
      <c r="I313" s="3" t="str">
        <f t="shared" si="29"/>
        <v/>
      </c>
      <c r="J313" t="str">
        <f t="shared" si="30"/>
        <v>(999,99,'','','','',),</v>
      </c>
    </row>
    <row r="314" spans="1:10">
      <c r="A314">
        <v>99</v>
      </c>
      <c r="G314" s="3" t="str">
        <f t="shared" si="27"/>
        <v/>
      </c>
      <c r="H314" s="3" t="str">
        <f t="shared" si="28"/>
        <v/>
      </c>
      <c r="I314" s="3" t="str">
        <f t="shared" si="29"/>
        <v/>
      </c>
      <c r="J314" t="str">
        <f t="shared" si="30"/>
        <v>(999,99,'','','','',),</v>
      </c>
    </row>
    <row r="315" spans="1:10">
      <c r="A315">
        <v>99</v>
      </c>
      <c r="G315" s="3" t="str">
        <f t="shared" si="27"/>
        <v/>
      </c>
      <c r="H315" s="3" t="str">
        <f t="shared" si="28"/>
        <v/>
      </c>
      <c r="I315" s="3" t="str">
        <f t="shared" si="29"/>
        <v/>
      </c>
      <c r="J315" t="str">
        <f t="shared" si="30"/>
        <v>(999,99,'','','','',),</v>
      </c>
    </row>
    <row r="316" spans="1:10">
      <c r="A316">
        <v>99</v>
      </c>
      <c r="G316" s="3" t="str">
        <f t="shared" si="27"/>
        <v/>
      </c>
      <c r="H316" s="3" t="str">
        <f t="shared" si="28"/>
        <v/>
      </c>
      <c r="I316" s="3" t="str">
        <f t="shared" si="29"/>
        <v/>
      </c>
      <c r="J316" t="str">
        <f t="shared" si="30"/>
        <v>(999,99,'','','','',),</v>
      </c>
    </row>
    <row r="317" spans="1:10">
      <c r="A317">
        <v>99</v>
      </c>
      <c r="G317" s="3" t="str">
        <f t="shared" si="27"/>
        <v/>
      </c>
      <c r="H317" s="3" t="str">
        <f t="shared" si="28"/>
        <v/>
      </c>
      <c r="I317" s="3" t="str">
        <f t="shared" si="29"/>
        <v/>
      </c>
      <c r="J317" t="str">
        <f t="shared" si="30"/>
        <v>(999,99,'','','','',),</v>
      </c>
    </row>
    <row r="318" spans="1:10">
      <c r="A318">
        <v>99</v>
      </c>
      <c r="G318" s="3" t="str">
        <f t="shared" si="27"/>
        <v/>
      </c>
      <c r="H318" s="3" t="str">
        <f t="shared" si="28"/>
        <v/>
      </c>
      <c r="I318" s="3" t="str">
        <f t="shared" si="29"/>
        <v/>
      </c>
      <c r="J318" t="str">
        <f t="shared" si="30"/>
        <v>(999,99,'','','','',),</v>
      </c>
    </row>
    <row r="319" spans="1:10">
      <c r="A319">
        <v>99</v>
      </c>
      <c r="G319" s="3" t="str">
        <f t="shared" si="27"/>
        <v/>
      </c>
      <c r="H319" s="3" t="str">
        <f t="shared" si="28"/>
        <v/>
      </c>
      <c r="I319" s="3" t="str">
        <f t="shared" si="29"/>
        <v/>
      </c>
      <c r="J319" t="str">
        <f t="shared" si="30"/>
        <v>(999,99,'','','','',),</v>
      </c>
    </row>
    <row r="320" spans="1:10">
      <c r="A320">
        <v>99</v>
      </c>
      <c r="G320" s="3" t="str">
        <f t="shared" si="27"/>
        <v/>
      </c>
      <c r="H320" s="3" t="str">
        <f t="shared" si="28"/>
        <v/>
      </c>
      <c r="I320" s="3" t="str">
        <f t="shared" si="29"/>
        <v/>
      </c>
      <c r="J320" t="str">
        <f t="shared" si="30"/>
        <v>(999,99,'','','','',),</v>
      </c>
    </row>
    <row r="321" spans="1:10">
      <c r="A321">
        <v>99</v>
      </c>
      <c r="G321" s="3" t="str">
        <f t="shared" si="27"/>
        <v/>
      </c>
      <c r="H321" s="3" t="str">
        <f t="shared" si="28"/>
        <v/>
      </c>
      <c r="I321" s="3" t="str">
        <f t="shared" si="29"/>
        <v/>
      </c>
      <c r="J321" t="str">
        <f t="shared" si="30"/>
        <v>(999,99,'','','','',),</v>
      </c>
    </row>
    <row r="322" spans="1:10">
      <c r="A322">
        <v>99</v>
      </c>
      <c r="G322" s="3" t="str">
        <f t="shared" si="27"/>
        <v/>
      </c>
      <c r="H322" s="3" t="str">
        <f t="shared" si="28"/>
        <v/>
      </c>
      <c r="I322" s="3" t="str">
        <f t="shared" si="29"/>
        <v/>
      </c>
      <c r="J322" t="str">
        <f t="shared" si="30"/>
        <v>(999,99,'','','','',),</v>
      </c>
    </row>
    <row r="323" spans="1:10">
      <c r="A323">
        <v>99</v>
      </c>
      <c r="G323" s="3" t="str">
        <f t="shared" si="27"/>
        <v/>
      </c>
      <c r="H323" s="3" t="str">
        <f t="shared" si="28"/>
        <v/>
      </c>
      <c r="I323" s="3" t="str">
        <f t="shared" si="29"/>
        <v/>
      </c>
      <c r="J323" t="str">
        <f t="shared" si="30"/>
        <v>(999,99,'','','','',),</v>
      </c>
    </row>
    <row r="324" spans="1:10">
      <c r="A324">
        <v>99</v>
      </c>
      <c r="G324" s="3" t="str">
        <f t="shared" si="27"/>
        <v/>
      </c>
      <c r="H324" s="3" t="str">
        <f t="shared" si="28"/>
        <v/>
      </c>
      <c r="I324" s="3" t="str">
        <f t="shared" si="29"/>
        <v/>
      </c>
      <c r="J324" t="str">
        <f t="shared" si="30"/>
        <v>(999,99,'','','','',),</v>
      </c>
    </row>
    <row r="325" spans="1:10">
      <c r="A325">
        <v>99</v>
      </c>
      <c r="G325" s="3" t="str">
        <f t="shared" si="27"/>
        <v/>
      </c>
      <c r="H325" s="3" t="str">
        <f t="shared" si="28"/>
        <v/>
      </c>
      <c r="I325" s="3" t="str">
        <f t="shared" si="29"/>
        <v/>
      </c>
      <c r="J325" t="str">
        <f t="shared" si="30"/>
        <v>(999,99,'','','','',),</v>
      </c>
    </row>
    <row r="326" spans="1:10">
      <c r="A326">
        <v>99</v>
      </c>
      <c r="G326" s="3" t="str">
        <f t="shared" si="27"/>
        <v/>
      </c>
      <c r="H326" s="3" t="str">
        <f t="shared" si="28"/>
        <v/>
      </c>
      <c r="I326" s="3" t="str">
        <f t="shared" si="29"/>
        <v/>
      </c>
      <c r="J326" t="str">
        <f t="shared" si="30"/>
        <v>(999,99,'','','','',),</v>
      </c>
    </row>
    <row r="327" spans="1:10">
      <c r="A327">
        <v>99</v>
      </c>
      <c r="G327" s="3" t="str">
        <f t="shared" si="27"/>
        <v/>
      </c>
      <c r="H327" s="3" t="str">
        <f t="shared" si="28"/>
        <v/>
      </c>
      <c r="I327" s="3" t="str">
        <f t="shared" si="29"/>
        <v/>
      </c>
      <c r="J327" t="str">
        <f t="shared" si="30"/>
        <v>(999,99,'','','','',),</v>
      </c>
    </row>
    <row r="328" spans="1:10">
      <c r="A328">
        <v>99</v>
      </c>
      <c r="G328" s="3" t="str">
        <f t="shared" si="27"/>
        <v/>
      </c>
      <c r="H328" s="3" t="str">
        <f t="shared" si="28"/>
        <v/>
      </c>
      <c r="I328" s="3" t="str">
        <f t="shared" si="29"/>
        <v/>
      </c>
      <c r="J328" t="str">
        <f t="shared" si="30"/>
        <v>(999,99,'','','','',),</v>
      </c>
    </row>
    <row r="329" spans="1:10">
      <c r="A329">
        <v>99</v>
      </c>
      <c r="G329" s="3" t="str">
        <f t="shared" si="27"/>
        <v/>
      </c>
      <c r="H329" s="3" t="str">
        <f t="shared" si="28"/>
        <v/>
      </c>
      <c r="I329" s="3" t="str">
        <f t="shared" si="29"/>
        <v/>
      </c>
      <c r="J329" t="str">
        <f t="shared" si="30"/>
        <v>(999,99,'','','','',),</v>
      </c>
    </row>
    <row r="330" spans="1:10">
      <c r="A330">
        <v>99</v>
      </c>
      <c r="G330" s="3" t="str">
        <f t="shared" si="27"/>
        <v/>
      </c>
      <c r="H330" s="3" t="str">
        <f t="shared" si="28"/>
        <v/>
      </c>
      <c r="I330" s="3" t="str">
        <f t="shared" si="29"/>
        <v/>
      </c>
      <c r="J330" t="str">
        <f t="shared" si="30"/>
        <v>(999,99,'','','','',),</v>
      </c>
    </row>
    <row r="331" spans="1:10">
      <c r="A331">
        <v>99</v>
      </c>
      <c r="G331" s="3" t="str">
        <f t="shared" si="27"/>
        <v/>
      </c>
      <c r="H331" s="3" t="str">
        <f t="shared" si="28"/>
        <v/>
      </c>
      <c r="I331" s="3" t="str">
        <f t="shared" si="29"/>
        <v/>
      </c>
      <c r="J331" t="str">
        <f t="shared" si="30"/>
        <v>(999,99,'','','','',),</v>
      </c>
    </row>
    <row r="332" spans="1:10">
      <c r="A332">
        <v>99</v>
      </c>
      <c r="G332" s="3" t="str">
        <f t="shared" si="27"/>
        <v/>
      </c>
      <c r="H332" s="3" t="str">
        <f t="shared" si="28"/>
        <v/>
      </c>
      <c r="I332" s="3" t="str">
        <f t="shared" si="29"/>
        <v/>
      </c>
      <c r="J332" t="str">
        <f t="shared" si="30"/>
        <v>(999,99,'','','','',),</v>
      </c>
    </row>
    <row r="333" spans="1:10">
      <c r="A333">
        <v>99</v>
      </c>
      <c r="G333" s="3" t="str">
        <f t="shared" si="27"/>
        <v/>
      </c>
      <c r="H333" s="3" t="str">
        <f t="shared" si="28"/>
        <v/>
      </c>
      <c r="I333" s="3" t="str">
        <f t="shared" si="29"/>
        <v/>
      </c>
      <c r="J333" t="str">
        <f t="shared" si="30"/>
        <v>(999,99,'','','','',),</v>
      </c>
    </row>
    <row r="334" spans="1:10">
      <c r="A334">
        <v>99</v>
      </c>
      <c r="G334" s="3" t="str">
        <f t="shared" si="27"/>
        <v/>
      </c>
      <c r="H334" s="3" t="str">
        <f t="shared" si="28"/>
        <v/>
      </c>
      <c r="I334" s="3" t="str">
        <f t="shared" si="29"/>
        <v/>
      </c>
      <c r="J334" t="str">
        <f t="shared" si="30"/>
        <v>(999,99,'','','','',),</v>
      </c>
    </row>
    <row r="335" spans="1:10">
      <c r="A335">
        <v>99</v>
      </c>
      <c r="G335" s="3" t="str">
        <f t="shared" si="27"/>
        <v/>
      </c>
      <c r="H335" s="3" t="str">
        <f t="shared" si="28"/>
        <v/>
      </c>
      <c r="I335" s="3" t="str">
        <f t="shared" si="29"/>
        <v/>
      </c>
      <c r="J335" t="str">
        <f t="shared" si="30"/>
        <v>(999,99,'','','','',),</v>
      </c>
    </row>
    <row r="336" spans="1:10">
      <c r="A336">
        <v>99</v>
      </c>
      <c r="G336" s="3" t="str">
        <f t="shared" si="27"/>
        <v/>
      </c>
      <c r="H336" s="3" t="str">
        <f t="shared" si="28"/>
        <v/>
      </c>
      <c r="I336" s="3" t="str">
        <f t="shared" si="29"/>
        <v/>
      </c>
      <c r="J336" t="str">
        <f t="shared" si="30"/>
        <v>(999,99,'','','','',),</v>
      </c>
    </row>
    <row r="337" spans="1:10">
      <c r="A337">
        <v>99</v>
      </c>
      <c r="G337" s="3" t="str">
        <f t="shared" si="27"/>
        <v/>
      </c>
      <c r="H337" s="3" t="str">
        <f t="shared" si="28"/>
        <v/>
      </c>
      <c r="I337" s="3" t="str">
        <f t="shared" si="29"/>
        <v/>
      </c>
      <c r="J337" t="str">
        <f t="shared" si="30"/>
        <v>(999,99,'','','','',),</v>
      </c>
    </row>
    <row r="338" spans="1:10">
      <c r="A338">
        <v>99</v>
      </c>
      <c r="G338" s="3" t="str">
        <f t="shared" si="27"/>
        <v/>
      </c>
      <c r="H338" s="3" t="str">
        <f t="shared" si="28"/>
        <v/>
      </c>
      <c r="I338" s="3" t="str">
        <f t="shared" si="29"/>
        <v/>
      </c>
      <c r="J338" t="str">
        <f t="shared" si="30"/>
        <v>(999,99,'','','','',),</v>
      </c>
    </row>
    <row r="339" spans="1:10">
      <c r="A339">
        <v>99</v>
      </c>
      <c r="G339" s="3" t="str">
        <f t="shared" si="27"/>
        <v/>
      </c>
      <c r="H339" s="3" t="str">
        <f t="shared" si="28"/>
        <v/>
      </c>
      <c r="I339" s="3" t="str">
        <f t="shared" si="29"/>
        <v/>
      </c>
      <c r="J339" t="str">
        <f t="shared" si="30"/>
        <v>(999,99,'','','','',),</v>
      </c>
    </row>
    <row r="340" spans="1:10">
      <c r="A340">
        <v>99</v>
      </c>
      <c r="G340" s="3" t="str">
        <f t="shared" si="27"/>
        <v/>
      </c>
      <c r="H340" s="3" t="str">
        <f t="shared" si="28"/>
        <v/>
      </c>
      <c r="I340" s="3" t="str">
        <f t="shared" si="29"/>
        <v/>
      </c>
      <c r="J340" t="str">
        <f t="shared" si="30"/>
        <v>(999,99,'','','','',),</v>
      </c>
    </row>
    <row r="341" spans="1:10">
      <c r="A341">
        <v>99</v>
      </c>
      <c r="G341" s="3" t="str">
        <f t="shared" si="27"/>
        <v/>
      </c>
      <c r="H341" s="3" t="str">
        <f t="shared" si="28"/>
        <v/>
      </c>
      <c r="I341" s="3" t="str">
        <f t="shared" si="29"/>
        <v/>
      </c>
      <c r="J341" t="str">
        <f t="shared" si="30"/>
        <v>(999,99,'','','','',),</v>
      </c>
    </row>
    <row r="342" spans="1:10">
      <c r="A342">
        <v>99</v>
      </c>
      <c r="G342" s="3" t="str">
        <f t="shared" si="27"/>
        <v/>
      </c>
      <c r="H342" s="3" t="str">
        <f t="shared" si="28"/>
        <v/>
      </c>
      <c r="I342" s="3" t="str">
        <f t="shared" si="29"/>
        <v/>
      </c>
      <c r="J342" t="str">
        <f t="shared" si="30"/>
        <v>(999,99,'','','','',),</v>
      </c>
    </row>
    <row r="343" spans="1:10">
      <c r="A343">
        <v>99</v>
      </c>
      <c r="G343" s="3" t="str">
        <f t="shared" si="27"/>
        <v/>
      </c>
      <c r="H343" s="3" t="str">
        <f t="shared" si="28"/>
        <v/>
      </c>
      <c r="I343" s="3" t="str">
        <f t="shared" si="29"/>
        <v/>
      </c>
      <c r="J343" t="str">
        <f t="shared" si="30"/>
        <v>(999,99,'','','','',),</v>
      </c>
    </row>
    <row r="344" spans="1:10">
      <c r="A344">
        <v>99</v>
      </c>
      <c r="G344" s="3" t="str">
        <f t="shared" si="27"/>
        <v/>
      </c>
      <c r="H344" s="3" t="str">
        <f t="shared" si="28"/>
        <v/>
      </c>
      <c r="I344" s="3" t="str">
        <f t="shared" si="29"/>
        <v/>
      </c>
      <c r="J344" t="str">
        <f t="shared" si="30"/>
        <v>(999,99,'','','','',),</v>
      </c>
    </row>
    <row r="345" spans="1:10">
      <c r="A345">
        <v>99</v>
      </c>
      <c r="G345" s="3" t="str">
        <f t="shared" ref="G345:G408" si="31">IF( IFERROR(FIND("A.",C345), 0) &gt; 0, TRIM(MID( C345, SEARCH("A.", C345)+2, 100)),TRIM(C345))</f>
        <v/>
      </c>
      <c r="H345" s="3" t="str">
        <f t="shared" ref="H345:H408" si="32">IF( IFERROR(FIND("B.",D345), 0) &gt; 0, TRIM(MID( D345, SEARCH("B.", D345)+2, 100)),TRIM(D345))</f>
        <v/>
      </c>
      <c r="I345" s="3" t="str">
        <f t="shared" ref="I345:I408" si="33">IF( IFERROR(FIND("C.",E345), 0) &gt; 0, TRIM(MID( E345, SEARCH("C.", E345)+2, 100)),TRIM(E345))</f>
        <v/>
      </c>
      <c r="J345" t="str">
        <f t="shared" ref="J345:J408" si="34">"("&amp;$B$2&amp;","&amp;A345&amp;",'"&amp;B345&amp;"','"&amp;G345&amp;"','"&amp;H345&amp;"','"&amp;I345&amp;"',"&amp;F345&amp;"),"</f>
        <v>(999,99,'','','','',),</v>
      </c>
    </row>
    <row r="346" spans="1:10">
      <c r="A346">
        <v>99</v>
      </c>
      <c r="G346" s="3" t="str">
        <f t="shared" si="31"/>
        <v/>
      </c>
      <c r="H346" s="3" t="str">
        <f t="shared" si="32"/>
        <v/>
      </c>
      <c r="I346" s="3" t="str">
        <f t="shared" si="33"/>
        <v/>
      </c>
      <c r="J346" t="str">
        <f t="shared" si="34"/>
        <v>(999,99,'','','','',),</v>
      </c>
    </row>
    <row r="347" spans="1:10">
      <c r="A347">
        <v>99</v>
      </c>
      <c r="G347" s="3" t="str">
        <f t="shared" si="31"/>
        <v/>
      </c>
      <c r="H347" s="3" t="str">
        <f t="shared" si="32"/>
        <v/>
      </c>
      <c r="I347" s="3" t="str">
        <f t="shared" si="33"/>
        <v/>
      </c>
      <c r="J347" t="str">
        <f t="shared" si="34"/>
        <v>(999,99,'','','','',),</v>
      </c>
    </row>
    <row r="348" spans="1:10">
      <c r="A348">
        <v>99</v>
      </c>
      <c r="G348" s="3" t="str">
        <f t="shared" si="31"/>
        <v/>
      </c>
      <c r="H348" s="3" t="str">
        <f t="shared" si="32"/>
        <v/>
      </c>
      <c r="I348" s="3" t="str">
        <f t="shared" si="33"/>
        <v/>
      </c>
      <c r="J348" t="str">
        <f t="shared" si="34"/>
        <v>(999,99,'','','','',),</v>
      </c>
    </row>
    <row r="349" spans="1:10">
      <c r="A349">
        <v>99</v>
      </c>
      <c r="G349" s="3" t="str">
        <f t="shared" si="31"/>
        <v/>
      </c>
      <c r="H349" s="3" t="str">
        <f t="shared" si="32"/>
        <v/>
      </c>
      <c r="I349" s="3" t="str">
        <f t="shared" si="33"/>
        <v/>
      </c>
      <c r="J349" t="str">
        <f t="shared" si="34"/>
        <v>(999,99,'','','','',),</v>
      </c>
    </row>
    <row r="350" spans="1:10">
      <c r="A350">
        <v>99</v>
      </c>
      <c r="G350" s="3" t="str">
        <f t="shared" si="31"/>
        <v/>
      </c>
      <c r="H350" s="3" t="str">
        <f t="shared" si="32"/>
        <v/>
      </c>
      <c r="I350" s="3" t="str">
        <f t="shared" si="33"/>
        <v/>
      </c>
      <c r="J350" t="str">
        <f t="shared" si="34"/>
        <v>(999,99,'','','','',),</v>
      </c>
    </row>
    <row r="351" spans="1:10">
      <c r="A351">
        <v>99</v>
      </c>
      <c r="G351" s="3" t="str">
        <f t="shared" si="31"/>
        <v/>
      </c>
      <c r="H351" s="3" t="str">
        <f t="shared" si="32"/>
        <v/>
      </c>
      <c r="I351" s="3" t="str">
        <f t="shared" si="33"/>
        <v/>
      </c>
      <c r="J351" t="str">
        <f t="shared" si="34"/>
        <v>(999,99,'','','','',),</v>
      </c>
    </row>
    <row r="352" spans="1:10">
      <c r="A352">
        <v>99</v>
      </c>
      <c r="G352" s="3" t="str">
        <f t="shared" si="31"/>
        <v/>
      </c>
      <c r="H352" s="3" t="str">
        <f t="shared" si="32"/>
        <v/>
      </c>
      <c r="I352" s="3" t="str">
        <f t="shared" si="33"/>
        <v/>
      </c>
      <c r="J352" t="str">
        <f t="shared" si="34"/>
        <v>(999,99,'','','','',),</v>
      </c>
    </row>
    <row r="353" spans="1:10">
      <c r="A353">
        <v>99</v>
      </c>
      <c r="G353" s="3" t="str">
        <f t="shared" si="31"/>
        <v/>
      </c>
      <c r="H353" s="3" t="str">
        <f t="shared" si="32"/>
        <v/>
      </c>
      <c r="I353" s="3" t="str">
        <f t="shared" si="33"/>
        <v/>
      </c>
      <c r="J353" t="str">
        <f t="shared" si="34"/>
        <v>(999,99,'','','','',),</v>
      </c>
    </row>
    <row r="354" spans="1:10">
      <c r="A354">
        <v>99</v>
      </c>
      <c r="G354" s="3" t="str">
        <f t="shared" si="31"/>
        <v/>
      </c>
      <c r="H354" s="3" t="str">
        <f t="shared" si="32"/>
        <v/>
      </c>
      <c r="I354" s="3" t="str">
        <f t="shared" si="33"/>
        <v/>
      </c>
      <c r="J354" t="str">
        <f t="shared" si="34"/>
        <v>(999,99,'','','','',),</v>
      </c>
    </row>
    <row r="355" spans="1:10">
      <c r="A355">
        <v>99</v>
      </c>
      <c r="G355" s="3" t="str">
        <f t="shared" si="31"/>
        <v/>
      </c>
      <c r="H355" s="3" t="str">
        <f t="shared" si="32"/>
        <v/>
      </c>
      <c r="I355" s="3" t="str">
        <f t="shared" si="33"/>
        <v/>
      </c>
      <c r="J355" t="str">
        <f t="shared" si="34"/>
        <v>(999,99,'','','','',),</v>
      </c>
    </row>
    <row r="356" spans="1:10">
      <c r="A356">
        <v>99</v>
      </c>
      <c r="G356" s="3" t="str">
        <f t="shared" si="31"/>
        <v/>
      </c>
      <c r="H356" s="3" t="str">
        <f t="shared" si="32"/>
        <v/>
      </c>
      <c r="I356" s="3" t="str">
        <f t="shared" si="33"/>
        <v/>
      </c>
      <c r="J356" t="str">
        <f t="shared" si="34"/>
        <v>(999,99,'','','','',),</v>
      </c>
    </row>
    <row r="357" spans="1:10">
      <c r="A357">
        <v>99</v>
      </c>
      <c r="G357" s="3" t="str">
        <f t="shared" si="31"/>
        <v/>
      </c>
      <c r="H357" s="3" t="str">
        <f t="shared" si="32"/>
        <v/>
      </c>
      <c r="I357" s="3" t="str">
        <f t="shared" si="33"/>
        <v/>
      </c>
      <c r="J357" t="str">
        <f t="shared" si="34"/>
        <v>(999,99,'','','','',),</v>
      </c>
    </row>
    <row r="358" spans="1:10">
      <c r="A358">
        <v>99</v>
      </c>
      <c r="G358" s="3" t="str">
        <f t="shared" si="31"/>
        <v/>
      </c>
      <c r="H358" s="3" t="str">
        <f t="shared" si="32"/>
        <v/>
      </c>
      <c r="I358" s="3" t="str">
        <f t="shared" si="33"/>
        <v/>
      </c>
      <c r="J358" t="str">
        <f t="shared" si="34"/>
        <v>(999,99,'','','','',),</v>
      </c>
    </row>
    <row r="359" spans="1:10">
      <c r="A359">
        <v>99</v>
      </c>
      <c r="G359" s="3" t="str">
        <f t="shared" si="31"/>
        <v/>
      </c>
      <c r="H359" s="3" t="str">
        <f t="shared" si="32"/>
        <v/>
      </c>
      <c r="I359" s="3" t="str">
        <f t="shared" si="33"/>
        <v/>
      </c>
      <c r="J359" t="str">
        <f t="shared" si="34"/>
        <v>(999,99,'','','','',),</v>
      </c>
    </row>
    <row r="360" spans="1:10">
      <c r="A360">
        <v>99</v>
      </c>
      <c r="G360" s="3" t="str">
        <f t="shared" si="31"/>
        <v/>
      </c>
      <c r="H360" s="3" t="str">
        <f t="shared" si="32"/>
        <v/>
      </c>
      <c r="I360" s="3" t="str">
        <f t="shared" si="33"/>
        <v/>
      </c>
      <c r="J360" t="str">
        <f t="shared" si="34"/>
        <v>(999,99,'','','','',),</v>
      </c>
    </row>
    <row r="361" spans="1:10">
      <c r="A361">
        <v>99</v>
      </c>
      <c r="G361" s="3" t="str">
        <f t="shared" si="31"/>
        <v/>
      </c>
      <c r="H361" s="3" t="str">
        <f t="shared" si="32"/>
        <v/>
      </c>
      <c r="I361" s="3" t="str">
        <f t="shared" si="33"/>
        <v/>
      </c>
      <c r="J361" t="str">
        <f t="shared" si="34"/>
        <v>(999,99,'','','','',),</v>
      </c>
    </row>
    <row r="362" spans="1:10">
      <c r="A362">
        <v>99</v>
      </c>
      <c r="G362" s="3" t="str">
        <f t="shared" si="31"/>
        <v/>
      </c>
      <c r="H362" s="3" t="str">
        <f t="shared" si="32"/>
        <v/>
      </c>
      <c r="I362" s="3" t="str">
        <f t="shared" si="33"/>
        <v/>
      </c>
      <c r="J362" t="str">
        <f t="shared" si="34"/>
        <v>(999,99,'','','','',),</v>
      </c>
    </row>
    <row r="363" spans="1:10">
      <c r="A363">
        <v>99</v>
      </c>
      <c r="G363" s="3" t="str">
        <f t="shared" si="31"/>
        <v/>
      </c>
      <c r="H363" s="3" t="str">
        <f t="shared" si="32"/>
        <v/>
      </c>
      <c r="I363" s="3" t="str">
        <f t="shared" si="33"/>
        <v/>
      </c>
      <c r="J363" t="str">
        <f t="shared" si="34"/>
        <v>(999,99,'','','','',),</v>
      </c>
    </row>
    <row r="364" spans="1:10">
      <c r="A364">
        <v>99</v>
      </c>
      <c r="G364" s="3" t="str">
        <f t="shared" si="31"/>
        <v/>
      </c>
      <c r="H364" s="3" t="str">
        <f t="shared" si="32"/>
        <v/>
      </c>
      <c r="I364" s="3" t="str">
        <f t="shared" si="33"/>
        <v/>
      </c>
      <c r="J364" t="str">
        <f t="shared" si="34"/>
        <v>(999,99,'','','','',),</v>
      </c>
    </row>
    <row r="365" spans="1:10">
      <c r="A365">
        <v>99</v>
      </c>
      <c r="G365" s="3" t="str">
        <f t="shared" si="31"/>
        <v/>
      </c>
      <c r="H365" s="3" t="str">
        <f t="shared" si="32"/>
        <v/>
      </c>
      <c r="I365" s="3" t="str">
        <f t="shared" si="33"/>
        <v/>
      </c>
      <c r="J365" t="str">
        <f t="shared" si="34"/>
        <v>(999,99,'','','','',),</v>
      </c>
    </row>
    <row r="366" spans="1:10">
      <c r="A366">
        <v>99</v>
      </c>
      <c r="G366" s="3" t="str">
        <f t="shared" si="31"/>
        <v/>
      </c>
      <c r="H366" s="3" t="str">
        <f t="shared" si="32"/>
        <v/>
      </c>
      <c r="I366" s="3" t="str">
        <f t="shared" si="33"/>
        <v/>
      </c>
      <c r="J366" t="str">
        <f t="shared" si="34"/>
        <v>(999,99,'','','','',),</v>
      </c>
    </row>
    <row r="367" spans="1:10">
      <c r="A367">
        <v>99</v>
      </c>
      <c r="G367" s="3" t="str">
        <f t="shared" si="31"/>
        <v/>
      </c>
      <c r="H367" s="3" t="str">
        <f t="shared" si="32"/>
        <v/>
      </c>
      <c r="I367" s="3" t="str">
        <f t="shared" si="33"/>
        <v/>
      </c>
      <c r="J367" t="str">
        <f t="shared" si="34"/>
        <v>(999,99,'','','','',),</v>
      </c>
    </row>
    <row r="368" spans="1:10">
      <c r="A368">
        <v>99</v>
      </c>
      <c r="G368" s="3" t="str">
        <f t="shared" si="31"/>
        <v/>
      </c>
      <c r="H368" s="3" t="str">
        <f t="shared" si="32"/>
        <v/>
      </c>
      <c r="I368" s="3" t="str">
        <f t="shared" si="33"/>
        <v/>
      </c>
      <c r="J368" t="str">
        <f t="shared" si="34"/>
        <v>(999,99,'','','','',),</v>
      </c>
    </row>
    <row r="369" spans="1:10">
      <c r="A369">
        <v>99</v>
      </c>
      <c r="G369" s="3" t="str">
        <f t="shared" si="31"/>
        <v/>
      </c>
      <c r="H369" s="3" t="str">
        <f t="shared" si="32"/>
        <v/>
      </c>
      <c r="I369" s="3" t="str">
        <f t="shared" si="33"/>
        <v/>
      </c>
      <c r="J369" t="str">
        <f t="shared" si="34"/>
        <v>(999,99,'','','','',),</v>
      </c>
    </row>
    <row r="370" spans="1:10">
      <c r="A370">
        <v>99</v>
      </c>
      <c r="G370" s="3" t="str">
        <f t="shared" si="31"/>
        <v/>
      </c>
      <c r="H370" s="3" t="str">
        <f t="shared" si="32"/>
        <v/>
      </c>
      <c r="I370" s="3" t="str">
        <f t="shared" si="33"/>
        <v/>
      </c>
      <c r="J370" t="str">
        <f t="shared" si="34"/>
        <v>(999,99,'','','','',),</v>
      </c>
    </row>
    <row r="371" spans="1:10">
      <c r="A371">
        <v>99</v>
      </c>
      <c r="G371" s="3" t="str">
        <f t="shared" si="31"/>
        <v/>
      </c>
      <c r="H371" s="3" t="str">
        <f t="shared" si="32"/>
        <v/>
      </c>
      <c r="I371" s="3" t="str">
        <f t="shared" si="33"/>
        <v/>
      </c>
      <c r="J371" t="str">
        <f t="shared" si="34"/>
        <v>(999,99,'','','','',),</v>
      </c>
    </row>
    <row r="372" spans="1:10">
      <c r="A372">
        <v>99</v>
      </c>
      <c r="G372" s="3" t="str">
        <f t="shared" si="31"/>
        <v/>
      </c>
      <c r="H372" s="3" t="str">
        <f t="shared" si="32"/>
        <v/>
      </c>
      <c r="I372" s="3" t="str">
        <f t="shared" si="33"/>
        <v/>
      </c>
      <c r="J372" t="str">
        <f t="shared" si="34"/>
        <v>(999,99,'','','','',),</v>
      </c>
    </row>
    <row r="373" spans="1:10">
      <c r="A373">
        <v>99</v>
      </c>
      <c r="G373" s="3" t="str">
        <f t="shared" si="31"/>
        <v/>
      </c>
      <c r="H373" s="3" t="str">
        <f t="shared" si="32"/>
        <v/>
      </c>
      <c r="I373" s="3" t="str">
        <f t="shared" si="33"/>
        <v/>
      </c>
      <c r="J373" t="str">
        <f t="shared" si="34"/>
        <v>(999,99,'','','','',),</v>
      </c>
    </row>
    <row r="374" spans="1:10">
      <c r="A374">
        <v>99</v>
      </c>
      <c r="G374" s="3" t="str">
        <f t="shared" si="31"/>
        <v/>
      </c>
      <c r="H374" s="3" t="str">
        <f t="shared" si="32"/>
        <v/>
      </c>
      <c r="I374" s="3" t="str">
        <f t="shared" si="33"/>
        <v/>
      </c>
      <c r="J374" t="str">
        <f t="shared" si="34"/>
        <v>(999,99,'','','','',),</v>
      </c>
    </row>
    <row r="375" spans="1:10">
      <c r="A375">
        <v>99</v>
      </c>
      <c r="G375" s="3" t="str">
        <f t="shared" si="31"/>
        <v/>
      </c>
      <c r="H375" s="3" t="str">
        <f t="shared" si="32"/>
        <v/>
      </c>
      <c r="I375" s="3" t="str">
        <f t="shared" si="33"/>
        <v/>
      </c>
      <c r="J375" t="str">
        <f t="shared" si="34"/>
        <v>(999,99,'','','','',),</v>
      </c>
    </row>
    <row r="376" spans="1:10">
      <c r="A376">
        <v>99</v>
      </c>
      <c r="G376" s="3" t="str">
        <f t="shared" si="31"/>
        <v/>
      </c>
      <c r="H376" s="3" t="str">
        <f t="shared" si="32"/>
        <v/>
      </c>
      <c r="I376" s="3" t="str">
        <f t="shared" si="33"/>
        <v/>
      </c>
      <c r="J376" t="str">
        <f t="shared" si="34"/>
        <v>(999,99,'','','','',),</v>
      </c>
    </row>
    <row r="377" spans="1:10">
      <c r="A377">
        <v>99</v>
      </c>
      <c r="G377" s="3" t="str">
        <f t="shared" si="31"/>
        <v/>
      </c>
      <c r="H377" s="3" t="str">
        <f t="shared" si="32"/>
        <v/>
      </c>
      <c r="I377" s="3" t="str">
        <f t="shared" si="33"/>
        <v/>
      </c>
      <c r="J377" t="str">
        <f t="shared" si="34"/>
        <v>(999,99,'','','','',),</v>
      </c>
    </row>
    <row r="378" spans="1:10">
      <c r="A378">
        <v>99</v>
      </c>
      <c r="G378" s="3" t="str">
        <f t="shared" si="31"/>
        <v/>
      </c>
      <c r="H378" s="3" t="str">
        <f t="shared" si="32"/>
        <v/>
      </c>
      <c r="I378" s="3" t="str">
        <f t="shared" si="33"/>
        <v/>
      </c>
      <c r="J378" t="str">
        <f t="shared" si="34"/>
        <v>(999,99,'','','','',),</v>
      </c>
    </row>
    <row r="379" spans="1:10">
      <c r="A379">
        <v>99</v>
      </c>
      <c r="G379" s="3" t="str">
        <f t="shared" si="31"/>
        <v/>
      </c>
      <c r="H379" s="3" t="str">
        <f t="shared" si="32"/>
        <v/>
      </c>
      <c r="I379" s="3" t="str">
        <f t="shared" si="33"/>
        <v/>
      </c>
      <c r="J379" t="str">
        <f t="shared" si="34"/>
        <v>(999,99,'','','','',),</v>
      </c>
    </row>
    <row r="380" spans="1:10">
      <c r="A380">
        <v>99</v>
      </c>
      <c r="G380" s="3" t="str">
        <f t="shared" si="31"/>
        <v/>
      </c>
      <c r="H380" s="3" t="str">
        <f t="shared" si="32"/>
        <v/>
      </c>
      <c r="I380" s="3" t="str">
        <f t="shared" si="33"/>
        <v/>
      </c>
      <c r="J380" t="str">
        <f t="shared" si="34"/>
        <v>(999,99,'','','','',),</v>
      </c>
    </row>
    <row r="381" spans="1:10">
      <c r="A381">
        <v>99</v>
      </c>
      <c r="G381" s="3" t="str">
        <f t="shared" si="31"/>
        <v/>
      </c>
      <c r="H381" s="3" t="str">
        <f t="shared" si="32"/>
        <v/>
      </c>
      <c r="I381" s="3" t="str">
        <f t="shared" si="33"/>
        <v/>
      </c>
      <c r="J381" t="str">
        <f t="shared" si="34"/>
        <v>(999,99,'','','','',),</v>
      </c>
    </row>
    <row r="382" spans="1:10">
      <c r="A382">
        <v>99</v>
      </c>
      <c r="G382" s="3" t="str">
        <f t="shared" si="31"/>
        <v/>
      </c>
      <c r="H382" s="3" t="str">
        <f t="shared" si="32"/>
        <v/>
      </c>
      <c r="I382" s="3" t="str">
        <f t="shared" si="33"/>
        <v/>
      </c>
      <c r="J382" t="str">
        <f t="shared" si="34"/>
        <v>(999,99,'','','','',),</v>
      </c>
    </row>
    <row r="383" spans="1:10">
      <c r="A383">
        <v>99</v>
      </c>
      <c r="G383" s="3" t="str">
        <f t="shared" si="31"/>
        <v/>
      </c>
      <c r="H383" s="3" t="str">
        <f t="shared" si="32"/>
        <v/>
      </c>
      <c r="I383" s="3" t="str">
        <f t="shared" si="33"/>
        <v/>
      </c>
      <c r="J383" t="str">
        <f t="shared" si="34"/>
        <v>(999,99,'','','','',),</v>
      </c>
    </row>
    <row r="384" spans="1:10">
      <c r="A384">
        <v>99</v>
      </c>
      <c r="G384" s="3" t="str">
        <f t="shared" si="31"/>
        <v/>
      </c>
      <c r="H384" s="3" t="str">
        <f t="shared" si="32"/>
        <v/>
      </c>
      <c r="I384" s="3" t="str">
        <f t="shared" si="33"/>
        <v/>
      </c>
      <c r="J384" t="str">
        <f t="shared" si="34"/>
        <v>(999,99,'','','','',),</v>
      </c>
    </row>
    <row r="385" spans="1:10">
      <c r="A385">
        <v>99</v>
      </c>
      <c r="G385" s="3" t="str">
        <f t="shared" si="31"/>
        <v/>
      </c>
      <c r="H385" s="3" t="str">
        <f t="shared" si="32"/>
        <v/>
      </c>
      <c r="I385" s="3" t="str">
        <f t="shared" si="33"/>
        <v/>
      </c>
      <c r="J385" t="str">
        <f t="shared" si="34"/>
        <v>(999,99,'','','','',),</v>
      </c>
    </row>
    <row r="386" spans="1:10">
      <c r="A386">
        <v>99</v>
      </c>
      <c r="G386" s="3" t="str">
        <f t="shared" si="31"/>
        <v/>
      </c>
      <c r="H386" s="3" t="str">
        <f t="shared" si="32"/>
        <v/>
      </c>
      <c r="I386" s="3" t="str">
        <f t="shared" si="33"/>
        <v/>
      </c>
      <c r="J386" t="str">
        <f t="shared" si="34"/>
        <v>(999,99,'','','','',),</v>
      </c>
    </row>
    <row r="387" spans="1:10">
      <c r="A387">
        <v>99</v>
      </c>
      <c r="G387" s="3" t="str">
        <f t="shared" si="31"/>
        <v/>
      </c>
      <c r="H387" s="3" t="str">
        <f t="shared" si="32"/>
        <v/>
      </c>
      <c r="I387" s="3" t="str">
        <f t="shared" si="33"/>
        <v/>
      </c>
      <c r="J387" t="str">
        <f t="shared" si="34"/>
        <v>(999,99,'','','','',),</v>
      </c>
    </row>
    <row r="388" spans="1:10">
      <c r="A388">
        <v>99</v>
      </c>
      <c r="G388" s="3" t="str">
        <f t="shared" si="31"/>
        <v/>
      </c>
      <c r="H388" s="3" t="str">
        <f t="shared" si="32"/>
        <v/>
      </c>
      <c r="I388" s="3" t="str">
        <f t="shared" si="33"/>
        <v/>
      </c>
      <c r="J388" t="str">
        <f t="shared" si="34"/>
        <v>(999,99,'','','','',),</v>
      </c>
    </row>
    <row r="389" spans="1:10">
      <c r="A389">
        <v>99</v>
      </c>
      <c r="G389" s="3" t="str">
        <f t="shared" si="31"/>
        <v/>
      </c>
      <c r="H389" s="3" t="str">
        <f t="shared" si="32"/>
        <v/>
      </c>
      <c r="I389" s="3" t="str">
        <f t="shared" si="33"/>
        <v/>
      </c>
      <c r="J389" t="str">
        <f t="shared" si="34"/>
        <v>(999,99,'','','','',),</v>
      </c>
    </row>
    <row r="390" spans="1:10">
      <c r="A390">
        <v>99</v>
      </c>
      <c r="G390" s="3" t="str">
        <f t="shared" si="31"/>
        <v/>
      </c>
      <c r="H390" s="3" t="str">
        <f t="shared" si="32"/>
        <v/>
      </c>
      <c r="I390" s="3" t="str">
        <f t="shared" si="33"/>
        <v/>
      </c>
      <c r="J390" t="str">
        <f t="shared" si="34"/>
        <v>(999,99,'','','','',),</v>
      </c>
    </row>
    <row r="391" spans="1:10">
      <c r="A391">
        <v>99</v>
      </c>
      <c r="G391" s="3" t="str">
        <f t="shared" si="31"/>
        <v/>
      </c>
      <c r="H391" s="3" t="str">
        <f t="shared" si="32"/>
        <v/>
      </c>
      <c r="I391" s="3" t="str">
        <f t="shared" si="33"/>
        <v/>
      </c>
      <c r="J391" t="str">
        <f t="shared" si="34"/>
        <v>(999,99,'','','','',),</v>
      </c>
    </row>
    <row r="392" spans="1:10">
      <c r="A392">
        <v>99</v>
      </c>
      <c r="G392" s="3" t="str">
        <f t="shared" si="31"/>
        <v/>
      </c>
      <c r="H392" s="3" t="str">
        <f t="shared" si="32"/>
        <v/>
      </c>
      <c r="I392" s="3" t="str">
        <f t="shared" si="33"/>
        <v/>
      </c>
      <c r="J392" t="str">
        <f t="shared" si="34"/>
        <v>(999,99,'','','','',),</v>
      </c>
    </row>
    <row r="393" spans="1:10">
      <c r="A393">
        <v>99</v>
      </c>
      <c r="G393" s="3" t="str">
        <f t="shared" si="31"/>
        <v/>
      </c>
      <c r="H393" s="3" t="str">
        <f t="shared" si="32"/>
        <v/>
      </c>
      <c r="I393" s="3" t="str">
        <f t="shared" si="33"/>
        <v/>
      </c>
      <c r="J393" t="str">
        <f t="shared" si="34"/>
        <v>(999,99,'','','','',),</v>
      </c>
    </row>
    <row r="394" spans="1:10">
      <c r="A394">
        <v>99</v>
      </c>
      <c r="G394" s="3" t="str">
        <f t="shared" si="31"/>
        <v/>
      </c>
      <c r="H394" s="3" t="str">
        <f t="shared" si="32"/>
        <v/>
      </c>
      <c r="I394" s="3" t="str">
        <f t="shared" si="33"/>
        <v/>
      </c>
      <c r="J394" t="str">
        <f t="shared" si="34"/>
        <v>(999,99,'','','','',),</v>
      </c>
    </row>
    <row r="395" spans="1:10">
      <c r="A395">
        <v>99</v>
      </c>
      <c r="G395" s="3" t="str">
        <f t="shared" si="31"/>
        <v/>
      </c>
      <c r="H395" s="3" t="str">
        <f t="shared" si="32"/>
        <v/>
      </c>
      <c r="I395" s="3" t="str">
        <f t="shared" si="33"/>
        <v/>
      </c>
      <c r="J395" t="str">
        <f t="shared" si="34"/>
        <v>(999,99,'','','','',),</v>
      </c>
    </row>
    <row r="396" spans="1:10">
      <c r="A396">
        <v>99</v>
      </c>
      <c r="G396" s="3" t="str">
        <f t="shared" si="31"/>
        <v/>
      </c>
      <c r="H396" s="3" t="str">
        <f t="shared" si="32"/>
        <v/>
      </c>
      <c r="I396" s="3" t="str">
        <f t="shared" si="33"/>
        <v/>
      </c>
      <c r="J396" t="str">
        <f t="shared" si="34"/>
        <v>(999,99,'','','','',),</v>
      </c>
    </row>
    <row r="397" spans="1:10">
      <c r="A397">
        <v>99</v>
      </c>
      <c r="G397" s="3" t="str">
        <f t="shared" si="31"/>
        <v/>
      </c>
      <c r="H397" s="3" t="str">
        <f t="shared" si="32"/>
        <v/>
      </c>
      <c r="I397" s="3" t="str">
        <f t="shared" si="33"/>
        <v/>
      </c>
      <c r="J397" t="str">
        <f t="shared" si="34"/>
        <v>(999,99,'','','','',),</v>
      </c>
    </row>
    <row r="398" spans="1:10">
      <c r="A398">
        <v>99</v>
      </c>
      <c r="G398" s="3" t="str">
        <f t="shared" si="31"/>
        <v/>
      </c>
      <c r="H398" s="3" t="str">
        <f t="shared" si="32"/>
        <v/>
      </c>
      <c r="I398" s="3" t="str">
        <f t="shared" si="33"/>
        <v/>
      </c>
      <c r="J398" t="str">
        <f t="shared" si="34"/>
        <v>(999,99,'','','','',),</v>
      </c>
    </row>
    <row r="399" spans="1:10">
      <c r="A399">
        <v>99</v>
      </c>
      <c r="G399" s="3" t="str">
        <f t="shared" si="31"/>
        <v/>
      </c>
      <c r="H399" s="3" t="str">
        <f t="shared" si="32"/>
        <v/>
      </c>
      <c r="I399" s="3" t="str">
        <f t="shared" si="33"/>
        <v/>
      </c>
      <c r="J399" t="str">
        <f t="shared" si="34"/>
        <v>(999,99,'','','','',),</v>
      </c>
    </row>
    <row r="400" spans="1:10">
      <c r="A400">
        <v>99</v>
      </c>
      <c r="G400" s="3" t="str">
        <f t="shared" si="31"/>
        <v/>
      </c>
      <c r="H400" s="3" t="str">
        <f t="shared" si="32"/>
        <v/>
      </c>
      <c r="I400" s="3" t="str">
        <f t="shared" si="33"/>
        <v/>
      </c>
      <c r="J400" t="str">
        <f t="shared" si="34"/>
        <v>(999,99,'','','','',),</v>
      </c>
    </row>
    <row r="401" spans="1:10">
      <c r="A401">
        <v>99</v>
      </c>
      <c r="G401" s="3" t="str">
        <f t="shared" si="31"/>
        <v/>
      </c>
      <c r="H401" s="3" t="str">
        <f t="shared" si="32"/>
        <v/>
      </c>
      <c r="I401" s="3" t="str">
        <f t="shared" si="33"/>
        <v/>
      </c>
      <c r="J401" t="str">
        <f t="shared" si="34"/>
        <v>(999,99,'','','','',),</v>
      </c>
    </row>
    <row r="402" spans="1:10">
      <c r="A402">
        <v>99</v>
      </c>
      <c r="G402" s="3" t="str">
        <f t="shared" si="31"/>
        <v/>
      </c>
      <c r="H402" s="3" t="str">
        <f t="shared" si="32"/>
        <v/>
      </c>
      <c r="I402" s="3" t="str">
        <f t="shared" si="33"/>
        <v/>
      </c>
      <c r="J402" t="str">
        <f t="shared" si="34"/>
        <v>(999,99,'','','','',),</v>
      </c>
    </row>
    <row r="403" spans="1:10">
      <c r="A403">
        <v>99</v>
      </c>
      <c r="G403" s="3" t="str">
        <f t="shared" si="31"/>
        <v/>
      </c>
      <c r="H403" s="3" t="str">
        <f t="shared" si="32"/>
        <v/>
      </c>
      <c r="I403" s="3" t="str">
        <f t="shared" si="33"/>
        <v/>
      </c>
      <c r="J403" t="str">
        <f t="shared" si="34"/>
        <v>(999,99,'','','','',),</v>
      </c>
    </row>
    <row r="404" spans="1:10">
      <c r="A404">
        <v>99</v>
      </c>
      <c r="G404" s="3" t="str">
        <f t="shared" si="31"/>
        <v/>
      </c>
      <c r="H404" s="3" t="str">
        <f t="shared" si="32"/>
        <v/>
      </c>
      <c r="I404" s="3" t="str">
        <f t="shared" si="33"/>
        <v/>
      </c>
      <c r="J404" t="str">
        <f t="shared" si="34"/>
        <v>(999,99,'','','','',),</v>
      </c>
    </row>
    <row r="405" spans="1:10">
      <c r="A405">
        <v>99</v>
      </c>
      <c r="G405" s="3" t="str">
        <f t="shared" si="31"/>
        <v/>
      </c>
      <c r="H405" s="3" t="str">
        <f t="shared" si="32"/>
        <v/>
      </c>
      <c r="I405" s="3" t="str">
        <f t="shared" si="33"/>
        <v/>
      </c>
      <c r="J405" t="str">
        <f t="shared" si="34"/>
        <v>(999,99,'','','','',),</v>
      </c>
    </row>
    <row r="406" spans="1:10">
      <c r="A406">
        <v>99</v>
      </c>
      <c r="G406" s="3" t="str">
        <f t="shared" si="31"/>
        <v/>
      </c>
      <c r="H406" s="3" t="str">
        <f t="shared" si="32"/>
        <v/>
      </c>
      <c r="I406" s="3" t="str">
        <f t="shared" si="33"/>
        <v/>
      </c>
      <c r="J406" t="str">
        <f t="shared" si="34"/>
        <v>(999,99,'','','','',),</v>
      </c>
    </row>
    <row r="407" spans="1:10">
      <c r="A407">
        <v>99</v>
      </c>
      <c r="G407" s="3" t="str">
        <f t="shared" si="31"/>
        <v/>
      </c>
      <c r="H407" s="3" t="str">
        <f t="shared" si="32"/>
        <v/>
      </c>
      <c r="I407" s="3" t="str">
        <f t="shared" si="33"/>
        <v/>
      </c>
      <c r="J407" t="str">
        <f t="shared" si="34"/>
        <v>(999,99,'','','','',),</v>
      </c>
    </row>
    <row r="408" spans="1:10">
      <c r="A408">
        <v>99</v>
      </c>
      <c r="G408" s="3" t="str">
        <f t="shared" si="31"/>
        <v/>
      </c>
      <c r="H408" s="3" t="str">
        <f t="shared" si="32"/>
        <v/>
      </c>
      <c r="I408" s="3" t="str">
        <f t="shared" si="33"/>
        <v/>
      </c>
      <c r="J408" t="str">
        <f t="shared" si="34"/>
        <v>(999,99,'','','','',),</v>
      </c>
    </row>
    <row r="409" spans="1:10">
      <c r="A409">
        <v>99</v>
      </c>
      <c r="G409" s="3" t="str">
        <f t="shared" ref="G409:G472" si="35">IF( IFERROR(FIND("A.",C409), 0) &gt; 0, TRIM(MID( C409, SEARCH("A.", C409)+2, 100)),TRIM(C409))</f>
        <v/>
      </c>
      <c r="H409" s="3" t="str">
        <f t="shared" ref="H409:H472" si="36">IF( IFERROR(FIND("B.",D409), 0) &gt; 0, TRIM(MID( D409, SEARCH("B.", D409)+2, 100)),TRIM(D409))</f>
        <v/>
      </c>
      <c r="I409" s="3" t="str">
        <f t="shared" ref="I409:I472" si="37">IF( IFERROR(FIND("C.",E409), 0) &gt; 0, TRIM(MID( E409, SEARCH("C.", E409)+2, 100)),TRIM(E409))</f>
        <v/>
      </c>
      <c r="J409" t="str">
        <f t="shared" ref="J409:J472" si="38">"("&amp;$B$2&amp;","&amp;A409&amp;",'"&amp;B409&amp;"','"&amp;G409&amp;"','"&amp;H409&amp;"','"&amp;I409&amp;"',"&amp;F409&amp;"),"</f>
        <v>(999,99,'','','','',),</v>
      </c>
    </row>
    <row r="410" spans="1:10">
      <c r="A410">
        <v>99</v>
      </c>
      <c r="G410" s="3" t="str">
        <f t="shared" si="35"/>
        <v/>
      </c>
      <c r="H410" s="3" t="str">
        <f t="shared" si="36"/>
        <v/>
      </c>
      <c r="I410" s="3" t="str">
        <f t="shared" si="37"/>
        <v/>
      </c>
      <c r="J410" t="str">
        <f t="shared" si="38"/>
        <v>(999,99,'','','','',),</v>
      </c>
    </row>
    <row r="411" spans="1:10">
      <c r="A411">
        <v>99</v>
      </c>
      <c r="G411" s="3" t="str">
        <f t="shared" si="35"/>
        <v/>
      </c>
      <c r="H411" s="3" t="str">
        <f t="shared" si="36"/>
        <v/>
      </c>
      <c r="I411" s="3" t="str">
        <f t="shared" si="37"/>
        <v/>
      </c>
      <c r="J411" t="str">
        <f t="shared" si="38"/>
        <v>(999,99,'','','','',),</v>
      </c>
    </row>
    <row r="412" spans="1:10">
      <c r="A412">
        <v>99</v>
      </c>
      <c r="G412" s="3" t="str">
        <f t="shared" si="35"/>
        <v/>
      </c>
      <c r="H412" s="3" t="str">
        <f t="shared" si="36"/>
        <v/>
      </c>
      <c r="I412" s="3" t="str">
        <f t="shared" si="37"/>
        <v/>
      </c>
      <c r="J412" t="str">
        <f t="shared" si="38"/>
        <v>(999,99,'','','','',),</v>
      </c>
    </row>
    <row r="413" spans="1:10">
      <c r="A413">
        <v>99</v>
      </c>
      <c r="G413" s="3" t="str">
        <f t="shared" si="35"/>
        <v/>
      </c>
      <c r="H413" s="3" t="str">
        <f t="shared" si="36"/>
        <v/>
      </c>
      <c r="I413" s="3" t="str">
        <f t="shared" si="37"/>
        <v/>
      </c>
      <c r="J413" t="str">
        <f t="shared" si="38"/>
        <v>(999,99,'','','','',),</v>
      </c>
    </row>
    <row r="414" spans="1:10">
      <c r="A414">
        <v>99</v>
      </c>
      <c r="G414" s="3" t="str">
        <f t="shared" si="35"/>
        <v/>
      </c>
      <c r="H414" s="3" t="str">
        <f t="shared" si="36"/>
        <v/>
      </c>
      <c r="I414" s="3" t="str">
        <f t="shared" si="37"/>
        <v/>
      </c>
      <c r="J414" t="str">
        <f t="shared" si="38"/>
        <v>(999,99,'','','','',),</v>
      </c>
    </row>
    <row r="415" spans="1:10">
      <c r="A415">
        <v>99</v>
      </c>
      <c r="G415" s="3" t="str">
        <f t="shared" si="35"/>
        <v/>
      </c>
      <c r="H415" s="3" t="str">
        <f t="shared" si="36"/>
        <v/>
      </c>
      <c r="I415" s="3" t="str">
        <f t="shared" si="37"/>
        <v/>
      </c>
      <c r="J415" t="str">
        <f t="shared" si="38"/>
        <v>(999,99,'','','','',),</v>
      </c>
    </row>
    <row r="416" spans="1:10">
      <c r="A416">
        <v>99</v>
      </c>
      <c r="G416" s="3" t="str">
        <f t="shared" si="35"/>
        <v/>
      </c>
      <c r="H416" s="3" t="str">
        <f t="shared" si="36"/>
        <v/>
      </c>
      <c r="I416" s="3" t="str">
        <f t="shared" si="37"/>
        <v/>
      </c>
      <c r="J416" t="str">
        <f t="shared" si="38"/>
        <v>(999,99,'','','','',),</v>
      </c>
    </row>
    <row r="417" spans="1:10">
      <c r="A417">
        <v>99</v>
      </c>
      <c r="G417" s="3" t="str">
        <f t="shared" si="35"/>
        <v/>
      </c>
      <c r="H417" s="3" t="str">
        <f t="shared" si="36"/>
        <v/>
      </c>
      <c r="I417" s="3" t="str">
        <f t="shared" si="37"/>
        <v/>
      </c>
      <c r="J417" t="str">
        <f t="shared" si="38"/>
        <v>(999,99,'','','','',),</v>
      </c>
    </row>
    <row r="418" spans="1:10">
      <c r="A418">
        <v>99</v>
      </c>
      <c r="G418" s="3" t="str">
        <f t="shared" si="35"/>
        <v/>
      </c>
      <c r="H418" s="3" t="str">
        <f t="shared" si="36"/>
        <v/>
      </c>
      <c r="I418" s="3" t="str">
        <f t="shared" si="37"/>
        <v/>
      </c>
      <c r="J418" t="str">
        <f t="shared" si="38"/>
        <v>(999,99,'','','','',),</v>
      </c>
    </row>
    <row r="419" spans="1:10">
      <c r="A419">
        <v>99</v>
      </c>
      <c r="G419" s="3" t="str">
        <f t="shared" si="35"/>
        <v/>
      </c>
      <c r="H419" s="3" t="str">
        <f t="shared" si="36"/>
        <v/>
      </c>
      <c r="I419" s="3" t="str">
        <f t="shared" si="37"/>
        <v/>
      </c>
      <c r="J419" t="str">
        <f t="shared" si="38"/>
        <v>(999,99,'','','','',),</v>
      </c>
    </row>
    <row r="420" spans="1:10">
      <c r="A420">
        <v>99</v>
      </c>
      <c r="G420" s="3" t="str">
        <f t="shared" si="35"/>
        <v/>
      </c>
      <c r="H420" s="3" t="str">
        <f t="shared" si="36"/>
        <v/>
      </c>
      <c r="I420" s="3" t="str">
        <f t="shared" si="37"/>
        <v/>
      </c>
      <c r="J420" t="str">
        <f t="shared" si="38"/>
        <v>(999,99,'','','','',),</v>
      </c>
    </row>
    <row r="421" spans="1:10">
      <c r="A421">
        <v>99</v>
      </c>
      <c r="G421" s="3" t="str">
        <f t="shared" si="35"/>
        <v/>
      </c>
      <c r="H421" s="3" t="str">
        <f t="shared" si="36"/>
        <v/>
      </c>
      <c r="I421" s="3" t="str">
        <f t="shared" si="37"/>
        <v/>
      </c>
      <c r="J421" t="str">
        <f t="shared" si="38"/>
        <v>(999,99,'','','','',),</v>
      </c>
    </row>
    <row r="422" spans="1:10">
      <c r="A422">
        <v>99</v>
      </c>
      <c r="G422" s="3" t="str">
        <f t="shared" si="35"/>
        <v/>
      </c>
      <c r="H422" s="3" t="str">
        <f t="shared" si="36"/>
        <v/>
      </c>
      <c r="I422" s="3" t="str">
        <f t="shared" si="37"/>
        <v/>
      </c>
      <c r="J422" t="str">
        <f t="shared" si="38"/>
        <v>(999,99,'','','','',),</v>
      </c>
    </row>
    <row r="423" spans="1:10">
      <c r="A423">
        <v>99</v>
      </c>
      <c r="G423" s="3" t="str">
        <f t="shared" si="35"/>
        <v/>
      </c>
      <c r="H423" s="3" t="str">
        <f t="shared" si="36"/>
        <v/>
      </c>
      <c r="I423" s="3" t="str">
        <f t="shared" si="37"/>
        <v/>
      </c>
      <c r="J423" t="str">
        <f t="shared" si="38"/>
        <v>(999,99,'','','','',),</v>
      </c>
    </row>
    <row r="424" spans="1:10">
      <c r="A424">
        <v>99</v>
      </c>
      <c r="G424" s="3" t="str">
        <f t="shared" si="35"/>
        <v/>
      </c>
      <c r="H424" s="3" t="str">
        <f t="shared" si="36"/>
        <v/>
      </c>
      <c r="I424" s="3" t="str">
        <f t="shared" si="37"/>
        <v/>
      </c>
      <c r="J424" t="str">
        <f t="shared" si="38"/>
        <v>(999,99,'','','','',),</v>
      </c>
    </row>
    <row r="425" spans="1:10">
      <c r="A425">
        <v>99</v>
      </c>
      <c r="G425" s="3" t="str">
        <f t="shared" si="35"/>
        <v/>
      </c>
      <c r="H425" s="3" t="str">
        <f t="shared" si="36"/>
        <v/>
      </c>
      <c r="I425" s="3" t="str">
        <f t="shared" si="37"/>
        <v/>
      </c>
      <c r="J425" t="str">
        <f t="shared" si="38"/>
        <v>(999,99,'','','','',),</v>
      </c>
    </row>
    <row r="426" spans="1:10">
      <c r="A426">
        <v>99</v>
      </c>
      <c r="G426" s="3" t="str">
        <f t="shared" si="35"/>
        <v/>
      </c>
      <c r="H426" s="3" t="str">
        <f t="shared" si="36"/>
        <v/>
      </c>
      <c r="I426" s="3" t="str">
        <f t="shared" si="37"/>
        <v/>
      </c>
      <c r="J426" t="str">
        <f t="shared" si="38"/>
        <v>(999,99,'','','','',),</v>
      </c>
    </row>
    <row r="427" spans="1:10">
      <c r="A427">
        <v>99</v>
      </c>
      <c r="G427" s="3" t="str">
        <f t="shared" si="35"/>
        <v/>
      </c>
      <c r="H427" s="3" t="str">
        <f t="shared" si="36"/>
        <v/>
      </c>
      <c r="I427" s="3" t="str">
        <f t="shared" si="37"/>
        <v/>
      </c>
      <c r="J427" t="str">
        <f t="shared" si="38"/>
        <v>(999,99,'','','','',),</v>
      </c>
    </row>
    <row r="428" spans="1:10">
      <c r="A428">
        <v>99</v>
      </c>
      <c r="G428" s="3" t="str">
        <f t="shared" si="35"/>
        <v/>
      </c>
      <c r="H428" s="3" t="str">
        <f t="shared" si="36"/>
        <v/>
      </c>
      <c r="I428" s="3" t="str">
        <f t="shared" si="37"/>
        <v/>
      </c>
      <c r="J428" t="str">
        <f t="shared" si="38"/>
        <v>(999,99,'','','','',),</v>
      </c>
    </row>
    <row r="429" spans="1:10">
      <c r="A429">
        <v>99</v>
      </c>
      <c r="G429" s="3" t="str">
        <f t="shared" si="35"/>
        <v/>
      </c>
      <c r="H429" s="3" t="str">
        <f t="shared" si="36"/>
        <v/>
      </c>
      <c r="I429" s="3" t="str">
        <f t="shared" si="37"/>
        <v/>
      </c>
      <c r="J429" t="str">
        <f t="shared" si="38"/>
        <v>(999,99,'','','','',),</v>
      </c>
    </row>
    <row r="430" spans="1:10">
      <c r="A430">
        <v>99</v>
      </c>
      <c r="G430" s="3" t="str">
        <f t="shared" si="35"/>
        <v/>
      </c>
      <c r="H430" s="3" t="str">
        <f t="shared" si="36"/>
        <v/>
      </c>
      <c r="I430" s="3" t="str">
        <f t="shared" si="37"/>
        <v/>
      </c>
      <c r="J430" t="str">
        <f t="shared" si="38"/>
        <v>(999,99,'','','','',),</v>
      </c>
    </row>
    <row r="431" spans="1:10">
      <c r="A431">
        <v>99</v>
      </c>
      <c r="G431" s="3" t="str">
        <f t="shared" si="35"/>
        <v/>
      </c>
      <c r="H431" s="3" t="str">
        <f t="shared" si="36"/>
        <v/>
      </c>
      <c r="I431" s="3" t="str">
        <f t="shared" si="37"/>
        <v/>
      </c>
      <c r="J431" t="str">
        <f t="shared" si="38"/>
        <v>(999,99,'','','','',),</v>
      </c>
    </row>
    <row r="432" spans="1:10">
      <c r="A432">
        <v>99</v>
      </c>
      <c r="G432" s="3" t="str">
        <f t="shared" si="35"/>
        <v/>
      </c>
      <c r="H432" s="3" t="str">
        <f t="shared" si="36"/>
        <v/>
      </c>
      <c r="I432" s="3" t="str">
        <f t="shared" si="37"/>
        <v/>
      </c>
      <c r="J432" t="str">
        <f t="shared" si="38"/>
        <v>(999,99,'','','','',),</v>
      </c>
    </row>
    <row r="433" spans="1:10">
      <c r="A433">
        <v>99</v>
      </c>
      <c r="G433" s="3" t="str">
        <f t="shared" si="35"/>
        <v/>
      </c>
      <c r="H433" s="3" t="str">
        <f t="shared" si="36"/>
        <v/>
      </c>
      <c r="I433" s="3" t="str">
        <f t="shared" si="37"/>
        <v/>
      </c>
      <c r="J433" t="str">
        <f t="shared" si="38"/>
        <v>(999,99,'','','','',),</v>
      </c>
    </row>
    <row r="434" spans="1:10">
      <c r="A434">
        <v>99</v>
      </c>
      <c r="G434" s="3" t="str">
        <f t="shared" si="35"/>
        <v/>
      </c>
      <c r="H434" s="3" t="str">
        <f t="shared" si="36"/>
        <v/>
      </c>
      <c r="I434" s="3" t="str">
        <f t="shared" si="37"/>
        <v/>
      </c>
      <c r="J434" t="str">
        <f t="shared" si="38"/>
        <v>(999,99,'','','','',),</v>
      </c>
    </row>
    <row r="435" spans="1:10">
      <c r="A435">
        <v>99</v>
      </c>
      <c r="G435" s="3" t="str">
        <f t="shared" si="35"/>
        <v/>
      </c>
      <c r="H435" s="3" t="str">
        <f t="shared" si="36"/>
        <v/>
      </c>
      <c r="I435" s="3" t="str">
        <f t="shared" si="37"/>
        <v/>
      </c>
      <c r="J435" t="str">
        <f t="shared" si="38"/>
        <v>(999,99,'','','','',),</v>
      </c>
    </row>
    <row r="436" spans="1:10">
      <c r="A436">
        <v>99</v>
      </c>
      <c r="G436" s="3" t="str">
        <f t="shared" si="35"/>
        <v/>
      </c>
      <c r="H436" s="3" t="str">
        <f t="shared" si="36"/>
        <v/>
      </c>
      <c r="I436" s="3" t="str">
        <f t="shared" si="37"/>
        <v/>
      </c>
      <c r="J436" t="str">
        <f t="shared" si="38"/>
        <v>(999,99,'','','','',),</v>
      </c>
    </row>
    <row r="437" spans="1:10">
      <c r="A437">
        <v>99</v>
      </c>
      <c r="G437" s="3" t="str">
        <f t="shared" si="35"/>
        <v/>
      </c>
      <c r="H437" s="3" t="str">
        <f t="shared" si="36"/>
        <v/>
      </c>
      <c r="I437" s="3" t="str">
        <f t="shared" si="37"/>
        <v/>
      </c>
      <c r="J437" t="str">
        <f t="shared" si="38"/>
        <v>(999,99,'','','','',),</v>
      </c>
    </row>
    <row r="438" spans="1:10">
      <c r="A438">
        <v>99</v>
      </c>
      <c r="G438" s="3" t="str">
        <f t="shared" si="35"/>
        <v/>
      </c>
      <c r="H438" s="3" t="str">
        <f t="shared" si="36"/>
        <v/>
      </c>
      <c r="I438" s="3" t="str">
        <f t="shared" si="37"/>
        <v/>
      </c>
      <c r="J438" t="str">
        <f t="shared" si="38"/>
        <v>(999,99,'','','','',),</v>
      </c>
    </row>
    <row r="439" spans="1:10">
      <c r="A439">
        <v>99</v>
      </c>
      <c r="G439" s="3" t="str">
        <f t="shared" si="35"/>
        <v/>
      </c>
      <c r="H439" s="3" t="str">
        <f t="shared" si="36"/>
        <v/>
      </c>
      <c r="I439" s="3" t="str">
        <f t="shared" si="37"/>
        <v/>
      </c>
      <c r="J439" t="str">
        <f t="shared" si="38"/>
        <v>(999,99,'','','','',),</v>
      </c>
    </row>
    <row r="440" spans="1:10">
      <c r="A440">
        <v>99</v>
      </c>
      <c r="G440" s="3" t="str">
        <f t="shared" si="35"/>
        <v/>
      </c>
      <c r="H440" s="3" t="str">
        <f t="shared" si="36"/>
        <v/>
      </c>
      <c r="I440" s="3" t="str">
        <f t="shared" si="37"/>
        <v/>
      </c>
      <c r="J440" t="str">
        <f t="shared" si="38"/>
        <v>(999,99,'','','','',),</v>
      </c>
    </row>
    <row r="441" spans="1:10">
      <c r="A441">
        <v>99</v>
      </c>
      <c r="G441" s="3" t="str">
        <f t="shared" si="35"/>
        <v/>
      </c>
      <c r="H441" s="3" t="str">
        <f t="shared" si="36"/>
        <v/>
      </c>
      <c r="I441" s="3" t="str">
        <f t="shared" si="37"/>
        <v/>
      </c>
      <c r="J441" t="str">
        <f t="shared" si="38"/>
        <v>(999,99,'','','','',),</v>
      </c>
    </row>
    <row r="442" spans="1:10">
      <c r="A442">
        <v>99</v>
      </c>
      <c r="G442" s="3" t="str">
        <f t="shared" si="35"/>
        <v/>
      </c>
      <c r="H442" s="3" t="str">
        <f t="shared" si="36"/>
        <v/>
      </c>
      <c r="I442" s="3" t="str">
        <f t="shared" si="37"/>
        <v/>
      </c>
      <c r="J442" t="str">
        <f t="shared" si="38"/>
        <v>(999,99,'','','','',),</v>
      </c>
    </row>
    <row r="443" spans="1:10">
      <c r="A443">
        <v>99</v>
      </c>
      <c r="G443" s="3" t="str">
        <f t="shared" si="35"/>
        <v/>
      </c>
      <c r="H443" s="3" t="str">
        <f t="shared" si="36"/>
        <v/>
      </c>
      <c r="I443" s="3" t="str">
        <f t="shared" si="37"/>
        <v/>
      </c>
      <c r="J443" t="str">
        <f t="shared" si="38"/>
        <v>(999,99,'','','','',),</v>
      </c>
    </row>
    <row r="444" spans="1:10">
      <c r="A444">
        <v>99</v>
      </c>
      <c r="G444" s="3" t="str">
        <f t="shared" si="35"/>
        <v/>
      </c>
      <c r="H444" s="3" t="str">
        <f t="shared" si="36"/>
        <v/>
      </c>
      <c r="I444" s="3" t="str">
        <f t="shared" si="37"/>
        <v/>
      </c>
      <c r="J444" t="str">
        <f t="shared" si="38"/>
        <v>(999,99,'','','','',),</v>
      </c>
    </row>
    <row r="445" spans="1:10">
      <c r="A445">
        <v>99</v>
      </c>
      <c r="G445" s="3" t="str">
        <f t="shared" si="35"/>
        <v/>
      </c>
      <c r="H445" s="3" t="str">
        <f t="shared" si="36"/>
        <v/>
      </c>
      <c r="I445" s="3" t="str">
        <f t="shared" si="37"/>
        <v/>
      </c>
      <c r="J445" t="str">
        <f t="shared" si="38"/>
        <v>(999,99,'','','','',),</v>
      </c>
    </row>
    <row r="446" spans="1:10">
      <c r="A446">
        <v>99</v>
      </c>
      <c r="G446" s="3" t="str">
        <f t="shared" si="35"/>
        <v/>
      </c>
      <c r="H446" s="3" t="str">
        <f t="shared" si="36"/>
        <v/>
      </c>
      <c r="I446" s="3" t="str">
        <f t="shared" si="37"/>
        <v/>
      </c>
      <c r="J446" t="str">
        <f t="shared" si="38"/>
        <v>(999,99,'','','','',),</v>
      </c>
    </row>
    <row r="447" spans="1:10">
      <c r="A447">
        <v>99</v>
      </c>
      <c r="G447" s="3" t="str">
        <f t="shared" si="35"/>
        <v/>
      </c>
      <c r="H447" s="3" t="str">
        <f t="shared" si="36"/>
        <v/>
      </c>
      <c r="I447" s="3" t="str">
        <f t="shared" si="37"/>
        <v/>
      </c>
      <c r="J447" t="str">
        <f t="shared" si="38"/>
        <v>(999,99,'','','','',),</v>
      </c>
    </row>
    <row r="448" spans="1:10">
      <c r="A448">
        <v>99</v>
      </c>
      <c r="G448" s="3" t="str">
        <f t="shared" si="35"/>
        <v/>
      </c>
      <c r="H448" s="3" t="str">
        <f t="shared" si="36"/>
        <v/>
      </c>
      <c r="I448" s="3" t="str">
        <f t="shared" si="37"/>
        <v/>
      </c>
      <c r="J448" t="str">
        <f t="shared" si="38"/>
        <v>(999,99,'','','','',),</v>
      </c>
    </row>
    <row r="449" spans="1:10">
      <c r="A449">
        <v>99</v>
      </c>
      <c r="G449" s="3" t="str">
        <f t="shared" si="35"/>
        <v/>
      </c>
      <c r="H449" s="3" t="str">
        <f t="shared" si="36"/>
        <v/>
      </c>
      <c r="I449" s="3" t="str">
        <f t="shared" si="37"/>
        <v/>
      </c>
      <c r="J449" t="str">
        <f t="shared" si="38"/>
        <v>(999,99,'','','','',),</v>
      </c>
    </row>
    <row r="450" spans="1:10">
      <c r="A450">
        <v>99</v>
      </c>
      <c r="G450" s="3" t="str">
        <f t="shared" si="35"/>
        <v/>
      </c>
      <c r="H450" s="3" t="str">
        <f t="shared" si="36"/>
        <v/>
      </c>
      <c r="I450" s="3" t="str">
        <f t="shared" si="37"/>
        <v/>
      </c>
      <c r="J450" t="str">
        <f t="shared" si="38"/>
        <v>(999,99,'','','','',),</v>
      </c>
    </row>
    <row r="451" spans="1:10">
      <c r="A451">
        <v>99</v>
      </c>
      <c r="G451" s="3" t="str">
        <f t="shared" si="35"/>
        <v/>
      </c>
      <c r="H451" s="3" t="str">
        <f t="shared" si="36"/>
        <v/>
      </c>
      <c r="I451" s="3" t="str">
        <f t="shared" si="37"/>
        <v/>
      </c>
      <c r="J451" t="str">
        <f t="shared" si="38"/>
        <v>(999,99,'','','','',),</v>
      </c>
    </row>
    <row r="452" spans="1:10">
      <c r="A452">
        <v>99</v>
      </c>
      <c r="G452" s="3" t="str">
        <f t="shared" si="35"/>
        <v/>
      </c>
      <c r="H452" s="3" t="str">
        <f t="shared" si="36"/>
        <v/>
      </c>
      <c r="I452" s="3" t="str">
        <f t="shared" si="37"/>
        <v/>
      </c>
      <c r="J452" t="str">
        <f t="shared" si="38"/>
        <v>(999,99,'','','','',),</v>
      </c>
    </row>
    <row r="453" spans="1:10">
      <c r="A453">
        <v>99</v>
      </c>
      <c r="G453" s="3" t="str">
        <f t="shared" si="35"/>
        <v/>
      </c>
      <c r="H453" s="3" t="str">
        <f t="shared" si="36"/>
        <v/>
      </c>
      <c r="I453" s="3" t="str">
        <f t="shared" si="37"/>
        <v/>
      </c>
      <c r="J453" t="str">
        <f t="shared" si="38"/>
        <v>(999,99,'','','','',),</v>
      </c>
    </row>
    <row r="454" spans="1:10">
      <c r="A454">
        <v>99</v>
      </c>
      <c r="G454" s="3" t="str">
        <f t="shared" si="35"/>
        <v/>
      </c>
      <c r="H454" s="3" t="str">
        <f t="shared" si="36"/>
        <v/>
      </c>
      <c r="I454" s="3" t="str">
        <f t="shared" si="37"/>
        <v/>
      </c>
      <c r="J454" t="str">
        <f t="shared" si="38"/>
        <v>(999,99,'','','','',),</v>
      </c>
    </row>
    <row r="455" spans="1:10">
      <c r="A455">
        <v>99</v>
      </c>
      <c r="G455" s="3" t="str">
        <f t="shared" si="35"/>
        <v/>
      </c>
      <c r="H455" s="3" t="str">
        <f t="shared" si="36"/>
        <v/>
      </c>
      <c r="I455" s="3" t="str">
        <f t="shared" si="37"/>
        <v/>
      </c>
      <c r="J455" t="str">
        <f t="shared" si="38"/>
        <v>(999,99,'','','','',),</v>
      </c>
    </row>
    <row r="456" spans="1:10">
      <c r="A456">
        <v>99</v>
      </c>
      <c r="G456" s="3" t="str">
        <f t="shared" si="35"/>
        <v/>
      </c>
      <c r="H456" s="3" t="str">
        <f t="shared" si="36"/>
        <v/>
      </c>
      <c r="I456" s="3" t="str">
        <f t="shared" si="37"/>
        <v/>
      </c>
      <c r="J456" t="str">
        <f t="shared" si="38"/>
        <v>(999,99,'','','','',),</v>
      </c>
    </row>
    <row r="457" spans="1:10">
      <c r="A457">
        <v>99</v>
      </c>
      <c r="G457" s="3" t="str">
        <f t="shared" si="35"/>
        <v/>
      </c>
      <c r="H457" s="3" t="str">
        <f t="shared" si="36"/>
        <v/>
      </c>
      <c r="I457" s="3" t="str">
        <f t="shared" si="37"/>
        <v/>
      </c>
      <c r="J457" t="str">
        <f t="shared" si="38"/>
        <v>(999,99,'','','','',),</v>
      </c>
    </row>
    <row r="458" spans="1:10">
      <c r="A458">
        <v>99</v>
      </c>
      <c r="G458" s="3" t="str">
        <f t="shared" si="35"/>
        <v/>
      </c>
      <c r="H458" s="3" t="str">
        <f t="shared" si="36"/>
        <v/>
      </c>
      <c r="I458" s="3" t="str">
        <f t="shared" si="37"/>
        <v/>
      </c>
      <c r="J458" t="str">
        <f t="shared" si="38"/>
        <v>(999,99,'','','','',),</v>
      </c>
    </row>
    <row r="459" spans="1:10">
      <c r="A459">
        <v>99</v>
      </c>
      <c r="G459" s="3" t="str">
        <f t="shared" si="35"/>
        <v/>
      </c>
      <c r="H459" s="3" t="str">
        <f t="shared" si="36"/>
        <v/>
      </c>
      <c r="I459" s="3" t="str">
        <f t="shared" si="37"/>
        <v/>
      </c>
      <c r="J459" t="str">
        <f t="shared" si="38"/>
        <v>(999,99,'','','','',),</v>
      </c>
    </row>
    <row r="460" spans="1:10">
      <c r="A460">
        <v>99</v>
      </c>
      <c r="G460" s="3" t="str">
        <f t="shared" si="35"/>
        <v/>
      </c>
      <c r="H460" s="3" t="str">
        <f t="shared" si="36"/>
        <v/>
      </c>
      <c r="I460" s="3" t="str">
        <f t="shared" si="37"/>
        <v/>
      </c>
      <c r="J460" t="str">
        <f t="shared" si="38"/>
        <v>(999,99,'','','','',),</v>
      </c>
    </row>
    <row r="461" spans="1:10">
      <c r="A461">
        <v>99</v>
      </c>
      <c r="G461" s="3" t="str">
        <f t="shared" si="35"/>
        <v/>
      </c>
      <c r="H461" s="3" t="str">
        <f t="shared" si="36"/>
        <v/>
      </c>
      <c r="I461" s="3" t="str">
        <f t="shared" si="37"/>
        <v/>
      </c>
      <c r="J461" t="str">
        <f t="shared" si="38"/>
        <v>(999,99,'','','','',),</v>
      </c>
    </row>
    <row r="462" spans="1:10">
      <c r="A462">
        <v>99</v>
      </c>
      <c r="G462" s="3" t="str">
        <f t="shared" si="35"/>
        <v/>
      </c>
      <c r="H462" s="3" t="str">
        <f t="shared" si="36"/>
        <v/>
      </c>
      <c r="I462" s="3" t="str">
        <f t="shared" si="37"/>
        <v/>
      </c>
      <c r="J462" t="str">
        <f t="shared" si="38"/>
        <v>(999,99,'','','','',),</v>
      </c>
    </row>
    <row r="463" spans="1:10">
      <c r="A463">
        <v>99</v>
      </c>
      <c r="G463" s="3" t="str">
        <f t="shared" si="35"/>
        <v/>
      </c>
      <c r="H463" s="3" t="str">
        <f t="shared" si="36"/>
        <v/>
      </c>
      <c r="I463" s="3" t="str">
        <f t="shared" si="37"/>
        <v/>
      </c>
      <c r="J463" t="str">
        <f t="shared" si="38"/>
        <v>(999,99,'','','','',),</v>
      </c>
    </row>
    <row r="464" spans="1:10">
      <c r="A464">
        <v>99</v>
      </c>
      <c r="G464" s="3" t="str">
        <f t="shared" si="35"/>
        <v/>
      </c>
      <c r="H464" s="3" t="str">
        <f t="shared" si="36"/>
        <v/>
      </c>
      <c r="I464" s="3" t="str">
        <f t="shared" si="37"/>
        <v/>
      </c>
      <c r="J464" t="str">
        <f t="shared" si="38"/>
        <v>(999,99,'','','','',),</v>
      </c>
    </row>
    <row r="465" spans="1:10">
      <c r="A465">
        <v>99</v>
      </c>
      <c r="G465" s="3" t="str">
        <f t="shared" si="35"/>
        <v/>
      </c>
      <c r="H465" s="3" t="str">
        <f t="shared" si="36"/>
        <v/>
      </c>
      <c r="I465" s="3" t="str">
        <f t="shared" si="37"/>
        <v/>
      </c>
      <c r="J465" t="str">
        <f t="shared" si="38"/>
        <v>(999,99,'','','','',),</v>
      </c>
    </row>
    <row r="466" spans="1:10">
      <c r="A466">
        <v>99</v>
      </c>
      <c r="G466" s="3" t="str">
        <f t="shared" si="35"/>
        <v/>
      </c>
      <c r="H466" s="3" t="str">
        <f t="shared" si="36"/>
        <v/>
      </c>
      <c r="I466" s="3" t="str">
        <f t="shared" si="37"/>
        <v/>
      </c>
      <c r="J466" t="str">
        <f t="shared" si="38"/>
        <v>(999,99,'','','','',),</v>
      </c>
    </row>
    <row r="467" spans="1:10">
      <c r="A467">
        <v>99</v>
      </c>
      <c r="G467" s="3" t="str">
        <f t="shared" si="35"/>
        <v/>
      </c>
      <c r="H467" s="3" t="str">
        <f t="shared" si="36"/>
        <v/>
      </c>
      <c r="I467" s="3" t="str">
        <f t="shared" si="37"/>
        <v/>
      </c>
      <c r="J467" t="str">
        <f t="shared" si="38"/>
        <v>(999,99,'','','','',),</v>
      </c>
    </row>
    <row r="468" spans="1:10">
      <c r="A468">
        <v>99</v>
      </c>
      <c r="G468" s="3" t="str">
        <f t="shared" si="35"/>
        <v/>
      </c>
      <c r="H468" s="3" t="str">
        <f t="shared" si="36"/>
        <v/>
      </c>
      <c r="I468" s="3" t="str">
        <f t="shared" si="37"/>
        <v/>
      </c>
      <c r="J468" t="str">
        <f t="shared" si="38"/>
        <v>(999,99,'','','','',),</v>
      </c>
    </row>
    <row r="469" spans="1:10">
      <c r="A469">
        <v>99</v>
      </c>
      <c r="G469" s="3" t="str">
        <f t="shared" si="35"/>
        <v/>
      </c>
      <c r="H469" s="3" t="str">
        <f t="shared" si="36"/>
        <v/>
      </c>
      <c r="I469" s="3" t="str">
        <f t="shared" si="37"/>
        <v/>
      </c>
      <c r="J469" t="str">
        <f t="shared" si="38"/>
        <v>(999,99,'','','','',),</v>
      </c>
    </row>
    <row r="470" spans="1:10">
      <c r="A470">
        <v>99</v>
      </c>
      <c r="G470" s="3" t="str">
        <f t="shared" si="35"/>
        <v/>
      </c>
      <c r="H470" s="3" t="str">
        <f t="shared" si="36"/>
        <v/>
      </c>
      <c r="I470" s="3" t="str">
        <f t="shared" si="37"/>
        <v/>
      </c>
      <c r="J470" t="str">
        <f t="shared" si="38"/>
        <v>(999,99,'','','','',),</v>
      </c>
    </row>
    <row r="471" spans="1:10">
      <c r="A471">
        <v>99</v>
      </c>
      <c r="G471" s="3" t="str">
        <f t="shared" si="35"/>
        <v/>
      </c>
      <c r="H471" s="3" t="str">
        <f t="shared" si="36"/>
        <v/>
      </c>
      <c r="I471" s="3" t="str">
        <f t="shared" si="37"/>
        <v/>
      </c>
      <c r="J471" t="str">
        <f t="shared" si="38"/>
        <v>(999,99,'','','','',),</v>
      </c>
    </row>
    <row r="472" spans="1:10">
      <c r="A472">
        <v>99</v>
      </c>
      <c r="G472" s="3" t="str">
        <f t="shared" si="35"/>
        <v/>
      </c>
      <c r="H472" s="3" t="str">
        <f t="shared" si="36"/>
        <v/>
      </c>
      <c r="I472" s="3" t="str">
        <f t="shared" si="37"/>
        <v/>
      </c>
      <c r="J472" t="str">
        <f t="shared" si="38"/>
        <v>(999,99,'','','','',),</v>
      </c>
    </row>
    <row r="473" spans="1:10">
      <c r="A473">
        <v>99</v>
      </c>
      <c r="G473" s="3" t="str">
        <f t="shared" ref="G473:G536" si="39">IF( IFERROR(FIND("A.",C473), 0) &gt; 0, TRIM(MID( C473, SEARCH("A.", C473)+2, 100)),TRIM(C473))</f>
        <v/>
      </c>
      <c r="H473" s="3" t="str">
        <f t="shared" ref="H473:H536" si="40">IF( IFERROR(FIND("B.",D473), 0) &gt; 0, TRIM(MID( D473, SEARCH("B.", D473)+2, 100)),TRIM(D473))</f>
        <v/>
      </c>
      <c r="I473" s="3" t="str">
        <f t="shared" ref="I473:I536" si="41">IF( IFERROR(FIND("C.",E473), 0) &gt; 0, TRIM(MID( E473, SEARCH("C.", E473)+2, 100)),TRIM(E473))</f>
        <v/>
      </c>
      <c r="J473" t="str">
        <f t="shared" ref="J473:J536" si="42">"("&amp;$B$2&amp;","&amp;A473&amp;",'"&amp;B473&amp;"','"&amp;G473&amp;"','"&amp;H473&amp;"','"&amp;I473&amp;"',"&amp;F473&amp;"),"</f>
        <v>(999,99,'','','','',),</v>
      </c>
    </row>
    <row r="474" spans="1:10">
      <c r="A474">
        <v>99</v>
      </c>
      <c r="G474" s="3" t="str">
        <f t="shared" si="39"/>
        <v/>
      </c>
      <c r="H474" s="3" t="str">
        <f t="shared" si="40"/>
        <v/>
      </c>
      <c r="I474" s="3" t="str">
        <f t="shared" si="41"/>
        <v/>
      </c>
      <c r="J474" t="str">
        <f t="shared" si="42"/>
        <v>(999,99,'','','','',),</v>
      </c>
    </row>
    <row r="475" spans="1:10">
      <c r="A475">
        <v>99</v>
      </c>
      <c r="G475" s="3" t="str">
        <f t="shared" si="39"/>
        <v/>
      </c>
      <c r="H475" s="3" t="str">
        <f t="shared" si="40"/>
        <v/>
      </c>
      <c r="I475" s="3" t="str">
        <f t="shared" si="41"/>
        <v/>
      </c>
      <c r="J475" t="str">
        <f t="shared" si="42"/>
        <v>(999,99,'','','','',),</v>
      </c>
    </row>
    <row r="476" spans="1:10">
      <c r="A476">
        <v>99</v>
      </c>
      <c r="G476" s="3" t="str">
        <f t="shared" si="39"/>
        <v/>
      </c>
      <c r="H476" s="3" t="str">
        <f t="shared" si="40"/>
        <v/>
      </c>
      <c r="I476" s="3" t="str">
        <f t="shared" si="41"/>
        <v/>
      </c>
      <c r="J476" t="str">
        <f t="shared" si="42"/>
        <v>(999,99,'','','','',),</v>
      </c>
    </row>
    <row r="477" spans="1:10">
      <c r="A477">
        <v>99</v>
      </c>
      <c r="G477" s="3" t="str">
        <f t="shared" si="39"/>
        <v/>
      </c>
      <c r="H477" s="3" t="str">
        <f t="shared" si="40"/>
        <v/>
      </c>
      <c r="I477" s="3" t="str">
        <f t="shared" si="41"/>
        <v/>
      </c>
      <c r="J477" t="str">
        <f t="shared" si="42"/>
        <v>(999,99,'','','','',),</v>
      </c>
    </row>
    <row r="478" spans="1:10">
      <c r="A478">
        <v>99</v>
      </c>
      <c r="G478" s="3" t="str">
        <f t="shared" si="39"/>
        <v/>
      </c>
      <c r="H478" s="3" t="str">
        <f t="shared" si="40"/>
        <v/>
      </c>
      <c r="I478" s="3" t="str">
        <f t="shared" si="41"/>
        <v/>
      </c>
      <c r="J478" t="str">
        <f t="shared" si="42"/>
        <v>(999,99,'','','','',),</v>
      </c>
    </row>
    <row r="479" spans="1:10">
      <c r="A479">
        <v>99</v>
      </c>
      <c r="G479" s="3" t="str">
        <f t="shared" si="39"/>
        <v/>
      </c>
      <c r="H479" s="3" t="str">
        <f t="shared" si="40"/>
        <v/>
      </c>
      <c r="I479" s="3" t="str">
        <f t="shared" si="41"/>
        <v/>
      </c>
      <c r="J479" t="str">
        <f t="shared" si="42"/>
        <v>(999,99,'','','','',),</v>
      </c>
    </row>
    <row r="480" spans="1:10">
      <c r="A480">
        <v>99</v>
      </c>
      <c r="G480" s="3" t="str">
        <f t="shared" si="39"/>
        <v/>
      </c>
      <c r="H480" s="3" t="str">
        <f t="shared" si="40"/>
        <v/>
      </c>
      <c r="I480" s="3" t="str">
        <f t="shared" si="41"/>
        <v/>
      </c>
      <c r="J480" t="str">
        <f t="shared" si="42"/>
        <v>(999,99,'','','','',),</v>
      </c>
    </row>
    <row r="481" spans="1:10">
      <c r="A481">
        <v>99</v>
      </c>
      <c r="G481" s="3" t="str">
        <f t="shared" si="39"/>
        <v/>
      </c>
      <c r="H481" s="3" t="str">
        <f t="shared" si="40"/>
        <v/>
      </c>
      <c r="I481" s="3" t="str">
        <f t="shared" si="41"/>
        <v/>
      </c>
      <c r="J481" t="str">
        <f t="shared" si="42"/>
        <v>(999,99,'','','','',),</v>
      </c>
    </row>
    <row r="482" spans="1:10">
      <c r="A482">
        <v>99</v>
      </c>
      <c r="G482" s="3" t="str">
        <f t="shared" si="39"/>
        <v/>
      </c>
      <c r="H482" s="3" t="str">
        <f t="shared" si="40"/>
        <v/>
      </c>
      <c r="I482" s="3" t="str">
        <f t="shared" si="41"/>
        <v/>
      </c>
      <c r="J482" t="str">
        <f t="shared" si="42"/>
        <v>(999,99,'','','','',),</v>
      </c>
    </row>
    <row r="483" spans="1:10">
      <c r="A483">
        <v>99</v>
      </c>
      <c r="G483" s="3" t="str">
        <f t="shared" si="39"/>
        <v/>
      </c>
      <c r="H483" s="3" t="str">
        <f t="shared" si="40"/>
        <v/>
      </c>
      <c r="I483" s="3" t="str">
        <f t="shared" si="41"/>
        <v/>
      </c>
      <c r="J483" t="str">
        <f t="shared" si="42"/>
        <v>(999,99,'','','','',),</v>
      </c>
    </row>
    <row r="484" spans="1:10">
      <c r="A484">
        <v>99</v>
      </c>
      <c r="G484" s="3" t="str">
        <f t="shared" si="39"/>
        <v/>
      </c>
      <c r="H484" s="3" t="str">
        <f t="shared" si="40"/>
        <v/>
      </c>
      <c r="I484" s="3" t="str">
        <f t="shared" si="41"/>
        <v/>
      </c>
      <c r="J484" t="str">
        <f t="shared" si="42"/>
        <v>(999,99,'','','','',),</v>
      </c>
    </row>
    <row r="485" spans="1:10">
      <c r="A485">
        <v>99</v>
      </c>
      <c r="G485" s="3" t="str">
        <f t="shared" si="39"/>
        <v/>
      </c>
      <c r="H485" s="3" t="str">
        <f t="shared" si="40"/>
        <v/>
      </c>
      <c r="I485" s="3" t="str">
        <f t="shared" si="41"/>
        <v/>
      </c>
      <c r="J485" t="str">
        <f t="shared" si="42"/>
        <v>(999,99,'','','','',),</v>
      </c>
    </row>
    <row r="486" spans="1:10">
      <c r="A486">
        <v>99</v>
      </c>
      <c r="G486" s="3" t="str">
        <f t="shared" si="39"/>
        <v/>
      </c>
      <c r="H486" s="3" t="str">
        <f t="shared" si="40"/>
        <v/>
      </c>
      <c r="I486" s="3" t="str">
        <f t="shared" si="41"/>
        <v/>
      </c>
      <c r="J486" t="str">
        <f t="shared" si="42"/>
        <v>(999,99,'','','','',),</v>
      </c>
    </row>
    <row r="487" spans="1:10">
      <c r="A487">
        <v>99</v>
      </c>
      <c r="G487" s="3" t="str">
        <f t="shared" si="39"/>
        <v/>
      </c>
      <c r="H487" s="3" t="str">
        <f t="shared" si="40"/>
        <v/>
      </c>
      <c r="I487" s="3" t="str">
        <f t="shared" si="41"/>
        <v/>
      </c>
      <c r="J487" t="str">
        <f t="shared" si="42"/>
        <v>(999,99,'','','','',),</v>
      </c>
    </row>
    <row r="488" spans="1:10">
      <c r="A488">
        <v>99</v>
      </c>
      <c r="G488" s="3" t="str">
        <f t="shared" si="39"/>
        <v/>
      </c>
      <c r="H488" s="3" t="str">
        <f t="shared" si="40"/>
        <v/>
      </c>
      <c r="I488" s="3" t="str">
        <f t="shared" si="41"/>
        <v/>
      </c>
      <c r="J488" t="str">
        <f t="shared" si="42"/>
        <v>(999,99,'','','','',),</v>
      </c>
    </row>
    <row r="489" spans="1:10">
      <c r="A489">
        <v>99</v>
      </c>
      <c r="G489" s="3" t="str">
        <f t="shared" si="39"/>
        <v/>
      </c>
      <c r="H489" s="3" t="str">
        <f t="shared" si="40"/>
        <v/>
      </c>
      <c r="I489" s="3" t="str">
        <f t="shared" si="41"/>
        <v/>
      </c>
      <c r="J489" t="str">
        <f t="shared" si="42"/>
        <v>(999,99,'','','','',),</v>
      </c>
    </row>
    <row r="490" spans="1:10">
      <c r="A490">
        <v>99</v>
      </c>
      <c r="G490" s="3" t="str">
        <f t="shared" si="39"/>
        <v/>
      </c>
      <c r="H490" s="3" t="str">
        <f t="shared" si="40"/>
        <v/>
      </c>
      <c r="I490" s="3" t="str">
        <f t="shared" si="41"/>
        <v/>
      </c>
      <c r="J490" t="str">
        <f t="shared" si="42"/>
        <v>(999,99,'','','','',),</v>
      </c>
    </row>
    <row r="491" spans="1:10">
      <c r="A491">
        <v>99</v>
      </c>
      <c r="G491" s="3" t="str">
        <f t="shared" si="39"/>
        <v/>
      </c>
      <c r="H491" s="3" t="str">
        <f t="shared" si="40"/>
        <v/>
      </c>
      <c r="I491" s="3" t="str">
        <f t="shared" si="41"/>
        <v/>
      </c>
      <c r="J491" t="str">
        <f t="shared" si="42"/>
        <v>(999,99,'','','','',),</v>
      </c>
    </row>
    <row r="492" spans="1:10">
      <c r="A492">
        <v>99</v>
      </c>
      <c r="G492" s="3" t="str">
        <f t="shared" si="39"/>
        <v/>
      </c>
      <c r="H492" s="3" t="str">
        <f t="shared" si="40"/>
        <v/>
      </c>
      <c r="I492" s="3" t="str">
        <f t="shared" si="41"/>
        <v/>
      </c>
      <c r="J492" t="str">
        <f t="shared" si="42"/>
        <v>(999,99,'','','','',),</v>
      </c>
    </row>
    <row r="493" spans="1:10">
      <c r="A493">
        <v>99</v>
      </c>
      <c r="G493" s="3" t="str">
        <f t="shared" si="39"/>
        <v/>
      </c>
      <c r="H493" s="3" t="str">
        <f t="shared" si="40"/>
        <v/>
      </c>
      <c r="I493" s="3" t="str">
        <f t="shared" si="41"/>
        <v/>
      </c>
      <c r="J493" t="str">
        <f t="shared" si="42"/>
        <v>(999,99,'','','','',),</v>
      </c>
    </row>
    <row r="494" spans="1:10">
      <c r="A494">
        <v>99</v>
      </c>
      <c r="G494" s="3" t="str">
        <f t="shared" si="39"/>
        <v/>
      </c>
      <c r="H494" s="3" t="str">
        <f t="shared" si="40"/>
        <v/>
      </c>
      <c r="I494" s="3" t="str">
        <f t="shared" si="41"/>
        <v/>
      </c>
      <c r="J494" t="str">
        <f t="shared" si="42"/>
        <v>(999,99,'','','','',),</v>
      </c>
    </row>
    <row r="495" spans="1:10">
      <c r="A495">
        <v>99</v>
      </c>
      <c r="G495" s="3" t="str">
        <f t="shared" si="39"/>
        <v/>
      </c>
      <c r="H495" s="3" t="str">
        <f t="shared" si="40"/>
        <v/>
      </c>
      <c r="I495" s="3" t="str">
        <f t="shared" si="41"/>
        <v/>
      </c>
      <c r="J495" t="str">
        <f t="shared" si="42"/>
        <v>(999,99,'','','','',),</v>
      </c>
    </row>
    <row r="496" spans="1:10">
      <c r="A496">
        <v>99</v>
      </c>
      <c r="G496" s="3" t="str">
        <f t="shared" si="39"/>
        <v/>
      </c>
      <c r="H496" s="3" t="str">
        <f t="shared" si="40"/>
        <v/>
      </c>
      <c r="I496" s="3" t="str">
        <f t="shared" si="41"/>
        <v/>
      </c>
      <c r="J496" t="str">
        <f t="shared" si="42"/>
        <v>(999,99,'','','','',),</v>
      </c>
    </row>
    <row r="497" spans="1:10">
      <c r="A497">
        <v>99</v>
      </c>
      <c r="G497" s="3" t="str">
        <f t="shared" si="39"/>
        <v/>
      </c>
      <c r="H497" s="3" t="str">
        <f t="shared" si="40"/>
        <v/>
      </c>
      <c r="I497" s="3" t="str">
        <f t="shared" si="41"/>
        <v/>
      </c>
      <c r="J497" t="str">
        <f t="shared" si="42"/>
        <v>(999,99,'','','','',),</v>
      </c>
    </row>
    <row r="498" spans="1:10">
      <c r="A498">
        <v>99</v>
      </c>
      <c r="G498" s="3" t="str">
        <f t="shared" si="39"/>
        <v/>
      </c>
      <c r="H498" s="3" t="str">
        <f t="shared" si="40"/>
        <v/>
      </c>
      <c r="I498" s="3" t="str">
        <f t="shared" si="41"/>
        <v/>
      </c>
      <c r="J498" t="str">
        <f t="shared" si="42"/>
        <v>(999,99,'','','','',),</v>
      </c>
    </row>
    <row r="499" spans="1:10">
      <c r="A499">
        <v>99</v>
      </c>
      <c r="G499" s="3" t="str">
        <f t="shared" si="39"/>
        <v/>
      </c>
      <c r="H499" s="3" t="str">
        <f t="shared" si="40"/>
        <v/>
      </c>
      <c r="I499" s="3" t="str">
        <f t="shared" si="41"/>
        <v/>
      </c>
      <c r="J499" t="str">
        <f t="shared" si="42"/>
        <v>(999,99,'','','','',),</v>
      </c>
    </row>
    <row r="500" spans="1:10">
      <c r="A500">
        <v>99</v>
      </c>
      <c r="G500" s="3" t="str">
        <f t="shared" si="39"/>
        <v/>
      </c>
      <c r="H500" s="3" t="str">
        <f t="shared" si="40"/>
        <v/>
      </c>
      <c r="I500" s="3" t="str">
        <f t="shared" si="41"/>
        <v/>
      </c>
      <c r="J500" t="str">
        <f t="shared" si="42"/>
        <v>(999,99,'','','','',),</v>
      </c>
    </row>
    <row r="501" spans="1:10">
      <c r="A501">
        <v>99</v>
      </c>
      <c r="G501" s="3" t="str">
        <f t="shared" si="39"/>
        <v/>
      </c>
      <c r="H501" s="3" t="str">
        <f t="shared" si="40"/>
        <v/>
      </c>
      <c r="I501" s="3" t="str">
        <f t="shared" si="41"/>
        <v/>
      </c>
      <c r="J501" t="str">
        <f t="shared" si="42"/>
        <v>(999,99,'','','','',),</v>
      </c>
    </row>
    <row r="502" spans="1:10">
      <c r="A502">
        <v>99</v>
      </c>
      <c r="G502" s="3" t="str">
        <f t="shared" si="39"/>
        <v/>
      </c>
      <c r="H502" s="3" t="str">
        <f t="shared" si="40"/>
        <v/>
      </c>
      <c r="I502" s="3" t="str">
        <f t="shared" si="41"/>
        <v/>
      </c>
      <c r="J502" t="str">
        <f t="shared" si="42"/>
        <v>(999,99,'','','','',),</v>
      </c>
    </row>
    <row r="503" spans="1:10">
      <c r="A503">
        <v>99</v>
      </c>
      <c r="G503" s="3" t="str">
        <f t="shared" si="39"/>
        <v/>
      </c>
      <c r="H503" s="3" t="str">
        <f t="shared" si="40"/>
        <v/>
      </c>
      <c r="I503" s="3" t="str">
        <f t="shared" si="41"/>
        <v/>
      </c>
      <c r="J503" t="str">
        <f t="shared" si="42"/>
        <v>(999,99,'','','','',),</v>
      </c>
    </row>
    <row r="504" spans="1:10">
      <c r="A504">
        <v>99</v>
      </c>
      <c r="G504" s="3" t="str">
        <f t="shared" si="39"/>
        <v/>
      </c>
      <c r="H504" s="3" t="str">
        <f t="shared" si="40"/>
        <v/>
      </c>
      <c r="I504" s="3" t="str">
        <f t="shared" si="41"/>
        <v/>
      </c>
      <c r="J504" t="str">
        <f t="shared" si="42"/>
        <v>(999,99,'','','','',),</v>
      </c>
    </row>
    <row r="505" spans="1:10">
      <c r="A505">
        <v>99</v>
      </c>
      <c r="G505" s="3" t="str">
        <f t="shared" si="39"/>
        <v/>
      </c>
      <c r="H505" s="3" t="str">
        <f t="shared" si="40"/>
        <v/>
      </c>
      <c r="I505" s="3" t="str">
        <f t="shared" si="41"/>
        <v/>
      </c>
      <c r="J505" t="str">
        <f t="shared" si="42"/>
        <v>(999,99,'','','','',),</v>
      </c>
    </row>
    <row r="506" spans="1:10">
      <c r="A506">
        <v>99</v>
      </c>
      <c r="G506" s="3" t="str">
        <f t="shared" si="39"/>
        <v/>
      </c>
      <c r="H506" s="3" t="str">
        <f t="shared" si="40"/>
        <v/>
      </c>
      <c r="I506" s="3" t="str">
        <f t="shared" si="41"/>
        <v/>
      </c>
      <c r="J506" t="str">
        <f t="shared" si="42"/>
        <v>(999,99,'','','','',),</v>
      </c>
    </row>
    <row r="507" spans="1:10">
      <c r="A507">
        <v>99</v>
      </c>
      <c r="G507" s="3" t="str">
        <f t="shared" si="39"/>
        <v/>
      </c>
      <c r="H507" s="3" t="str">
        <f t="shared" si="40"/>
        <v/>
      </c>
      <c r="I507" s="3" t="str">
        <f t="shared" si="41"/>
        <v/>
      </c>
      <c r="J507" t="str">
        <f t="shared" si="42"/>
        <v>(999,99,'','','','',),</v>
      </c>
    </row>
    <row r="508" spans="1:10">
      <c r="A508">
        <v>99</v>
      </c>
      <c r="G508" s="3" t="str">
        <f t="shared" si="39"/>
        <v/>
      </c>
      <c r="H508" s="3" t="str">
        <f t="shared" si="40"/>
        <v/>
      </c>
      <c r="I508" s="3" t="str">
        <f t="shared" si="41"/>
        <v/>
      </c>
      <c r="J508" t="str">
        <f t="shared" si="42"/>
        <v>(999,99,'','','','',),</v>
      </c>
    </row>
    <row r="509" spans="1:10">
      <c r="A509">
        <v>99</v>
      </c>
      <c r="G509" s="3" t="str">
        <f t="shared" si="39"/>
        <v/>
      </c>
      <c r="H509" s="3" t="str">
        <f t="shared" si="40"/>
        <v/>
      </c>
      <c r="I509" s="3" t="str">
        <f t="shared" si="41"/>
        <v/>
      </c>
      <c r="J509" t="str">
        <f t="shared" si="42"/>
        <v>(999,99,'','','','',),</v>
      </c>
    </row>
    <row r="510" spans="1:10">
      <c r="A510">
        <v>99</v>
      </c>
      <c r="G510" s="3" t="str">
        <f t="shared" si="39"/>
        <v/>
      </c>
      <c r="H510" s="3" t="str">
        <f t="shared" si="40"/>
        <v/>
      </c>
      <c r="I510" s="3" t="str">
        <f t="shared" si="41"/>
        <v/>
      </c>
      <c r="J510" t="str">
        <f t="shared" si="42"/>
        <v>(999,99,'','','','',),</v>
      </c>
    </row>
    <row r="511" spans="1:10">
      <c r="A511">
        <v>99</v>
      </c>
      <c r="G511" s="3" t="str">
        <f t="shared" si="39"/>
        <v/>
      </c>
      <c r="H511" s="3" t="str">
        <f t="shared" si="40"/>
        <v/>
      </c>
      <c r="I511" s="3" t="str">
        <f t="shared" si="41"/>
        <v/>
      </c>
      <c r="J511" t="str">
        <f t="shared" si="42"/>
        <v>(999,99,'','','','',),</v>
      </c>
    </row>
    <row r="512" spans="1:10">
      <c r="A512">
        <v>99</v>
      </c>
      <c r="G512" s="3" t="str">
        <f t="shared" si="39"/>
        <v/>
      </c>
      <c r="H512" s="3" t="str">
        <f t="shared" si="40"/>
        <v/>
      </c>
      <c r="I512" s="3" t="str">
        <f t="shared" si="41"/>
        <v/>
      </c>
      <c r="J512" t="str">
        <f t="shared" si="42"/>
        <v>(999,99,'','','','',),</v>
      </c>
    </row>
    <row r="513" spans="1:10">
      <c r="A513">
        <v>99</v>
      </c>
      <c r="G513" s="3" t="str">
        <f t="shared" si="39"/>
        <v/>
      </c>
      <c r="H513" s="3" t="str">
        <f t="shared" si="40"/>
        <v/>
      </c>
      <c r="I513" s="3" t="str">
        <f t="shared" si="41"/>
        <v/>
      </c>
      <c r="J513" t="str">
        <f t="shared" si="42"/>
        <v>(999,99,'','','','',),</v>
      </c>
    </row>
    <row r="514" spans="1:10">
      <c r="A514">
        <v>99</v>
      </c>
      <c r="G514" s="3" t="str">
        <f t="shared" si="39"/>
        <v/>
      </c>
      <c r="H514" s="3" t="str">
        <f t="shared" si="40"/>
        <v/>
      </c>
      <c r="I514" s="3" t="str">
        <f t="shared" si="41"/>
        <v/>
      </c>
      <c r="J514" t="str">
        <f t="shared" si="42"/>
        <v>(999,99,'','','','',),</v>
      </c>
    </row>
    <row r="515" spans="1:10">
      <c r="A515">
        <v>99</v>
      </c>
      <c r="G515" s="3" t="str">
        <f t="shared" si="39"/>
        <v/>
      </c>
      <c r="H515" s="3" t="str">
        <f t="shared" si="40"/>
        <v/>
      </c>
      <c r="I515" s="3" t="str">
        <f t="shared" si="41"/>
        <v/>
      </c>
      <c r="J515" t="str">
        <f t="shared" si="42"/>
        <v>(999,99,'','','','',),</v>
      </c>
    </row>
    <row r="516" spans="1:10">
      <c r="A516">
        <v>99</v>
      </c>
      <c r="G516" s="3" t="str">
        <f t="shared" si="39"/>
        <v/>
      </c>
      <c r="H516" s="3" t="str">
        <f t="shared" si="40"/>
        <v/>
      </c>
      <c r="I516" s="3" t="str">
        <f t="shared" si="41"/>
        <v/>
      </c>
      <c r="J516" t="str">
        <f t="shared" si="42"/>
        <v>(999,99,'','','','',),</v>
      </c>
    </row>
    <row r="517" spans="1:10">
      <c r="A517">
        <v>99</v>
      </c>
      <c r="G517" s="3" t="str">
        <f t="shared" si="39"/>
        <v/>
      </c>
      <c r="H517" s="3" t="str">
        <f t="shared" si="40"/>
        <v/>
      </c>
      <c r="I517" s="3" t="str">
        <f t="shared" si="41"/>
        <v/>
      </c>
      <c r="J517" t="str">
        <f t="shared" si="42"/>
        <v>(999,99,'','','','',),</v>
      </c>
    </row>
    <row r="518" spans="1:10">
      <c r="A518">
        <v>99</v>
      </c>
      <c r="G518" s="3" t="str">
        <f t="shared" si="39"/>
        <v/>
      </c>
      <c r="H518" s="3" t="str">
        <f t="shared" si="40"/>
        <v/>
      </c>
      <c r="I518" s="3" t="str">
        <f t="shared" si="41"/>
        <v/>
      </c>
      <c r="J518" t="str">
        <f t="shared" si="42"/>
        <v>(999,99,'','','','',),</v>
      </c>
    </row>
    <row r="519" spans="1:10">
      <c r="A519">
        <v>99</v>
      </c>
      <c r="G519" s="3" t="str">
        <f t="shared" si="39"/>
        <v/>
      </c>
      <c r="H519" s="3" t="str">
        <f t="shared" si="40"/>
        <v/>
      </c>
      <c r="I519" s="3" t="str">
        <f t="shared" si="41"/>
        <v/>
      </c>
      <c r="J519" t="str">
        <f t="shared" si="42"/>
        <v>(999,99,'','','','',),</v>
      </c>
    </row>
    <row r="520" spans="1:10">
      <c r="A520">
        <v>99</v>
      </c>
      <c r="G520" s="3" t="str">
        <f t="shared" si="39"/>
        <v/>
      </c>
      <c r="H520" s="3" t="str">
        <f t="shared" si="40"/>
        <v/>
      </c>
      <c r="I520" s="3" t="str">
        <f t="shared" si="41"/>
        <v/>
      </c>
      <c r="J520" t="str">
        <f t="shared" si="42"/>
        <v>(999,99,'','','','',),</v>
      </c>
    </row>
    <row r="521" spans="1:10">
      <c r="A521">
        <v>99</v>
      </c>
      <c r="G521" s="3" t="str">
        <f t="shared" si="39"/>
        <v/>
      </c>
      <c r="H521" s="3" t="str">
        <f t="shared" si="40"/>
        <v/>
      </c>
      <c r="I521" s="3" t="str">
        <f t="shared" si="41"/>
        <v/>
      </c>
      <c r="J521" t="str">
        <f t="shared" si="42"/>
        <v>(999,99,'','','','',),</v>
      </c>
    </row>
    <row r="522" spans="1:10">
      <c r="A522">
        <v>99</v>
      </c>
      <c r="G522" s="3" t="str">
        <f t="shared" si="39"/>
        <v/>
      </c>
      <c r="H522" s="3" t="str">
        <f t="shared" si="40"/>
        <v/>
      </c>
      <c r="I522" s="3" t="str">
        <f t="shared" si="41"/>
        <v/>
      </c>
      <c r="J522" t="str">
        <f t="shared" si="42"/>
        <v>(999,99,'','','','',),</v>
      </c>
    </row>
    <row r="523" spans="1:10">
      <c r="A523">
        <v>99</v>
      </c>
      <c r="G523" s="3" t="str">
        <f t="shared" si="39"/>
        <v/>
      </c>
      <c r="H523" s="3" t="str">
        <f t="shared" si="40"/>
        <v/>
      </c>
      <c r="I523" s="3" t="str">
        <f t="shared" si="41"/>
        <v/>
      </c>
      <c r="J523" t="str">
        <f t="shared" si="42"/>
        <v>(999,99,'','','','',),</v>
      </c>
    </row>
    <row r="524" spans="1:10">
      <c r="A524">
        <v>99</v>
      </c>
      <c r="G524" s="3" t="str">
        <f t="shared" si="39"/>
        <v/>
      </c>
      <c r="H524" s="3" t="str">
        <f t="shared" si="40"/>
        <v/>
      </c>
      <c r="I524" s="3" t="str">
        <f t="shared" si="41"/>
        <v/>
      </c>
      <c r="J524" t="str">
        <f t="shared" si="42"/>
        <v>(999,99,'','','','',),</v>
      </c>
    </row>
    <row r="525" spans="1:10">
      <c r="A525">
        <v>99</v>
      </c>
      <c r="G525" s="3" t="str">
        <f t="shared" si="39"/>
        <v/>
      </c>
      <c r="H525" s="3" t="str">
        <f t="shared" si="40"/>
        <v/>
      </c>
      <c r="I525" s="3" t="str">
        <f t="shared" si="41"/>
        <v/>
      </c>
      <c r="J525" t="str">
        <f t="shared" si="42"/>
        <v>(999,99,'','','','',),</v>
      </c>
    </row>
    <row r="526" spans="1:10">
      <c r="A526">
        <v>99</v>
      </c>
      <c r="G526" s="3" t="str">
        <f t="shared" si="39"/>
        <v/>
      </c>
      <c r="H526" s="3" t="str">
        <f t="shared" si="40"/>
        <v/>
      </c>
      <c r="I526" s="3" t="str">
        <f t="shared" si="41"/>
        <v/>
      </c>
      <c r="J526" t="str">
        <f t="shared" si="42"/>
        <v>(999,99,'','','','',),</v>
      </c>
    </row>
    <row r="527" spans="1:10">
      <c r="A527">
        <v>99</v>
      </c>
      <c r="G527" s="3" t="str">
        <f t="shared" si="39"/>
        <v/>
      </c>
      <c r="H527" s="3" t="str">
        <f t="shared" si="40"/>
        <v/>
      </c>
      <c r="I527" s="3" t="str">
        <f t="shared" si="41"/>
        <v/>
      </c>
      <c r="J527" t="str">
        <f t="shared" si="42"/>
        <v>(999,99,'','','','',),</v>
      </c>
    </row>
    <row r="528" spans="1:10">
      <c r="A528">
        <v>99</v>
      </c>
      <c r="G528" s="3" t="str">
        <f t="shared" si="39"/>
        <v/>
      </c>
      <c r="H528" s="3" t="str">
        <f t="shared" si="40"/>
        <v/>
      </c>
      <c r="I528" s="3" t="str">
        <f t="shared" si="41"/>
        <v/>
      </c>
      <c r="J528" t="str">
        <f t="shared" si="42"/>
        <v>(999,99,'','','','',),</v>
      </c>
    </row>
    <row r="529" spans="1:10">
      <c r="A529">
        <v>99</v>
      </c>
      <c r="G529" s="3" t="str">
        <f t="shared" si="39"/>
        <v/>
      </c>
      <c r="H529" s="3" t="str">
        <f t="shared" si="40"/>
        <v/>
      </c>
      <c r="I529" s="3" t="str">
        <f t="shared" si="41"/>
        <v/>
      </c>
      <c r="J529" t="str">
        <f t="shared" si="42"/>
        <v>(999,99,'','','','',),</v>
      </c>
    </row>
    <row r="530" spans="1:10">
      <c r="A530">
        <v>99</v>
      </c>
      <c r="G530" s="3" t="str">
        <f t="shared" si="39"/>
        <v/>
      </c>
      <c r="H530" s="3" t="str">
        <f t="shared" si="40"/>
        <v/>
      </c>
      <c r="I530" s="3" t="str">
        <f t="shared" si="41"/>
        <v/>
      </c>
      <c r="J530" t="str">
        <f t="shared" si="42"/>
        <v>(999,99,'','','','',),</v>
      </c>
    </row>
    <row r="531" spans="1:10">
      <c r="A531">
        <v>99</v>
      </c>
      <c r="G531" s="3" t="str">
        <f t="shared" si="39"/>
        <v/>
      </c>
      <c r="H531" s="3" t="str">
        <f t="shared" si="40"/>
        <v/>
      </c>
      <c r="I531" s="3" t="str">
        <f t="shared" si="41"/>
        <v/>
      </c>
      <c r="J531" t="str">
        <f t="shared" si="42"/>
        <v>(999,99,'','','','',),</v>
      </c>
    </row>
    <row r="532" spans="1:10">
      <c r="A532">
        <v>99</v>
      </c>
      <c r="G532" s="3" t="str">
        <f t="shared" si="39"/>
        <v/>
      </c>
      <c r="H532" s="3" t="str">
        <f t="shared" si="40"/>
        <v/>
      </c>
      <c r="I532" s="3" t="str">
        <f t="shared" si="41"/>
        <v/>
      </c>
      <c r="J532" t="str">
        <f t="shared" si="42"/>
        <v>(999,99,'','','','',),</v>
      </c>
    </row>
    <row r="533" spans="1:10">
      <c r="A533">
        <v>99</v>
      </c>
      <c r="G533" s="3" t="str">
        <f t="shared" si="39"/>
        <v/>
      </c>
      <c r="H533" s="3" t="str">
        <f t="shared" si="40"/>
        <v/>
      </c>
      <c r="I533" s="3" t="str">
        <f t="shared" si="41"/>
        <v/>
      </c>
      <c r="J533" t="str">
        <f t="shared" si="42"/>
        <v>(999,99,'','','','',),</v>
      </c>
    </row>
    <row r="534" spans="1:10">
      <c r="A534">
        <v>99</v>
      </c>
      <c r="G534" s="3" t="str">
        <f t="shared" si="39"/>
        <v/>
      </c>
      <c r="H534" s="3" t="str">
        <f t="shared" si="40"/>
        <v/>
      </c>
      <c r="I534" s="3" t="str">
        <f t="shared" si="41"/>
        <v/>
      </c>
      <c r="J534" t="str">
        <f t="shared" si="42"/>
        <v>(999,99,'','','','',),</v>
      </c>
    </row>
    <row r="535" spans="1:10">
      <c r="A535">
        <v>99</v>
      </c>
      <c r="G535" s="3" t="str">
        <f t="shared" si="39"/>
        <v/>
      </c>
      <c r="H535" s="3" t="str">
        <f t="shared" si="40"/>
        <v/>
      </c>
      <c r="I535" s="3" t="str">
        <f t="shared" si="41"/>
        <v/>
      </c>
      <c r="J535" t="str">
        <f t="shared" si="42"/>
        <v>(999,99,'','','','',),</v>
      </c>
    </row>
    <row r="536" spans="1:10">
      <c r="A536">
        <v>99</v>
      </c>
      <c r="G536" s="3" t="str">
        <f t="shared" si="39"/>
        <v/>
      </c>
      <c r="H536" s="3" t="str">
        <f t="shared" si="40"/>
        <v/>
      </c>
      <c r="I536" s="3" t="str">
        <f t="shared" si="41"/>
        <v/>
      </c>
      <c r="J536" t="str">
        <f t="shared" si="42"/>
        <v>(999,99,'','','','',),</v>
      </c>
    </row>
    <row r="537" spans="1:10">
      <c r="A537">
        <v>99</v>
      </c>
      <c r="G537" s="3" t="str">
        <f t="shared" ref="G537:G586" si="43">IF( IFERROR(FIND("A.",C537), 0) &gt; 0, TRIM(MID( C537, SEARCH("A.", C537)+2, 100)),TRIM(C537))</f>
        <v/>
      </c>
      <c r="H537" s="3" t="str">
        <f t="shared" ref="H537:H586" si="44">IF( IFERROR(FIND("B.",D537), 0) &gt; 0, TRIM(MID( D537, SEARCH("B.", D537)+2, 100)),TRIM(D537))</f>
        <v/>
      </c>
      <c r="I537" s="3" t="str">
        <f t="shared" ref="I537:I586" si="45">IF( IFERROR(FIND("C.",E537), 0) &gt; 0, TRIM(MID( E537, SEARCH("C.", E537)+2, 100)),TRIM(E537))</f>
        <v/>
      </c>
      <c r="J537" t="str">
        <f t="shared" ref="J537:J586" si="46">"("&amp;$B$2&amp;","&amp;A537&amp;",'"&amp;B537&amp;"','"&amp;G537&amp;"','"&amp;H537&amp;"','"&amp;I537&amp;"',"&amp;F537&amp;"),"</f>
        <v>(999,99,'','','','',),</v>
      </c>
    </row>
    <row r="538" spans="1:10">
      <c r="A538">
        <v>99</v>
      </c>
      <c r="G538" s="3" t="str">
        <f t="shared" si="43"/>
        <v/>
      </c>
      <c r="H538" s="3" t="str">
        <f t="shared" si="44"/>
        <v/>
      </c>
      <c r="I538" s="3" t="str">
        <f t="shared" si="45"/>
        <v/>
      </c>
      <c r="J538" t="str">
        <f t="shared" si="46"/>
        <v>(999,99,'','','','',),</v>
      </c>
    </row>
    <row r="539" spans="1:10">
      <c r="A539">
        <v>99</v>
      </c>
      <c r="G539" s="3" t="str">
        <f t="shared" si="43"/>
        <v/>
      </c>
      <c r="H539" s="3" t="str">
        <f t="shared" si="44"/>
        <v/>
      </c>
      <c r="I539" s="3" t="str">
        <f t="shared" si="45"/>
        <v/>
      </c>
      <c r="J539" t="str">
        <f t="shared" si="46"/>
        <v>(999,99,'','','','',),</v>
      </c>
    </row>
    <row r="540" spans="1:10">
      <c r="A540">
        <v>99</v>
      </c>
      <c r="G540" s="3" t="str">
        <f t="shared" si="43"/>
        <v/>
      </c>
      <c r="H540" s="3" t="str">
        <f t="shared" si="44"/>
        <v/>
      </c>
      <c r="I540" s="3" t="str">
        <f t="shared" si="45"/>
        <v/>
      </c>
      <c r="J540" t="str">
        <f t="shared" si="46"/>
        <v>(999,99,'','','','',),</v>
      </c>
    </row>
    <row r="541" spans="1:10">
      <c r="A541">
        <v>99</v>
      </c>
      <c r="G541" s="3" t="str">
        <f t="shared" si="43"/>
        <v/>
      </c>
      <c r="H541" s="3" t="str">
        <f t="shared" si="44"/>
        <v/>
      </c>
      <c r="I541" s="3" t="str">
        <f t="shared" si="45"/>
        <v/>
      </c>
      <c r="J541" t="str">
        <f t="shared" si="46"/>
        <v>(999,99,'','','','',),</v>
      </c>
    </row>
    <row r="542" spans="1:10">
      <c r="A542">
        <v>99</v>
      </c>
      <c r="G542" s="3" t="str">
        <f t="shared" si="43"/>
        <v/>
      </c>
      <c r="H542" s="3" t="str">
        <f t="shared" si="44"/>
        <v/>
      </c>
      <c r="I542" s="3" t="str">
        <f t="shared" si="45"/>
        <v/>
      </c>
      <c r="J542" t="str">
        <f t="shared" si="46"/>
        <v>(999,99,'','','','',),</v>
      </c>
    </row>
    <row r="543" spans="1:10">
      <c r="A543">
        <v>99</v>
      </c>
      <c r="G543" s="3" t="str">
        <f t="shared" si="43"/>
        <v/>
      </c>
      <c r="H543" s="3" t="str">
        <f t="shared" si="44"/>
        <v/>
      </c>
      <c r="I543" s="3" t="str">
        <f t="shared" si="45"/>
        <v/>
      </c>
      <c r="J543" t="str">
        <f t="shared" si="46"/>
        <v>(999,99,'','','','',),</v>
      </c>
    </row>
    <row r="544" spans="1:10">
      <c r="A544">
        <v>99</v>
      </c>
      <c r="G544" s="3" t="str">
        <f t="shared" si="43"/>
        <v/>
      </c>
      <c r="H544" s="3" t="str">
        <f t="shared" si="44"/>
        <v/>
      </c>
      <c r="I544" s="3" t="str">
        <f t="shared" si="45"/>
        <v/>
      </c>
      <c r="J544" t="str">
        <f t="shared" si="46"/>
        <v>(999,99,'','','','',),</v>
      </c>
    </row>
    <row r="545" spans="1:10">
      <c r="A545">
        <v>99</v>
      </c>
      <c r="G545" s="3" t="str">
        <f t="shared" si="43"/>
        <v/>
      </c>
      <c r="H545" s="3" t="str">
        <f t="shared" si="44"/>
        <v/>
      </c>
      <c r="I545" s="3" t="str">
        <f t="shared" si="45"/>
        <v/>
      </c>
      <c r="J545" t="str">
        <f t="shared" si="46"/>
        <v>(999,99,'','','','',),</v>
      </c>
    </row>
    <row r="546" spans="1:10">
      <c r="A546">
        <v>99</v>
      </c>
      <c r="G546" s="3" t="str">
        <f t="shared" si="43"/>
        <v/>
      </c>
      <c r="H546" s="3" t="str">
        <f t="shared" si="44"/>
        <v/>
      </c>
      <c r="I546" s="3" t="str">
        <f t="shared" si="45"/>
        <v/>
      </c>
      <c r="J546" t="str">
        <f t="shared" si="46"/>
        <v>(999,99,'','','','',),</v>
      </c>
    </row>
    <row r="547" spans="1:10">
      <c r="A547">
        <v>99</v>
      </c>
      <c r="G547" s="3" t="str">
        <f t="shared" si="43"/>
        <v/>
      </c>
      <c r="H547" s="3" t="str">
        <f t="shared" si="44"/>
        <v/>
      </c>
      <c r="I547" s="3" t="str">
        <f t="shared" si="45"/>
        <v/>
      </c>
      <c r="J547" t="str">
        <f t="shared" si="46"/>
        <v>(999,99,'','','','',),</v>
      </c>
    </row>
    <row r="548" spans="1:10">
      <c r="A548">
        <v>99</v>
      </c>
      <c r="G548" s="3" t="str">
        <f t="shared" si="43"/>
        <v/>
      </c>
      <c r="H548" s="3" t="str">
        <f t="shared" si="44"/>
        <v/>
      </c>
      <c r="I548" s="3" t="str">
        <f t="shared" si="45"/>
        <v/>
      </c>
      <c r="J548" t="str">
        <f t="shared" si="46"/>
        <v>(999,99,'','','','',),</v>
      </c>
    </row>
    <row r="549" spans="1:10">
      <c r="A549">
        <v>99</v>
      </c>
      <c r="G549" s="3" t="str">
        <f t="shared" si="43"/>
        <v/>
      </c>
      <c r="H549" s="3" t="str">
        <f t="shared" si="44"/>
        <v/>
      </c>
      <c r="I549" s="3" t="str">
        <f t="shared" si="45"/>
        <v/>
      </c>
      <c r="J549" t="str">
        <f t="shared" si="46"/>
        <v>(999,99,'','','','',),</v>
      </c>
    </row>
    <row r="550" spans="1:10">
      <c r="A550">
        <v>99</v>
      </c>
      <c r="G550" s="3" t="str">
        <f t="shared" si="43"/>
        <v/>
      </c>
      <c r="H550" s="3" t="str">
        <f t="shared" si="44"/>
        <v/>
      </c>
      <c r="I550" s="3" t="str">
        <f t="shared" si="45"/>
        <v/>
      </c>
      <c r="J550" t="str">
        <f t="shared" si="46"/>
        <v>(999,99,'','','','',),</v>
      </c>
    </row>
    <row r="551" spans="1:10">
      <c r="A551">
        <v>99</v>
      </c>
      <c r="G551" s="3" t="str">
        <f t="shared" si="43"/>
        <v/>
      </c>
      <c r="H551" s="3" t="str">
        <f t="shared" si="44"/>
        <v/>
      </c>
      <c r="I551" s="3" t="str">
        <f t="shared" si="45"/>
        <v/>
      </c>
      <c r="J551" t="str">
        <f t="shared" si="46"/>
        <v>(999,99,'','','','',),</v>
      </c>
    </row>
    <row r="552" spans="1:10">
      <c r="A552">
        <v>99</v>
      </c>
      <c r="G552" s="3" t="str">
        <f t="shared" si="43"/>
        <v/>
      </c>
      <c r="H552" s="3" t="str">
        <f t="shared" si="44"/>
        <v/>
      </c>
      <c r="I552" s="3" t="str">
        <f t="shared" si="45"/>
        <v/>
      </c>
      <c r="J552" t="str">
        <f t="shared" si="46"/>
        <v>(999,99,'','','','',),</v>
      </c>
    </row>
    <row r="553" spans="1:10">
      <c r="A553">
        <v>99</v>
      </c>
      <c r="G553" s="3" t="str">
        <f t="shared" si="43"/>
        <v/>
      </c>
      <c r="H553" s="3" t="str">
        <f t="shared" si="44"/>
        <v/>
      </c>
      <c r="I553" s="3" t="str">
        <f t="shared" si="45"/>
        <v/>
      </c>
      <c r="J553" t="str">
        <f t="shared" si="46"/>
        <v>(999,99,'','','','',),</v>
      </c>
    </row>
    <row r="554" spans="1:10">
      <c r="A554">
        <v>99</v>
      </c>
      <c r="G554" s="3" t="str">
        <f t="shared" si="43"/>
        <v/>
      </c>
      <c r="H554" s="3" t="str">
        <f t="shared" si="44"/>
        <v/>
      </c>
      <c r="I554" s="3" t="str">
        <f t="shared" si="45"/>
        <v/>
      </c>
      <c r="J554" t="str">
        <f t="shared" si="46"/>
        <v>(999,99,'','','','',),</v>
      </c>
    </row>
    <row r="555" spans="1:10">
      <c r="A555">
        <v>99</v>
      </c>
      <c r="G555" s="3" t="str">
        <f t="shared" si="43"/>
        <v/>
      </c>
      <c r="H555" s="3" t="str">
        <f t="shared" si="44"/>
        <v/>
      </c>
      <c r="I555" s="3" t="str">
        <f t="shared" si="45"/>
        <v/>
      </c>
      <c r="J555" t="str">
        <f t="shared" si="46"/>
        <v>(999,99,'','','','',),</v>
      </c>
    </row>
    <row r="556" spans="1:10">
      <c r="A556">
        <v>99</v>
      </c>
      <c r="G556" s="3" t="str">
        <f t="shared" si="43"/>
        <v/>
      </c>
      <c r="H556" s="3" t="str">
        <f t="shared" si="44"/>
        <v/>
      </c>
      <c r="I556" s="3" t="str">
        <f t="shared" si="45"/>
        <v/>
      </c>
      <c r="J556" t="str">
        <f t="shared" si="46"/>
        <v>(999,99,'','','','',),</v>
      </c>
    </row>
    <row r="557" spans="1:10">
      <c r="A557">
        <v>99</v>
      </c>
      <c r="G557" s="3" t="str">
        <f t="shared" si="43"/>
        <v/>
      </c>
      <c r="H557" s="3" t="str">
        <f t="shared" si="44"/>
        <v/>
      </c>
      <c r="I557" s="3" t="str">
        <f t="shared" si="45"/>
        <v/>
      </c>
      <c r="J557" t="str">
        <f t="shared" si="46"/>
        <v>(999,99,'','','','',),</v>
      </c>
    </row>
    <row r="558" spans="1:10">
      <c r="A558">
        <v>99</v>
      </c>
      <c r="G558" s="3" t="str">
        <f t="shared" si="43"/>
        <v/>
      </c>
      <c r="H558" s="3" t="str">
        <f t="shared" si="44"/>
        <v/>
      </c>
      <c r="I558" s="3" t="str">
        <f t="shared" si="45"/>
        <v/>
      </c>
      <c r="J558" t="str">
        <f t="shared" si="46"/>
        <v>(999,99,'','','','',),</v>
      </c>
    </row>
    <row r="559" spans="1:10">
      <c r="A559">
        <v>99</v>
      </c>
      <c r="G559" s="3" t="str">
        <f t="shared" si="43"/>
        <v/>
      </c>
      <c r="H559" s="3" t="str">
        <f t="shared" si="44"/>
        <v/>
      </c>
      <c r="I559" s="3" t="str">
        <f t="shared" si="45"/>
        <v/>
      </c>
      <c r="J559" t="str">
        <f t="shared" si="46"/>
        <v>(999,99,'','','','',),</v>
      </c>
    </row>
    <row r="560" spans="1:10">
      <c r="A560">
        <v>99</v>
      </c>
      <c r="G560" s="3" t="str">
        <f t="shared" si="43"/>
        <v/>
      </c>
      <c r="H560" s="3" t="str">
        <f t="shared" si="44"/>
        <v/>
      </c>
      <c r="I560" s="3" t="str">
        <f t="shared" si="45"/>
        <v/>
      </c>
      <c r="J560" t="str">
        <f t="shared" si="46"/>
        <v>(999,99,'','','','',),</v>
      </c>
    </row>
    <row r="561" spans="1:10">
      <c r="A561">
        <v>99</v>
      </c>
      <c r="G561" s="3" t="str">
        <f t="shared" si="43"/>
        <v/>
      </c>
      <c r="H561" s="3" t="str">
        <f t="shared" si="44"/>
        <v/>
      </c>
      <c r="I561" s="3" t="str">
        <f t="shared" si="45"/>
        <v/>
      </c>
      <c r="J561" t="str">
        <f t="shared" si="46"/>
        <v>(999,99,'','','','',),</v>
      </c>
    </row>
    <row r="562" spans="1:10">
      <c r="A562">
        <v>99</v>
      </c>
      <c r="G562" s="3" t="str">
        <f t="shared" si="43"/>
        <v/>
      </c>
      <c r="H562" s="3" t="str">
        <f t="shared" si="44"/>
        <v/>
      </c>
      <c r="I562" s="3" t="str">
        <f t="shared" si="45"/>
        <v/>
      </c>
      <c r="J562" t="str">
        <f t="shared" si="46"/>
        <v>(999,99,'','','','',),</v>
      </c>
    </row>
    <row r="563" spans="1:10">
      <c r="A563">
        <v>99</v>
      </c>
      <c r="G563" s="3" t="str">
        <f t="shared" si="43"/>
        <v/>
      </c>
      <c r="H563" s="3" t="str">
        <f t="shared" si="44"/>
        <v/>
      </c>
      <c r="I563" s="3" t="str">
        <f t="shared" si="45"/>
        <v/>
      </c>
      <c r="J563" t="str">
        <f t="shared" si="46"/>
        <v>(999,99,'','','','',),</v>
      </c>
    </row>
    <row r="564" spans="1:10">
      <c r="A564">
        <v>99</v>
      </c>
      <c r="G564" s="3" t="str">
        <f t="shared" si="43"/>
        <v/>
      </c>
      <c r="H564" s="3" t="str">
        <f t="shared" si="44"/>
        <v/>
      </c>
      <c r="I564" s="3" t="str">
        <f t="shared" si="45"/>
        <v/>
      </c>
      <c r="J564" t="str">
        <f t="shared" si="46"/>
        <v>(999,99,'','','','',),</v>
      </c>
    </row>
    <row r="565" spans="1:10">
      <c r="A565">
        <v>99</v>
      </c>
      <c r="G565" s="3" t="str">
        <f t="shared" si="43"/>
        <v/>
      </c>
      <c r="H565" s="3" t="str">
        <f t="shared" si="44"/>
        <v/>
      </c>
      <c r="I565" s="3" t="str">
        <f t="shared" si="45"/>
        <v/>
      </c>
      <c r="J565" t="str">
        <f t="shared" si="46"/>
        <v>(999,99,'','','','',),</v>
      </c>
    </row>
    <row r="566" spans="1:10">
      <c r="A566">
        <v>99</v>
      </c>
      <c r="G566" s="3" t="str">
        <f t="shared" si="43"/>
        <v/>
      </c>
      <c r="H566" s="3" t="str">
        <f t="shared" si="44"/>
        <v/>
      </c>
      <c r="I566" s="3" t="str">
        <f t="shared" si="45"/>
        <v/>
      </c>
      <c r="J566" t="str">
        <f t="shared" si="46"/>
        <v>(999,99,'','','','',),</v>
      </c>
    </row>
    <row r="567" spans="1:10">
      <c r="A567">
        <v>99</v>
      </c>
      <c r="G567" s="3" t="str">
        <f t="shared" si="43"/>
        <v/>
      </c>
      <c r="H567" s="3" t="str">
        <f t="shared" si="44"/>
        <v/>
      </c>
      <c r="I567" s="3" t="str">
        <f t="shared" si="45"/>
        <v/>
      </c>
      <c r="J567" t="str">
        <f t="shared" si="46"/>
        <v>(999,99,'','','','',),</v>
      </c>
    </row>
    <row r="568" spans="1:10">
      <c r="A568">
        <v>99</v>
      </c>
      <c r="G568" s="3" t="str">
        <f t="shared" si="43"/>
        <v/>
      </c>
      <c r="H568" s="3" t="str">
        <f t="shared" si="44"/>
        <v/>
      </c>
      <c r="I568" s="3" t="str">
        <f t="shared" si="45"/>
        <v/>
      </c>
      <c r="J568" t="str">
        <f t="shared" si="46"/>
        <v>(999,99,'','','','',),</v>
      </c>
    </row>
    <row r="569" spans="1:10">
      <c r="A569">
        <v>99</v>
      </c>
      <c r="G569" s="3" t="str">
        <f t="shared" si="43"/>
        <v/>
      </c>
      <c r="H569" s="3" t="str">
        <f t="shared" si="44"/>
        <v/>
      </c>
      <c r="I569" s="3" t="str">
        <f t="shared" si="45"/>
        <v/>
      </c>
      <c r="J569" t="str">
        <f t="shared" si="46"/>
        <v>(999,99,'','','','',),</v>
      </c>
    </row>
    <row r="570" spans="1:10">
      <c r="A570">
        <v>99</v>
      </c>
      <c r="G570" s="3" t="str">
        <f t="shared" si="43"/>
        <v/>
      </c>
      <c r="H570" s="3" t="str">
        <f t="shared" si="44"/>
        <v/>
      </c>
      <c r="I570" s="3" t="str">
        <f t="shared" si="45"/>
        <v/>
      </c>
      <c r="J570" t="str">
        <f t="shared" si="46"/>
        <v>(999,99,'','','','',),</v>
      </c>
    </row>
    <row r="571" spans="1:10">
      <c r="A571">
        <v>99</v>
      </c>
      <c r="G571" s="3" t="str">
        <f t="shared" si="43"/>
        <v/>
      </c>
      <c r="H571" s="3" t="str">
        <f t="shared" si="44"/>
        <v/>
      </c>
      <c r="I571" s="3" t="str">
        <f t="shared" si="45"/>
        <v/>
      </c>
      <c r="J571" t="str">
        <f t="shared" si="46"/>
        <v>(999,99,'','','','',),</v>
      </c>
    </row>
    <row r="572" spans="1:10">
      <c r="A572">
        <v>99</v>
      </c>
      <c r="G572" s="3" t="str">
        <f t="shared" si="43"/>
        <v/>
      </c>
      <c r="H572" s="3" t="str">
        <f t="shared" si="44"/>
        <v/>
      </c>
      <c r="I572" s="3" t="str">
        <f t="shared" si="45"/>
        <v/>
      </c>
      <c r="J572" t="str">
        <f t="shared" si="46"/>
        <v>(999,99,'','','','',),</v>
      </c>
    </row>
    <row r="573" spans="1:10">
      <c r="A573">
        <v>99</v>
      </c>
      <c r="G573" s="3" t="str">
        <f t="shared" si="43"/>
        <v/>
      </c>
      <c r="H573" s="3" t="str">
        <f t="shared" si="44"/>
        <v/>
      </c>
      <c r="I573" s="3" t="str">
        <f t="shared" si="45"/>
        <v/>
      </c>
      <c r="J573" t="str">
        <f t="shared" si="46"/>
        <v>(999,99,'','','','',),</v>
      </c>
    </row>
    <row r="574" spans="1:10">
      <c r="A574">
        <v>99</v>
      </c>
      <c r="G574" s="3" t="str">
        <f t="shared" si="43"/>
        <v/>
      </c>
      <c r="H574" s="3" t="str">
        <f t="shared" si="44"/>
        <v/>
      </c>
      <c r="I574" s="3" t="str">
        <f t="shared" si="45"/>
        <v/>
      </c>
      <c r="J574" t="str">
        <f t="shared" si="46"/>
        <v>(999,99,'','','','',),</v>
      </c>
    </row>
    <row r="575" spans="1:10">
      <c r="A575">
        <v>99</v>
      </c>
      <c r="G575" s="3" t="str">
        <f t="shared" si="43"/>
        <v/>
      </c>
      <c r="H575" s="3" t="str">
        <f t="shared" si="44"/>
        <v/>
      </c>
      <c r="I575" s="3" t="str">
        <f t="shared" si="45"/>
        <v/>
      </c>
      <c r="J575" t="str">
        <f t="shared" si="46"/>
        <v>(999,99,'','','','',),</v>
      </c>
    </row>
    <row r="576" spans="1:10">
      <c r="A576">
        <v>99</v>
      </c>
      <c r="G576" s="3" t="str">
        <f t="shared" si="43"/>
        <v/>
      </c>
      <c r="H576" s="3" t="str">
        <f t="shared" si="44"/>
        <v/>
      </c>
      <c r="I576" s="3" t="str">
        <f t="shared" si="45"/>
        <v/>
      </c>
      <c r="J576" t="str">
        <f t="shared" si="46"/>
        <v>(999,99,'','','','',),</v>
      </c>
    </row>
    <row r="577" spans="1:10">
      <c r="A577">
        <v>99</v>
      </c>
      <c r="G577" s="3" t="str">
        <f t="shared" si="43"/>
        <v/>
      </c>
      <c r="H577" s="3" t="str">
        <f t="shared" si="44"/>
        <v/>
      </c>
      <c r="I577" s="3" t="str">
        <f t="shared" si="45"/>
        <v/>
      </c>
      <c r="J577" t="str">
        <f t="shared" si="46"/>
        <v>(999,99,'','','','',),</v>
      </c>
    </row>
    <row r="578" spans="1:10">
      <c r="A578">
        <v>99</v>
      </c>
      <c r="G578" s="3" t="str">
        <f t="shared" si="43"/>
        <v/>
      </c>
      <c r="H578" s="3" t="str">
        <f t="shared" si="44"/>
        <v/>
      </c>
      <c r="I578" s="3" t="str">
        <f t="shared" si="45"/>
        <v/>
      </c>
      <c r="J578" t="str">
        <f t="shared" si="46"/>
        <v>(999,99,'','','','',),</v>
      </c>
    </row>
    <row r="579" spans="1:10">
      <c r="A579">
        <v>99</v>
      </c>
      <c r="G579" s="3" t="str">
        <f t="shared" si="43"/>
        <v/>
      </c>
      <c r="H579" s="3" t="str">
        <f t="shared" si="44"/>
        <v/>
      </c>
      <c r="I579" s="3" t="str">
        <f t="shared" si="45"/>
        <v/>
      </c>
      <c r="J579" t="str">
        <f t="shared" si="46"/>
        <v>(999,99,'','','','',),</v>
      </c>
    </row>
    <row r="580" spans="1:10">
      <c r="A580">
        <v>99</v>
      </c>
      <c r="G580" s="3" t="str">
        <f t="shared" si="43"/>
        <v/>
      </c>
      <c r="H580" s="3" t="str">
        <f t="shared" si="44"/>
        <v/>
      </c>
      <c r="I580" s="3" t="str">
        <f t="shared" si="45"/>
        <v/>
      </c>
      <c r="J580" t="str">
        <f t="shared" si="46"/>
        <v>(999,99,'','','','',),</v>
      </c>
    </row>
    <row r="581" spans="1:10">
      <c r="A581">
        <v>99</v>
      </c>
      <c r="G581" s="3" t="str">
        <f t="shared" si="43"/>
        <v/>
      </c>
      <c r="H581" s="3" t="str">
        <f t="shared" si="44"/>
        <v/>
      </c>
      <c r="I581" s="3" t="str">
        <f t="shared" si="45"/>
        <v/>
      </c>
      <c r="J581" t="str">
        <f t="shared" si="46"/>
        <v>(999,99,'','','','',),</v>
      </c>
    </row>
    <row r="582" spans="1:10">
      <c r="A582">
        <v>99</v>
      </c>
      <c r="G582" s="3" t="str">
        <f t="shared" si="43"/>
        <v/>
      </c>
      <c r="H582" s="3" t="str">
        <f t="shared" si="44"/>
        <v/>
      </c>
      <c r="I582" s="3" t="str">
        <f t="shared" si="45"/>
        <v/>
      </c>
      <c r="J582" t="str">
        <f t="shared" si="46"/>
        <v>(999,99,'','','','',),</v>
      </c>
    </row>
    <row r="583" spans="1:10">
      <c r="A583">
        <v>99</v>
      </c>
      <c r="G583" s="3" t="str">
        <f t="shared" si="43"/>
        <v/>
      </c>
      <c r="H583" s="3" t="str">
        <f t="shared" si="44"/>
        <v/>
      </c>
      <c r="I583" s="3" t="str">
        <f t="shared" si="45"/>
        <v/>
      </c>
      <c r="J583" t="str">
        <f t="shared" si="46"/>
        <v>(999,99,'','','','',),</v>
      </c>
    </row>
    <row r="584" spans="1:10">
      <c r="A584">
        <v>99</v>
      </c>
      <c r="G584" s="3" t="str">
        <f t="shared" si="43"/>
        <v/>
      </c>
      <c r="H584" s="3" t="str">
        <f t="shared" si="44"/>
        <v/>
      </c>
      <c r="I584" s="3" t="str">
        <f t="shared" si="45"/>
        <v/>
      </c>
      <c r="J584" t="str">
        <f t="shared" si="46"/>
        <v>(999,99,'','','','',),</v>
      </c>
    </row>
    <row r="585" spans="1:10">
      <c r="A585">
        <v>99</v>
      </c>
      <c r="G585" s="3" t="str">
        <f t="shared" si="43"/>
        <v/>
      </c>
      <c r="H585" s="3" t="str">
        <f t="shared" si="44"/>
        <v/>
      </c>
      <c r="I585" s="3" t="str">
        <f t="shared" si="45"/>
        <v/>
      </c>
      <c r="J585" t="str">
        <f t="shared" si="46"/>
        <v>(999,99,'','','','',),</v>
      </c>
    </row>
    <row r="586" spans="1:10">
      <c r="A586">
        <v>99</v>
      </c>
      <c r="G586" s="3" t="str">
        <f t="shared" si="43"/>
        <v/>
      </c>
      <c r="H586" s="3" t="str">
        <f t="shared" si="44"/>
        <v/>
      </c>
      <c r="I586" s="3" t="str">
        <f t="shared" si="45"/>
        <v/>
      </c>
      <c r="J586" t="str">
        <f t="shared" si="46"/>
        <v>(999,99,'','','','',),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2"/>
  <sheetViews>
    <sheetView zoomScale="70" zoomScaleNormal="70" workbookViewId="0">
      <selection activeCell="A6" sqref="A6"/>
    </sheetView>
  </sheetViews>
  <sheetFormatPr defaultRowHeight="16.5"/>
  <cols>
    <col min="1" max="1" width="69" style="1" customWidth="1"/>
    <col min="3" max="3" width="40.5" bestFit="1" customWidth="1"/>
  </cols>
  <sheetData>
    <row r="1" spans="1:8" ht="30">
      <c r="A1" s="28" t="s">
        <v>6002</v>
      </c>
      <c r="B1" s="2"/>
      <c r="C1" s="2" t="str">
        <f>MID(A1, FIND("1.", A1) + 2, 9999)</f>
        <v xml:space="preserve"> 을사조약의 부당함을 알리기 위해 헤이그에 파견한 사절단은?</v>
      </c>
      <c r="D1" s="2" t="str">
        <f>A3</f>
        <v>A.  헤이즈 특사</v>
      </c>
      <c r="E1" s="5" t="str">
        <f>A4</f>
        <v>B.  헤이그 특사</v>
      </c>
      <c r="F1" s="5" t="str">
        <f>A5</f>
        <v>C.  헤일로 특사</v>
      </c>
      <c r="G1" s="6">
        <v>1</v>
      </c>
    </row>
    <row r="2" spans="1:8" ht="30">
      <c r="A2"/>
      <c r="B2" s="2"/>
      <c r="C2" s="2" t="str">
        <f>MID(A8, FIND("2.", A8) + 2, 9999)</f>
        <v xml:space="preserve"> 남의 일에 대한 기우를 뜻하는 표현은?</v>
      </c>
      <c r="D2" s="2" t="str">
        <f>A10</f>
        <v>A.  노파심</v>
      </c>
      <c r="E2" s="2" t="str">
        <f>A11</f>
        <v>B.  몸조심</v>
      </c>
      <c r="F2" s="2" t="str">
        <f>A12</f>
        <v>C.  애사심</v>
      </c>
      <c r="G2">
        <v>0</v>
      </c>
      <c r="H2" s="6"/>
    </row>
    <row r="3" spans="1:8" ht="30">
      <c r="A3" s="27" t="s">
        <v>6001</v>
      </c>
      <c r="B3" s="2"/>
      <c r="C3" s="2" t="str">
        <f>MID(A15, FIND("3.", A15) + 2, 9999)</f>
        <v> 김국진♥강수지 커플의 별칭은?</v>
      </c>
      <c r="D3" s="2" t="str">
        <f>A17</f>
        <v>A.  시츄 커플</v>
      </c>
      <c r="E3" s="2" t="str">
        <f>A18</f>
        <v>B.  말티즈 커플</v>
      </c>
      <c r="F3" s="2" t="str">
        <f>A19</f>
        <v>C.  치와와 커플</v>
      </c>
      <c r="G3">
        <v>2</v>
      </c>
      <c r="H3" s="6"/>
    </row>
    <row r="4" spans="1:8" ht="54.75" customHeight="1">
      <c r="A4" s="27" t="s">
        <v>6000</v>
      </c>
      <c r="B4" s="2"/>
      <c r="C4" s="2" t="str">
        <f>MID(A22, FIND("4.", A22) + 2, 9999)</f>
        <v xml:space="preserve"> 노인에게서 나는 독특한 냄새의 원인이 되는 성분은?</v>
      </c>
      <c r="D4" s="2" t="str">
        <f>A24</f>
        <v>A.  노년알데하이드</v>
      </c>
      <c r="E4" s="2" t="str">
        <f>A25</f>
        <v>B.  노넨알디하이드</v>
      </c>
      <c r="F4" s="2" t="str">
        <f>A26</f>
        <v>C.  노인알데하이드</v>
      </c>
      <c r="G4">
        <v>1</v>
      </c>
      <c r="H4" s="6"/>
    </row>
    <row r="5" spans="1:8" ht="30">
      <c r="A5" s="27" t="s">
        <v>5999</v>
      </c>
      <c r="B5" s="2"/>
      <c r="C5" s="2" t="str">
        <f>MID(A29, FIND("5.", A29) + 2, 9999)</f>
        <v xml:space="preserve"> 고려 시대의 왕립 도서관은?</v>
      </c>
      <c r="D5" s="2" t="str">
        <f>A31</f>
        <v>A.  비서각</v>
      </c>
      <c r="E5" s="2" t="str">
        <f>A32</f>
        <v>B.  독서각</v>
      </c>
      <c r="F5" s="2" t="str">
        <f>A33</f>
        <v>C.  규장각</v>
      </c>
      <c r="G5">
        <v>0</v>
      </c>
      <c r="H5" s="6"/>
    </row>
    <row r="6" spans="1:8" ht="30">
      <c r="A6"/>
      <c r="B6" s="2"/>
      <c r="C6" s="2" t="str">
        <f>MID(A36, FIND("6.", A36) + 2, 9999)</f>
        <v xml:space="preserve"> 소비자의 수면을 돕는 제품 혹은 서비스 등 수면 관련 산업을 일컫는 용어는?</v>
      </c>
      <c r="D6" s="2" t="str">
        <f>A38</f>
        <v>A.  논커피믹스</v>
      </c>
      <c r="E6" s="2" t="str">
        <f>A39</f>
        <v>B.  나이터너믹스</v>
      </c>
      <c r="F6" s="2" t="str">
        <f>A40</f>
        <v>C.  슬리포노믹스</v>
      </c>
      <c r="G6">
        <v>2</v>
      </c>
      <c r="H6" s="6"/>
    </row>
    <row r="7" spans="1:8" ht="30">
      <c r="A7"/>
      <c r="B7" s="2"/>
      <c r="C7" s="2" t="str">
        <f>MID(A43, FIND("7.", A43) + 2, 9999)</f>
        <v xml:space="preserve"> 2010년 이란 정부는 적절한 [   ] 이란 정책을 발표했다. [   ] 에 들어갈 단어는?</v>
      </c>
      <c r="D7" s="2" t="str">
        <f>A45</f>
        <v>A.  신발규격</v>
      </c>
      <c r="E7" s="2" t="str">
        <f>A46</f>
        <v>B.  상식수준</v>
      </c>
      <c r="F7" s="2" t="str">
        <f>A47</f>
        <v>C.  헤어스타일</v>
      </c>
      <c r="G7">
        <v>2</v>
      </c>
      <c r="H7" s="6"/>
    </row>
    <row r="8" spans="1:8" ht="30">
      <c r="A8" s="28" t="s">
        <v>5998</v>
      </c>
      <c r="B8" s="2"/>
      <c r="C8" s="2" t="str">
        <f>MID(A50, FIND("8.", A50) + 2, 9999)</f>
        <v xml:space="preserve"> 피카츄는 '이 동물'에 영감을 받아 처음 그려졌다. 이 동물은 무엇일까?</v>
      </c>
      <c r="D8" s="2" t="str">
        <f>A52</f>
        <v>A.  쥐</v>
      </c>
      <c r="E8" s="2" t="str">
        <f>A53</f>
        <v>B.  다람쥐</v>
      </c>
      <c r="F8" s="2" t="str">
        <f>A54</f>
        <v>C.  토끼</v>
      </c>
      <c r="G8">
        <v>1</v>
      </c>
      <c r="H8" s="6"/>
    </row>
    <row r="9" spans="1:8" ht="30">
      <c r="A9"/>
      <c r="B9" s="2"/>
      <c r="C9" s="2" t="str">
        <f>MID(A57, FIND("9.", A57) + 2, 9999)</f>
        <v xml:space="preserve"> 물고기의 부류를 나누는 말 중, 사이시옷이 올바르게 쓰인 것은?</v>
      </c>
      <c r="D9" s="2" t="str">
        <f>A59</f>
        <v>A.  잉엇과</v>
      </c>
      <c r="E9" s="2" t="str">
        <f>A60</f>
        <v>B.  연엇과</v>
      </c>
      <c r="F9" s="2" t="str">
        <f>A61</f>
        <v>C.  청엇과</v>
      </c>
      <c r="G9">
        <v>0</v>
      </c>
      <c r="H9" s="6"/>
    </row>
    <row r="10" spans="1:8" ht="30">
      <c r="A10" s="27" t="s">
        <v>5997</v>
      </c>
      <c r="B10" s="2"/>
      <c r="C10" s="2" t="str">
        <f>MID(A64, FIND("10.", A64) + 3, 9999)</f>
        <v xml:space="preserve"> 실존하는 해양지명이 아닌 것은?</v>
      </c>
      <c r="D10" s="2" t="str">
        <f>A66</f>
        <v>A.  방구여</v>
      </c>
      <c r="E10" s="2" t="str">
        <f>A67</f>
        <v>B.  잠깐여</v>
      </c>
      <c r="F10" s="2" t="str">
        <f>A68</f>
        <v>C.  조심여</v>
      </c>
      <c r="G10">
        <v>1</v>
      </c>
      <c r="H10" s="6"/>
    </row>
    <row r="11" spans="1:8" ht="45">
      <c r="A11" s="27" t="s">
        <v>5996</v>
      </c>
      <c r="B11" s="2"/>
      <c r="C11" s="2" t="str">
        <f>MID(A71, FIND("11.", A71) + 3, 9999)</f>
        <v xml:space="preserve"> 대통령, 국무총리 공석 시 국무회의 의장 직무 대행 순서가 가장 빠른 국무 위원은?</v>
      </c>
      <c r="D11" s="2" t="str">
        <f>A73</f>
        <v>A.  국방부장관</v>
      </c>
      <c r="E11" s="2" t="str">
        <f>A74</f>
        <v>B.  외교부장관</v>
      </c>
      <c r="F11" s="2" t="str">
        <f>A75</f>
        <v>C.  기획재정부장관</v>
      </c>
      <c r="G11">
        <v>2</v>
      </c>
      <c r="H11" s="6"/>
    </row>
    <row r="12" spans="1:8" ht="30">
      <c r="A12" s="27" t="s">
        <v>5995</v>
      </c>
      <c r="B12" s="2"/>
      <c r="C12" s="2" t="str">
        <f>MID(A78, FIND("12.", A78) + 3, 9999)</f>
        <v xml:space="preserve"> 2010년 한국 남성과의 국제결혼을 한시적으로 금지시킨 나라는?</v>
      </c>
      <c r="D12" s="2" t="str">
        <f>A80</f>
        <v>A.  베트남</v>
      </c>
      <c r="E12" s="2" t="str">
        <f>A81</f>
        <v>B.  캄보디아</v>
      </c>
      <c r="F12" s="2" t="str">
        <f>A82</f>
        <v>C.  필리핀</v>
      </c>
      <c r="G12">
        <v>1</v>
      </c>
      <c r="H12" s="6"/>
    </row>
    <row r="13" spans="1:8">
      <c r="A13"/>
      <c r="C13" s="7" t="s">
        <v>5994</v>
      </c>
    </row>
    <row r="14" spans="1:8">
      <c r="A14"/>
      <c r="C14" s="7"/>
    </row>
    <row r="15" spans="1:8">
      <c r="A15" s="28" t="s">
        <v>5993</v>
      </c>
    </row>
    <row r="16" spans="1:8">
      <c r="A16"/>
    </row>
    <row r="17" spans="1:1">
      <c r="A17" s="27" t="s">
        <v>5992</v>
      </c>
    </row>
    <row r="18" spans="1:1">
      <c r="A18" s="27" t="s">
        <v>5991</v>
      </c>
    </row>
    <row r="19" spans="1:1">
      <c r="A19" s="27" t="s">
        <v>5990</v>
      </c>
    </row>
    <row r="20" spans="1:1">
      <c r="A20"/>
    </row>
    <row r="21" spans="1:1">
      <c r="A21"/>
    </row>
    <row r="22" spans="1:1">
      <c r="A22" s="28" t="s">
        <v>5989</v>
      </c>
    </row>
    <row r="23" spans="1:1">
      <c r="A23"/>
    </row>
    <row r="24" spans="1:1">
      <c r="A24" s="27" t="s">
        <v>5988</v>
      </c>
    </row>
    <row r="25" spans="1:1">
      <c r="A25" s="27" t="s">
        <v>5987</v>
      </c>
    </row>
    <row r="26" spans="1:1">
      <c r="A26" s="27" t="s">
        <v>5986</v>
      </c>
    </row>
    <row r="27" spans="1:1">
      <c r="A27"/>
    </row>
    <row r="28" spans="1:1">
      <c r="A28"/>
    </row>
    <row r="29" spans="1:1">
      <c r="A29" s="28" t="s">
        <v>5985</v>
      </c>
    </row>
    <row r="30" spans="1:1">
      <c r="A30"/>
    </row>
    <row r="31" spans="1:1">
      <c r="A31" s="27" t="s">
        <v>5984</v>
      </c>
    </row>
    <row r="32" spans="1:1">
      <c r="A32" s="27" t="s">
        <v>5983</v>
      </c>
    </row>
    <row r="33" spans="1:1">
      <c r="A33" s="27" t="s">
        <v>5982</v>
      </c>
    </row>
    <row r="34" spans="1:1">
      <c r="A34"/>
    </row>
    <row r="35" spans="1:1">
      <c r="A35"/>
    </row>
    <row r="36" spans="1:1" ht="31.5">
      <c r="A36" s="28" t="s">
        <v>5981</v>
      </c>
    </row>
    <row r="37" spans="1:1">
      <c r="A37"/>
    </row>
    <row r="38" spans="1:1">
      <c r="A38" s="27" t="s">
        <v>5980</v>
      </c>
    </row>
    <row r="39" spans="1:1">
      <c r="A39" s="27" t="s">
        <v>5979</v>
      </c>
    </row>
    <row r="40" spans="1:1">
      <c r="A40" s="27" t="s">
        <v>5978</v>
      </c>
    </row>
    <row r="41" spans="1:1">
      <c r="A41"/>
    </row>
    <row r="42" spans="1:1">
      <c r="A42"/>
    </row>
    <row r="43" spans="1:1" ht="31.5">
      <c r="A43" s="28" t="s">
        <v>5977</v>
      </c>
    </row>
    <row r="44" spans="1:1">
      <c r="A44"/>
    </row>
    <row r="45" spans="1:1">
      <c r="A45" s="27" t="s">
        <v>5976</v>
      </c>
    </row>
    <row r="46" spans="1:1">
      <c r="A46" s="27" t="s">
        <v>5975</v>
      </c>
    </row>
    <row r="47" spans="1:1">
      <c r="A47" s="27" t="s">
        <v>5974</v>
      </c>
    </row>
    <row r="48" spans="1:1">
      <c r="A48"/>
    </row>
    <row r="49" spans="1:1">
      <c r="A49"/>
    </row>
    <row r="50" spans="1:1">
      <c r="A50" s="28" t="s">
        <v>5973</v>
      </c>
    </row>
    <row r="51" spans="1:1">
      <c r="A51"/>
    </row>
    <row r="52" spans="1:1">
      <c r="A52" s="27" t="s">
        <v>5972</v>
      </c>
    </row>
    <row r="53" spans="1:1">
      <c r="A53" s="27" t="s">
        <v>5971</v>
      </c>
    </row>
    <row r="54" spans="1:1">
      <c r="A54" s="27" t="s">
        <v>5970</v>
      </c>
    </row>
    <row r="55" spans="1:1">
      <c r="A55"/>
    </row>
    <row r="56" spans="1:1">
      <c r="A56"/>
    </row>
    <row r="57" spans="1:1">
      <c r="A57" s="28" t="s">
        <v>5969</v>
      </c>
    </row>
    <row r="58" spans="1:1">
      <c r="A58"/>
    </row>
    <row r="59" spans="1:1">
      <c r="A59" s="27" t="s">
        <v>5968</v>
      </c>
    </row>
    <row r="60" spans="1:1">
      <c r="A60" s="27" t="s">
        <v>5967</v>
      </c>
    </row>
    <row r="61" spans="1:1">
      <c r="A61" s="27" t="s">
        <v>5966</v>
      </c>
    </row>
    <row r="62" spans="1:1">
      <c r="A62"/>
    </row>
    <row r="63" spans="1:1">
      <c r="A63"/>
    </row>
    <row r="64" spans="1:1">
      <c r="A64" s="28" t="s">
        <v>5965</v>
      </c>
    </row>
    <row r="65" spans="1:1">
      <c r="A65"/>
    </row>
    <row r="66" spans="1:1">
      <c r="A66" s="27" t="s">
        <v>5964</v>
      </c>
    </row>
    <row r="67" spans="1:1">
      <c r="A67" s="27" t="s">
        <v>5963</v>
      </c>
    </row>
    <row r="68" spans="1:1">
      <c r="A68" s="27" t="s">
        <v>5962</v>
      </c>
    </row>
    <row r="69" spans="1:1">
      <c r="A69"/>
    </row>
    <row r="70" spans="1:1">
      <c r="A70"/>
    </row>
    <row r="71" spans="1:1" ht="31.5">
      <c r="A71" s="28" t="s">
        <v>5961</v>
      </c>
    </row>
    <row r="72" spans="1:1">
      <c r="A72"/>
    </row>
    <row r="73" spans="1:1">
      <c r="A73" s="27" t="s">
        <v>5960</v>
      </c>
    </row>
    <row r="74" spans="1:1">
      <c r="A74" s="27" t="s">
        <v>5959</v>
      </c>
    </row>
    <row r="75" spans="1:1">
      <c r="A75" s="27" t="s">
        <v>5958</v>
      </c>
    </row>
    <row r="76" spans="1:1">
      <c r="A76"/>
    </row>
    <row r="77" spans="1:1">
      <c r="A77"/>
    </row>
    <row r="78" spans="1:1">
      <c r="A78" s="28" t="s">
        <v>5957</v>
      </c>
    </row>
    <row r="79" spans="1:1">
      <c r="A79"/>
    </row>
    <row r="80" spans="1:1">
      <c r="A80" s="27" t="s">
        <v>5956</v>
      </c>
    </row>
    <row r="81" spans="1:1">
      <c r="A81" s="27" t="s">
        <v>5955</v>
      </c>
    </row>
    <row r="82" spans="1:1">
      <c r="A82" s="27" t="s">
        <v>5954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5"/>
  <sheetViews>
    <sheetView workbookViewId="0">
      <selection activeCell="C43" sqref="C1:G43"/>
    </sheetView>
  </sheetViews>
  <sheetFormatPr defaultRowHeight="35.1" customHeight="1"/>
  <cols>
    <col min="1" max="1" width="37.75" customWidth="1"/>
  </cols>
  <sheetData>
    <row r="1" spans="1:7" ht="35.1" customHeight="1">
      <c r="A1" s="9" t="s">
        <v>8326</v>
      </c>
      <c r="B1" s="10" t="s">
        <v>1885</v>
      </c>
      <c r="C1" t="s">
        <v>10926</v>
      </c>
      <c r="D1" t="s">
        <v>1885</v>
      </c>
      <c r="E1" t="s">
        <v>1886</v>
      </c>
      <c r="F1" t="s">
        <v>1887</v>
      </c>
      <c r="G1">
        <v>0</v>
      </c>
    </row>
    <row r="2" spans="1:7" ht="35.1" customHeight="1">
      <c r="A2" s="10" t="s">
        <v>1885</v>
      </c>
      <c r="C2" t="s">
        <v>10927</v>
      </c>
      <c r="D2" t="s">
        <v>8321</v>
      </c>
      <c r="E2" t="s">
        <v>10928</v>
      </c>
      <c r="F2" t="s">
        <v>8323</v>
      </c>
      <c r="G2">
        <v>1</v>
      </c>
    </row>
    <row r="3" spans="1:7" ht="35.1" customHeight="1">
      <c r="A3" s="9" t="s">
        <v>1886</v>
      </c>
      <c r="C3" t="s">
        <v>10929</v>
      </c>
      <c r="D3" t="s">
        <v>1888</v>
      </c>
      <c r="E3" t="s">
        <v>1889</v>
      </c>
      <c r="F3" t="s">
        <v>1890</v>
      </c>
      <c r="G3">
        <v>1</v>
      </c>
    </row>
    <row r="4" spans="1:7" ht="35.1" customHeight="1">
      <c r="A4" s="9" t="s">
        <v>1887</v>
      </c>
      <c r="C4" t="s">
        <v>1891</v>
      </c>
      <c r="D4" t="s">
        <v>1892</v>
      </c>
      <c r="E4" t="s">
        <v>1893</v>
      </c>
      <c r="F4" t="s">
        <v>1894</v>
      </c>
      <c r="G4">
        <v>2</v>
      </c>
    </row>
    <row r="5" spans="1:7" ht="35.1" customHeight="1">
      <c r="A5" s="11"/>
      <c r="C5" t="s">
        <v>10930</v>
      </c>
      <c r="D5" t="s">
        <v>1895</v>
      </c>
      <c r="E5" t="s">
        <v>1896</v>
      </c>
      <c r="F5" t="s">
        <v>1897</v>
      </c>
      <c r="G5">
        <v>0</v>
      </c>
    </row>
    <row r="6" spans="1:7" ht="35.1" customHeight="1">
      <c r="A6" s="9" t="s">
        <v>8327</v>
      </c>
      <c r="C6" t="s">
        <v>10931</v>
      </c>
      <c r="D6" t="s">
        <v>10932</v>
      </c>
      <c r="E6" t="s">
        <v>10933</v>
      </c>
      <c r="F6" t="s">
        <v>10934</v>
      </c>
      <c r="G6">
        <v>2</v>
      </c>
    </row>
    <row r="7" spans="1:7" ht="35.1" customHeight="1">
      <c r="A7" s="18" t="s">
        <v>8322</v>
      </c>
      <c r="C7" t="s">
        <v>10935</v>
      </c>
      <c r="D7" t="s">
        <v>93</v>
      </c>
      <c r="E7" t="s">
        <v>1693</v>
      </c>
      <c r="F7" t="s">
        <v>1899</v>
      </c>
      <c r="G7">
        <v>1</v>
      </c>
    </row>
    <row r="8" spans="1:7" ht="35.1" customHeight="1">
      <c r="A8" s="10" t="s">
        <v>8325</v>
      </c>
      <c r="C8" t="s">
        <v>10936</v>
      </c>
      <c r="D8" t="s">
        <v>1900</v>
      </c>
      <c r="E8" t="s">
        <v>1901</v>
      </c>
      <c r="F8" t="s">
        <v>1902</v>
      </c>
      <c r="G8">
        <v>0</v>
      </c>
    </row>
    <row r="9" spans="1:7" ht="35.1" customHeight="1">
      <c r="A9" s="18" t="s">
        <v>8324</v>
      </c>
      <c r="C9" t="s">
        <v>10937</v>
      </c>
      <c r="D9" t="s">
        <v>1903</v>
      </c>
      <c r="E9" t="s">
        <v>1904</v>
      </c>
      <c r="F9" t="s">
        <v>1905</v>
      </c>
      <c r="G9">
        <v>0</v>
      </c>
    </row>
    <row r="10" spans="1:7" ht="35.1" customHeight="1">
      <c r="A10" s="11"/>
      <c r="C10" t="s">
        <v>1906</v>
      </c>
      <c r="D10" t="s">
        <v>1907</v>
      </c>
      <c r="E10" t="s">
        <v>1908</v>
      </c>
      <c r="F10" t="s">
        <v>1909</v>
      </c>
      <c r="G10">
        <v>1</v>
      </c>
    </row>
    <row r="11" spans="1:7" ht="35.1" customHeight="1">
      <c r="A11" s="9" t="s">
        <v>8328</v>
      </c>
      <c r="C11" t="s">
        <v>1910</v>
      </c>
      <c r="D11" t="s">
        <v>1911</v>
      </c>
      <c r="E11" t="s">
        <v>1912</v>
      </c>
      <c r="F11" t="s">
        <v>1913</v>
      </c>
      <c r="G11">
        <v>2</v>
      </c>
    </row>
    <row r="12" spans="1:7" ht="35.1" customHeight="1">
      <c r="A12" s="9" t="s">
        <v>1888</v>
      </c>
      <c r="C12" t="s">
        <v>1914</v>
      </c>
      <c r="D12" t="s">
        <v>10938</v>
      </c>
      <c r="E12" t="s">
        <v>10939</v>
      </c>
      <c r="F12" t="s">
        <v>9254</v>
      </c>
      <c r="G12">
        <v>0</v>
      </c>
    </row>
    <row r="13" spans="1:7" ht="35.1" customHeight="1">
      <c r="A13" s="10" t="s">
        <v>1889</v>
      </c>
      <c r="C13" t="s">
        <v>10940</v>
      </c>
      <c r="D13" t="s">
        <v>1915</v>
      </c>
      <c r="E13" t="s">
        <v>1916</v>
      </c>
      <c r="F13" t="s">
        <v>1917</v>
      </c>
      <c r="G13">
        <v>0</v>
      </c>
    </row>
    <row r="14" spans="1:7" ht="35.1" customHeight="1">
      <c r="A14" s="9" t="s">
        <v>1890</v>
      </c>
      <c r="C14" t="s">
        <v>10941</v>
      </c>
      <c r="D14" t="s">
        <v>1918</v>
      </c>
      <c r="E14" t="s">
        <v>1919</v>
      </c>
      <c r="F14" t="s">
        <v>1920</v>
      </c>
      <c r="G14">
        <v>1</v>
      </c>
    </row>
    <row r="15" spans="1:7" ht="35.1" customHeight="1">
      <c r="A15" s="11"/>
      <c r="C15" t="s">
        <v>10942</v>
      </c>
      <c r="D15" t="s">
        <v>1921</v>
      </c>
      <c r="E15" t="s">
        <v>1922</v>
      </c>
      <c r="F15" t="s">
        <v>1923</v>
      </c>
      <c r="G15">
        <v>2</v>
      </c>
    </row>
    <row r="16" spans="1:7" ht="35.1" customHeight="1">
      <c r="A16" s="9" t="s">
        <v>1891</v>
      </c>
      <c r="C16" t="s">
        <v>10943</v>
      </c>
      <c r="D16" t="s">
        <v>1924</v>
      </c>
      <c r="E16" t="s">
        <v>1925</v>
      </c>
      <c r="F16" t="s">
        <v>1926</v>
      </c>
      <c r="G16">
        <v>1</v>
      </c>
    </row>
    <row r="17" spans="1:7" ht="35.1" customHeight="1">
      <c r="A17" s="9" t="s">
        <v>1892</v>
      </c>
      <c r="C17" t="s">
        <v>10944</v>
      </c>
      <c r="D17" t="s">
        <v>1927</v>
      </c>
      <c r="E17" t="s">
        <v>1928</v>
      </c>
      <c r="F17" t="s">
        <v>1929</v>
      </c>
      <c r="G17">
        <v>1</v>
      </c>
    </row>
    <row r="18" spans="1:7" ht="35.1" customHeight="1">
      <c r="A18" s="9" t="s">
        <v>1893</v>
      </c>
      <c r="C18" t="s">
        <v>10945</v>
      </c>
      <c r="D18" t="s">
        <v>1930</v>
      </c>
      <c r="E18" t="s">
        <v>1931</v>
      </c>
      <c r="F18" t="s">
        <v>1932</v>
      </c>
      <c r="G18">
        <v>0</v>
      </c>
    </row>
    <row r="19" spans="1:7" ht="35.1" customHeight="1">
      <c r="A19" s="10" t="s">
        <v>1894</v>
      </c>
      <c r="C19" t="s">
        <v>10946</v>
      </c>
      <c r="D19" t="s">
        <v>1933</v>
      </c>
      <c r="E19" t="s">
        <v>1934</v>
      </c>
      <c r="F19" t="s">
        <v>1935</v>
      </c>
      <c r="G19">
        <v>2</v>
      </c>
    </row>
    <row r="20" spans="1:7" ht="35.1" customHeight="1">
      <c r="A20" s="11"/>
      <c r="C20" t="s">
        <v>10947</v>
      </c>
      <c r="D20" t="s">
        <v>1936</v>
      </c>
      <c r="E20" t="s">
        <v>1937</v>
      </c>
      <c r="F20" t="s">
        <v>1938</v>
      </c>
      <c r="G20">
        <v>1</v>
      </c>
    </row>
    <row r="21" spans="1:7" ht="35.1" customHeight="1">
      <c r="A21" s="9" t="s">
        <v>8329</v>
      </c>
      <c r="C21" t="s">
        <v>10948</v>
      </c>
      <c r="D21" t="s">
        <v>1939</v>
      </c>
      <c r="E21" t="s">
        <v>1940</v>
      </c>
      <c r="F21" t="s">
        <v>1941</v>
      </c>
      <c r="G21">
        <v>2</v>
      </c>
    </row>
    <row r="22" spans="1:7" ht="35.1" customHeight="1">
      <c r="A22" s="10" t="s">
        <v>1895</v>
      </c>
      <c r="C22" t="s">
        <v>10949</v>
      </c>
      <c r="D22" t="s">
        <v>9267</v>
      </c>
      <c r="E22" t="s">
        <v>9269</v>
      </c>
      <c r="F22" t="s">
        <v>9271</v>
      </c>
      <c r="G22">
        <v>2</v>
      </c>
    </row>
    <row r="23" spans="1:7" ht="35.1" customHeight="1">
      <c r="A23" s="9" t="s">
        <v>1896</v>
      </c>
      <c r="C23" t="s">
        <v>10950</v>
      </c>
      <c r="D23" t="s">
        <v>1942</v>
      </c>
      <c r="E23" t="s">
        <v>1943</v>
      </c>
      <c r="F23" t="s">
        <v>1944</v>
      </c>
      <c r="G23">
        <v>2</v>
      </c>
    </row>
    <row r="24" spans="1:7" ht="35.1" customHeight="1">
      <c r="A24" s="9" t="s">
        <v>1897</v>
      </c>
      <c r="C24" t="s">
        <v>1945</v>
      </c>
      <c r="D24" t="s">
        <v>1946</v>
      </c>
      <c r="E24" t="s">
        <v>1947</v>
      </c>
      <c r="F24" t="s">
        <v>1948</v>
      </c>
      <c r="G24">
        <v>1</v>
      </c>
    </row>
    <row r="25" spans="1:7" ht="35.1" customHeight="1">
      <c r="A25" s="11"/>
      <c r="C25" t="s">
        <v>10951</v>
      </c>
      <c r="D25" t="s">
        <v>1949</v>
      </c>
      <c r="E25" t="s">
        <v>1950</v>
      </c>
      <c r="F25" t="s">
        <v>1951</v>
      </c>
      <c r="G25">
        <v>2</v>
      </c>
    </row>
    <row r="26" spans="1:7" ht="35.1" customHeight="1">
      <c r="A26" s="9" t="s">
        <v>8330</v>
      </c>
      <c r="C26" t="s">
        <v>10952</v>
      </c>
      <c r="D26" t="s">
        <v>1952</v>
      </c>
      <c r="E26" t="s">
        <v>1953</v>
      </c>
      <c r="F26" t="s">
        <v>1954</v>
      </c>
      <c r="G26">
        <v>2</v>
      </c>
    </row>
    <row r="27" spans="1:7" ht="35.1" customHeight="1">
      <c r="A27" s="9" t="s">
        <v>8331</v>
      </c>
      <c r="C27" t="s">
        <v>10953</v>
      </c>
      <c r="D27" t="s">
        <v>1955</v>
      </c>
      <c r="E27" t="s">
        <v>1956</v>
      </c>
      <c r="F27" t="s">
        <v>1957</v>
      </c>
      <c r="G27">
        <v>1</v>
      </c>
    </row>
    <row r="28" spans="1:7" ht="35.1" customHeight="1">
      <c r="A28" s="9" t="s">
        <v>8332</v>
      </c>
      <c r="C28" t="s">
        <v>10954</v>
      </c>
      <c r="D28" t="s">
        <v>1958</v>
      </c>
      <c r="E28" t="s">
        <v>1959</v>
      </c>
      <c r="F28" t="s">
        <v>1960</v>
      </c>
      <c r="G28">
        <v>2</v>
      </c>
    </row>
    <row r="29" spans="1:7" ht="35.1" customHeight="1">
      <c r="A29" s="10" t="s">
        <v>8333</v>
      </c>
      <c r="C29" t="s">
        <v>1961</v>
      </c>
      <c r="D29" t="s">
        <v>1232</v>
      </c>
      <c r="E29" t="s">
        <v>10955</v>
      </c>
      <c r="F29" t="s">
        <v>10956</v>
      </c>
      <c r="G29">
        <v>2</v>
      </c>
    </row>
    <row r="30" spans="1:7" ht="35.1" customHeight="1">
      <c r="A30" s="11"/>
      <c r="C30" t="s">
        <v>10957</v>
      </c>
      <c r="D30" t="s">
        <v>9281</v>
      </c>
      <c r="E30" t="s">
        <v>9283</v>
      </c>
      <c r="F30" t="s">
        <v>9284</v>
      </c>
      <c r="G30">
        <v>1</v>
      </c>
    </row>
    <row r="31" spans="1:7" ht="35.1" customHeight="1">
      <c r="A31" s="9" t="s">
        <v>9250</v>
      </c>
      <c r="C31" t="s">
        <v>10958</v>
      </c>
      <c r="D31" t="s">
        <v>9287</v>
      </c>
      <c r="E31" t="s">
        <v>9289</v>
      </c>
      <c r="F31" t="s">
        <v>9290</v>
      </c>
      <c r="G31">
        <v>1</v>
      </c>
    </row>
    <row r="32" spans="1:7" ht="35.1" customHeight="1">
      <c r="A32" s="9" t="s">
        <v>93</v>
      </c>
      <c r="C32" t="s">
        <v>10959</v>
      </c>
      <c r="D32" t="s">
        <v>1962</v>
      </c>
      <c r="E32" t="s">
        <v>1963</v>
      </c>
      <c r="F32" t="s">
        <v>1964</v>
      </c>
      <c r="G32">
        <v>1</v>
      </c>
    </row>
    <row r="33" spans="1:7" ht="35.1" customHeight="1">
      <c r="A33" s="10" t="s">
        <v>1693</v>
      </c>
      <c r="C33" t="s">
        <v>1965</v>
      </c>
      <c r="D33" t="s">
        <v>1966</v>
      </c>
      <c r="E33" t="s">
        <v>1967</v>
      </c>
      <c r="F33" t="s">
        <v>1968</v>
      </c>
      <c r="G33">
        <v>0</v>
      </c>
    </row>
    <row r="34" spans="1:7" ht="35.1" customHeight="1">
      <c r="A34" s="9" t="s">
        <v>1899</v>
      </c>
      <c r="C34" t="s">
        <v>1969</v>
      </c>
      <c r="D34" t="s">
        <v>9294</v>
      </c>
      <c r="E34" t="s">
        <v>9295</v>
      </c>
      <c r="F34" t="s">
        <v>9297</v>
      </c>
      <c r="G34">
        <v>0</v>
      </c>
    </row>
    <row r="35" spans="1:7" ht="35.1" customHeight="1">
      <c r="A35" s="11"/>
      <c r="C35" t="s">
        <v>10960</v>
      </c>
      <c r="D35" t="s">
        <v>1970</v>
      </c>
      <c r="E35" t="s">
        <v>1971</v>
      </c>
      <c r="F35" t="s">
        <v>1972</v>
      </c>
      <c r="G35">
        <v>0</v>
      </c>
    </row>
    <row r="36" spans="1:7" ht="35.1" customHeight="1">
      <c r="A36" s="9" t="s">
        <v>9251</v>
      </c>
      <c r="C36" t="s">
        <v>10961</v>
      </c>
      <c r="D36" t="s">
        <v>1973</v>
      </c>
      <c r="E36" t="s">
        <v>1974</v>
      </c>
      <c r="F36" t="s">
        <v>1975</v>
      </c>
      <c r="G36">
        <v>2</v>
      </c>
    </row>
    <row r="37" spans="1:7" ht="35.1" customHeight="1">
      <c r="A37" s="10" t="s">
        <v>1900</v>
      </c>
      <c r="C37" t="s">
        <v>1977</v>
      </c>
      <c r="D37" t="s">
        <v>852</v>
      </c>
      <c r="E37" t="s">
        <v>853</v>
      </c>
      <c r="F37" t="s">
        <v>555</v>
      </c>
      <c r="G37">
        <v>1</v>
      </c>
    </row>
    <row r="38" spans="1:7" ht="35.1" customHeight="1">
      <c r="A38" s="9" t="s">
        <v>1901</v>
      </c>
      <c r="C38" t="s">
        <v>10962</v>
      </c>
      <c r="D38" t="s">
        <v>1978</v>
      </c>
      <c r="E38" t="s">
        <v>1950</v>
      </c>
      <c r="F38" t="s">
        <v>1979</v>
      </c>
      <c r="G38">
        <v>1</v>
      </c>
    </row>
    <row r="39" spans="1:7" ht="35.1" customHeight="1">
      <c r="A39" s="9" t="s">
        <v>1902</v>
      </c>
      <c r="C39" t="s">
        <v>10963</v>
      </c>
      <c r="D39" t="s">
        <v>599</v>
      </c>
      <c r="E39" t="s">
        <v>1980</v>
      </c>
      <c r="F39" t="s">
        <v>555</v>
      </c>
      <c r="G39">
        <v>1</v>
      </c>
    </row>
    <row r="40" spans="1:7" ht="35.1" customHeight="1">
      <c r="A40" s="11"/>
      <c r="C40" t="s">
        <v>1981</v>
      </c>
      <c r="D40" t="s">
        <v>1982</v>
      </c>
      <c r="E40" t="s">
        <v>1983</v>
      </c>
      <c r="F40" t="s">
        <v>1984</v>
      </c>
      <c r="G40">
        <v>2</v>
      </c>
    </row>
    <row r="41" spans="1:7" ht="35.1" customHeight="1">
      <c r="A41" s="9" t="s">
        <v>9252</v>
      </c>
      <c r="C41" t="s">
        <v>1985</v>
      </c>
      <c r="D41" t="s">
        <v>1986</v>
      </c>
      <c r="E41" t="s">
        <v>1987</v>
      </c>
      <c r="F41" t="s">
        <v>1988</v>
      </c>
      <c r="G41">
        <v>1</v>
      </c>
    </row>
    <row r="42" spans="1:7" ht="35.1" customHeight="1">
      <c r="A42" s="10" t="s">
        <v>1903</v>
      </c>
      <c r="C42" t="s">
        <v>10964</v>
      </c>
      <c r="D42" t="s">
        <v>1989</v>
      </c>
      <c r="E42" t="s">
        <v>523</v>
      </c>
      <c r="F42" t="s">
        <v>1990</v>
      </c>
      <c r="G42">
        <v>0</v>
      </c>
    </row>
    <row r="43" spans="1:7" ht="35.1" customHeight="1">
      <c r="A43" s="9" t="s">
        <v>1904</v>
      </c>
      <c r="C43" t="s">
        <v>1991</v>
      </c>
      <c r="D43" t="s">
        <v>1992</v>
      </c>
      <c r="E43" t="s">
        <v>1993</v>
      </c>
      <c r="F43" t="s">
        <v>1994</v>
      </c>
      <c r="G43">
        <v>0</v>
      </c>
    </row>
    <row r="44" spans="1:7" ht="35.1" customHeight="1">
      <c r="A44" s="9" t="s">
        <v>1905</v>
      </c>
    </row>
    <row r="45" spans="1:7" ht="35.1" customHeight="1">
      <c r="A45" s="11"/>
    </row>
    <row r="46" spans="1:7" ht="35.1" customHeight="1">
      <c r="A46" s="9" t="s">
        <v>1906</v>
      </c>
    </row>
    <row r="47" spans="1:7" ht="35.1" customHeight="1">
      <c r="A47" s="9" t="s">
        <v>1907</v>
      </c>
    </row>
    <row r="48" spans="1:7" ht="35.1" customHeight="1">
      <c r="A48" s="10" t="s">
        <v>1908</v>
      </c>
    </row>
    <row r="49" spans="1:1" ht="35.1" customHeight="1">
      <c r="A49" s="9" t="s">
        <v>1909</v>
      </c>
    </row>
    <row r="50" spans="1:1" ht="35.1" customHeight="1">
      <c r="A50" s="11"/>
    </row>
    <row r="51" spans="1:1" ht="35.1" customHeight="1">
      <c r="A51" s="9" t="s">
        <v>1910</v>
      </c>
    </row>
    <row r="52" spans="1:1" ht="35.1" customHeight="1">
      <c r="A52" s="9" t="s">
        <v>1911</v>
      </c>
    </row>
    <row r="53" spans="1:1" ht="35.1" customHeight="1">
      <c r="A53" s="9" t="s">
        <v>1912</v>
      </c>
    </row>
    <row r="54" spans="1:1" ht="35.1" customHeight="1">
      <c r="A54" s="10" t="s">
        <v>1913</v>
      </c>
    </row>
    <row r="55" spans="1:1" ht="35.1" customHeight="1">
      <c r="A55" s="11"/>
    </row>
    <row r="56" spans="1:1" ht="35.1" customHeight="1">
      <c r="A56" s="9" t="s">
        <v>1914</v>
      </c>
    </row>
    <row r="57" spans="1:1" ht="35.1" customHeight="1">
      <c r="A57" s="10" t="s">
        <v>9256</v>
      </c>
    </row>
    <row r="58" spans="1:1" ht="35.1" customHeight="1">
      <c r="A58" s="9" t="s">
        <v>9253</v>
      </c>
    </row>
    <row r="59" spans="1:1" ht="35.1" customHeight="1">
      <c r="A59" s="18" t="s">
        <v>9255</v>
      </c>
    </row>
    <row r="60" spans="1:1" ht="35.1" customHeight="1">
      <c r="A60" s="11"/>
    </row>
    <row r="61" spans="1:1" ht="35.1" customHeight="1">
      <c r="A61" s="9" t="s">
        <v>9257</v>
      </c>
    </row>
    <row r="62" spans="1:1" ht="35.1" customHeight="1">
      <c r="A62" s="10" t="s">
        <v>1915</v>
      </c>
    </row>
    <row r="63" spans="1:1" ht="35.1" customHeight="1">
      <c r="A63" s="9" t="s">
        <v>1916</v>
      </c>
    </row>
    <row r="64" spans="1:1" ht="35.1" customHeight="1">
      <c r="A64" s="9" t="s">
        <v>1917</v>
      </c>
    </row>
    <row r="65" spans="1:1" ht="35.1" customHeight="1">
      <c r="A65" s="11"/>
    </row>
    <row r="66" spans="1:1" ht="35.1" customHeight="1">
      <c r="A66" s="21" t="s">
        <v>9258</v>
      </c>
    </row>
    <row r="67" spans="1:1" ht="35.1" customHeight="1">
      <c r="A67" s="9" t="s">
        <v>1918</v>
      </c>
    </row>
    <row r="68" spans="1:1" ht="35.1" customHeight="1">
      <c r="A68" s="10" t="s">
        <v>1919</v>
      </c>
    </row>
    <row r="69" spans="1:1" ht="35.1" customHeight="1">
      <c r="A69" s="9" t="s">
        <v>1920</v>
      </c>
    </row>
    <row r="70" spans="1:1" ht="35.1" customHeight="1">
      <c r="A70" s="11"/>
    </row>
    <row r="71" spans="1:1" ht="35.1" customHeight="1">
      <c r="A71" s="9" t="s">
        <v>9259</v>
      </c>
    </row>
    <row r="72" spans="1:1" ht="35.1" customHeight="1">
      <c r="A72" s="9" t="s">
        <v>1921</v>
      </c>
    </row>
    <row r="73" spans="1:1" ht="35.1" customHeight="1">
      <c r="A73" s="9" t="s">
        <v>1922</v>
      </c>
    </row>
    <row r="74" spans="1:1" ht="35.1" customHeight="1">
      <c r="A74" s="10" t="s">
        <v>1923</v>
      </c>
    </row>
    <row r="75" spans="1:1" ht="35.1" customHeight="1">
      <c r="A75" s="11"/>
    </row>
    <row r="76" spans="1:1" ht="35.1" customHeight="1">
      <c r="A76" s="9" t="s">
        <v>9260</v>
      </c>
    </row>
    <row r="77" spans="1:1" ht="35.1" customHeight="1">
      <c r="A77" s="9" t="s">
        <v>1924</v>
      </c>
    </row>
    <row r="78" spans="1:1" ht="35.1" customHeight="1">
      <c r="A78" s="10" t="s">
        <v>1925</v>
      </c>
    </row>
    <row r="79" spans="1:1" ht="35.1" customHeight="1">
      <c r="A79" s="9" t="s">
        <v>1926</v>
      </c>
    </row>
    <row r="80" spans="1:1" ht="35.1" customHeight="1">
      <c r="A80" s="11"/>
    </row>
    <row r="81" spans="1:1" ht="35.1" customHeight="1">
      <c r="A81" s="9" t="s">
        <v>9261</v>
      </c>
    </row>
    <row r="82" spans="1:1" ht="35.1" customHeight="1">
      <c r="A82" s="9" t="s">
        <v>1927</v>
      </c>
    </row>
    <row r="83" spans="1:1" ht="35.1" customHeight="1">
      <c r="A83" s="10" t="s">
        <v>1928</v>
      </c>
    </row>
    <row r="84" spans="1:1" ht="35.1" customHeight="1">
      <c r="A84" s="9" t="s">
        <v>1929</v>
      </c>
    </row>
    <row r="85" spans="1:1" ht="35.1" customHeight="1">
      <c r="A85" s="11"/>
    </row>
    <row r="86" spans="1:1" ht="35.1" customHeight="1">
      <c r="A86" s="9" t="s">
        <v>9262</v>
      </c>
    </row>
    <row r="87" spans="1:1" ht="35.1" customHeight="1">
      <c r="A87" s="10" t="s">
        <v>1930</v>
      </c>
    </row>
    <row r="88" spans="1:1" ht="35.1" customHeight="1">
      <c r="A88" s="9" t="s">
        <v>1931</v>
      </c>
    </row>
    <row r="89" spans="1:1" ht="35.1" customHeight="1">
      <c r="A89" s="9" t="s">
        <v>1932</v>
      </c>
    </row>
    <row r="90" spans="1:1" ht="35.1" customHeight="1">
      <c r="A90" s="11"/>
    </row>
    <row r="91" spans="1:1" ht="35.1" customHeight="1">
      <c r="A91" s="9" t="s">
        <v>9263</v>
      </c>
    </row>
    <row r="92" spans="1:1" ht="35.1" customHeight="1">
      <c r="A92" s="9" t="s">
        <v>1933</v>
      </c>
    </row>
    <row r="93" spans="1:1" ht="35.1" customHeight="1">
      <c r="A93" s="9" t="s">
        <v>1934</v>
      </c>
    </row>
    <row r="94" spans="1:1" ht="35.1" customHeight="1">
      <c r="A94" s="10" t="s">
        <v>1935</v>
      </c>
    </row>
    <row r="95" spans="1:1" ht="35.1" customHeight="1">
      <c r="A95" s="11"/>
    </row>
    <row r="96" spans="1:1" ht="35.1" customHeight="1">
      <c r="A96" s="9" t="s">
        <v>9264</v>
      </c>
    </row>
    <row r="97" spans="1:1" ht="35.1" customHeight="1">
      <c r="A97" s="9" t="s">
        <v>1936</v>
      </c>
    </row>
    <row r="98" spans="1:1" ht="35.1" customHeight="1">
      <c r="A98" s="10" t="s">
        <v>1937</v>
      </c>
    </row>
    <row r="99" spans="1:1" ht="35.1" customHeight="1">
      <c r="A99" s="9" t="s">
        <v>1938</v>
      </c>
    </row>
    <row r="100" spans="1:1" ht="35.1" customHeight="1">
      <c r="A100" s="11"/>
    </row>
    <row r="101" spans="1:1" ht="35.1" customHeight="1">
      <c r="A101" s="9" t="s">
        <v>9265</v>
      </c>
    </row>
    <row r="102" spans="1:1" ht="35.1" customHeight="1">
      <c r="A102" s="9" t="s">
        <v>1939</v>
      </c>
    </row>
    <row r="103" spans="1:1" ht="35.1" customHeight="1">
      <c r="A103" s="9" t="s">
        <v>1940</v>
      </c>
    </row>
    <row r="104" spans="1:1" ht="35.1" customHeight="1">
      <c r="A104" s="10" t="s">
        <v>1941</v>
      </c>
    </row>
    <row r="105" spans="1:1" ht="35.1" customHeight="1">
      <c r="A105" s="11"/>
    </row>
    <row r="106" spans="1:1" ht="35.1" customHeight="1">
      <c r="A106" s="9" t="s">
        <v>9266</v>
      </c>
    </row>
    <row r="107" spans="1:1" ht="35.1" customHeight="1">
      <c r="A107" s="18" t="s">
        <v>9268</v>
      </c>
    </row>
    <row r="108" spans="1:1" ht="35.1" customHeight="1">
      <c r="A108" s="18" t="s">
        <v>9270</v>
      </c>
    </row>
    <row r="109" spans="1:1" ht="35.1" customHeight="1">
      <c r="A109" s="19" t="s">
        <v>9271</v>
      </c>
    </row>
    <row r="110" spans="1:1" ht="35.1" customHeight="1">
      <c r="A110" s="11"/>
    </row>
    <row r="111" spans="1:1" ht="35.1" customHeight="1">
      <c r="A111" s="9" t="s">
        <v>9272</v>
      </c>
    </row>
    <row r="112" spans="1:1" ht="35.1" customHeight="1">
      <c r="A112" s="9" t="s">
        <v>1942</v>
      </c>
    </row>
    <row r="113" spans="1:1" ht="35.1" customHeight="1">
      <c r="A113" s="9" t="s">
        <v>1943</v>
      </c>
    </row>
    <row r="114" spans="1:1" ht="35.1" customHeight="1">
      <c r="A114" s="10" t="s">
        <v>1944</v>
      </c>
    </row>
    <row r="115" spans="1:1" ht="35.1" customHeight="1">
      <c r="A115" s="11"/>
    </row>
    <row r="116" spans="1:1" ht="35.1" customHeight="1">
      <c r="A116" s="9" t="s">
        <v>1945</v>
      </c>
    </row>
    <row r="117" spans="1:1" ht="35.1" customHeight="1">
      <c r="A117" s="9" t="s">
        <v>1946</v>
      </c>
    </row>
    <row r="118" spans="1:1" ht="35.1" customHeight="1">
      <c r="A118" s="10" t="s">
        <v>1947</v>
      </c>
    </row>
    <row r="119" spans="1:1" ht="35.1" customHeight="1">
      <c r="A119" s="9" t="s">
        <v>1948</v>
      </c>
    </row>
    <row r="120" spans="1:1" ht="35.1" customHeight="1">
      <c r="A120" s="11"/>
    </row>
    <row r="121" spans="1:1" ht="35.1" customHeight="1">
      <c r="A121" s="9" t="s">
        <v>9273</v>
      </c>
    </row>
    <row r="122" spans="1:1" ht="35.1" customHeight="1">
      <c r="A122" s="9" t="s">
        <v>1949</v>
      </c>
    </row>
    <row r="123" spans="1:1" ht="35.1" customHeight="1">
      <c r="A123" s="9" t="s">
        <v>1950</v>
      </c>
    </row>
    <row r="124" spans="1:1" ht="35.1" customHeight="1">
      <c r="A124" s="10" t="s">
        <v>1951</v>
      </c>
    </row>
    <row r="125" spans="1:1" ht="35.1" customHeight="1">
      <c r="A125" s="11"/>
    </row>
    <row r="126" spans="1:1" ht="35.1" customHeight="1">
      <c r="A126" s="9" t="s">
        <v>9274</v>
      </c>
    </row>
    <row r="127" spans="1:1" ht="35.1" customHeight="1">
      <c r="A127" s="9" t="s">
        <v>1952</v>
      </c>
    </row>
    <row r="128" spans="1:1" ht="35.1" customHeight="1">
      <c r="A128" s="9" t="s">
        <v>1953</v>
      </c>
    </row>
    <row r="129" spans="1:1" ht="35.1" customHeight="1">
      <c r="A129" s="10" t="s">
        <v>1954</v>
      </c>
    </row>
    <row r="130" spans="1:1" ht="35.1" customHeight="1">
      <c r="A130" s="11"/>
    </row>
    <row r="131" spans="1:1" ht="35.1" customHeight="1">
      <c r="A131" s="9" t="s">
        <v>9275</v>
      </c>
    </row>
    <row r="132" spans="1:1" ht="35.1" customHeight="1">
      <c r="A132" s="9" t="s">
        <v>1955</v>
      </c>
    </row>
    <row r="133" spans="1:1" ht="35.1" customHeight="1">
      <c r="A133" s="10" t="s">
        <v>1956</v>
      </c>
    </row>
    <row r="134" spans="1:1" ht="35.1" customHeight="1">
      <c r="A134" s="9" t="s">
        <v>1957</v>
      </c>
    </row>
    <row r="135" spans="1:1" ht="35.1" customHeight="1">
      <c r="A135" s="11"/>
    </row>
    <row r="136" spans="1:1" ht="35.1" customHeight="1">
      <c r="A136" s="9" t="s">
        <v>9276</v>
      </c>
    </row>
    <row r="137" spans="1:1" ht="35.1" customHeight="1">
      <c r="A137" s="9" t="s">
        <v>1958</v>
      </c>
    </row>
    <row r="138" spans="1:1" ht="35.1" customHeight="1">
      <c r="A138" s="9" t="s">
        <v>1959</v>
      </c>
    </row>
    <row r="139" spans="1:1" ht="35.1" customHeight="1">
      <c r="A139" s="10" t="s">
        <v>1960</v>
      </c>
    </row>
    <row r="140" spans="1:1" ht="35.1" customHeight="1">
      <c r="A140" s="11"/>
    </row>
    <row r="141" spans="1:1" ht="35.1" customHeight="1">
      <c r="A141" s="9" t="s">
        <v>1961</v>
      </c>
    </row>
    <row r="142" spans="1:1" ht="35.1" customHeight="1">
      <c r="A142" s="9" t="s">
        <v>9277</v>
      </c>
    </row>
    <row r="143" spans="1:1" ht="35.1" customHeight="1">
      <c r="A143" s="9" t="s">
        <v>9278</v>
      </c>
    </row>
    <row r="144" spans="1:1" ht="35.1" customHeight="1">
      <c r="A144" s="10" t="s">
        <v>9279</v>
      </c>
    </row>
    <row r="145" spans="1:1" ht="35.1" customHeight="1">
      <c r="A145" s="11"/>
    </row>
    <row r="146" spans="1:1" ht="35.1" customHeight="1">
      <c r="A146" s="9" t="s">
        <v>9280</v>
      </c>
    </row>
    <row r="147" spans="1:1" ht="35.1" customHeight="1">
      <c r="A147" s="18" t="s">
        <v>9282</v>
      </c>
    </row>
    <row r="148" spans="1:1" ht="35.1" customHeight="1">
      <c r="A148" s="19" t="s">
        <v>9285</v>
      </c>
    </row>
    <row r="149" spans="1:1" ht="35.1" customHeight="1">
      <c r="A149" s="11" t="s">
        <v>9284</v>
      </c>
    </row>
    <row r="150" spans="1:1" ht="35.1" customHeight="1">
      <c r="A150" s="11"/>
    </row>
    <row r="151" spans="1:1" ht="35.1" customHeight="1">
      <c r="A151" s="9" t="s">
        <v>9286</v>
      </c>
    </row>
    <row r="152" spans="1:1" ht="35.1" customHeight="1">
      <c r="A152" s="18" t="s">
        <v>9288</v>
      </c>
    </row>
    <row r="153" spans="1:1" ht="35.1" customHeight="1">
      <c r="A153" s="19" t="s">
        <v>9292</v>
      </c>
    </row>
    <row r="154" spans="1:1" ht="35.1" customHeight="1">
      <c r="A154" s="18" t="s">
        <v>9291</v>
      </c>
    </row>
    <row r="155" spans="1:1" ht="35.1" customHeight="1">
      <c r="A155" s="11"/>
    </row>
    <row r="156" spans="1:1" ht="35.1" customHeight="1">
      <c r="A156" s="9" t="s">
        <v>9293</v>
      </c>
    </row>
    <row r="157" spans="1:1" ht="35.1" customHeight="1">
      <c r="A157" s="9" t="s">
        <v>1962</v>
      </c>
    </row>
    <row r="158" spans="1:1" ht="35.1" customHeight="1">
      <c r="A158" s="10" t="s">
        <v>1963</v>
      </c>
    </row>
    <row r="159" spans="1:1" ht="35.1" customHeight="1">
      <c r="A159" s="9" t="s">
        <v>1964</v>
      </c>
    </row>
    <row r="160" spans="1:1" ht="35.1" customHeight="1">
      <c r="A160" s="11"/>
    </row>
    <row r="161" spans="1:1" ht="35.1" customHeight="1">
      <c r="A161" s="9" t="s">
        <v>1965</v>
      </c>
    </row>
    <row r="162" spans="1:1" ht="35.1" customHeight="1">
      <c r="A162" s="10" t="s">
        <v>1966</v>
      </c>
    </row>
    <row r="163" spans="1:1" ht="35.1" customHeight="1">
      <c r="A163" s="9" t="s">
        <v>1967</v>
      </c>
    </row>
    <row r="164" spans="1:1" ht="35.1" customHeight="1">
      <c r="A164" s="9" t="s">
        <v>1968</v>
      </c>
    </row>
    <row r="165" spans="1:1" ht="35.1" customHeight="1">
      <c r="A165" s="11"/>
    </row>
    <row r="166" spans="1:1" ht="35.1" customHeight="1">
      <c r="A166" s="9" t="s">
        <v>1969</v>
      </c>
    </row>
    <row r="167" spans="1:1" ht="35.1" customHeight="1">
      <c r="A167" s="19" t="s">
        <v>9294</v>
      </c>
    </row>
    <row r="168" spans="1:1" ht="35.1" customHeight="1">
      <c r="A168" s="18" t="s">
        <v>9296</v>
      </c>
    </row>
    <row r="169" spans="1:1" ht="35.1" customHeight="1">
      <c r="A169" s="18" t="s">
        <v>9298</v>
      </c>
    </row>
    <row r="170" spans="1:1" ht="35.1" customHeight="1">
      <c r="A170" s="11"/>
    </row>
    <row r="171" spans="1:1" ht="35.1" customHeight="1">
      <c r="A171" s="9" t="s">
        <v>9299</v>
      </c>
    </row>
    <row r="172" spans="1:1" ht="35.1" customHeight="1">
      <c r="A172" s="10" t="s">
        <v>1970</v>
      </c>
    </row>
    <row r="173" spans="1:1" ht="35.1" customHeight="1">
      <c r="A173" s="9" t="s">
        <v>1971</v>
      </c>
    </row>
    <row r="174" spans="1:1" ht="35.1" customHeight="1">
      <c r="A174" s="9" t="s">
        <v>1972</v>
      </c>
    </row>
    <row r="175" spans="1:1" ht="35.1" customHeight="1">
      <c r="A175" s="11"/>
    </row>
    <row r="176" spans="1:1" ht="35.1" customHeight="1">
      <c r="A176" s="9" t="s">
        <v>9300</v>
      </c>
    </row>
    <row r="177" spans="1:1" ht="35.1" customHeight="1">
      <c r="A177" s="9" t="s">
        <v>1973</v>
      </c>
    </row>
    <row r="178" spans="1:1" ht="35.1" customHeight="1">
      <c r="A178" s="9" t="s">
        <v>1974</v>
      </c>
    </row>
    <row r="179" spans="1:1" ht="35.1" customHeight="1">
      <c r="A179" s="10" t="s">
        <v>1975</v>
      </c>
    </row>
    <row r="180" spans="1:1" ht="35.1" customHeight="1">
      <c r="A180" s="11"/>
    </row>
    <row r="181" spans="1:1" ht="35.1" customHeight="1">
      <c r="A181" s="9" t="s">
        <v>1977</v>
      </c>
    </row>
    <row r="182" spans="1:1" ht="35.1" customHeight="1">
      <c r="A182" s="9" t="s">
        <v>852</v>
      </c>
    </row>
    <row r="183" spans="1:1" ht="35.1" customHeight="1">
      <c r="A183" s="10" t="s">
        <v>853</v>
      </c>
    </row>
    <row r="184" spans="1:1" ht="35.1" customHeight="1">
      <c r="A184" s="9" t="s">
        <v>555</v>
      </c>
    </row>
    <row r="185" spans="1:1" ht="35.1" customHeight="1">
      <c r="A185" s="11"/>
    </row>
    <row r="186" spans="1:1" ht="35.1" customHeight="1">
      <c r="A186" s="9" t="s">
        <v>9301</v>
      </c>
    </row>
    <row r="187" spans="1:1" ht="35.1" customHeight="1">
      <c r="A187" s="9" t="s">
        <v>1978</v>
      </c>
    </row>
    <row r="188" spans="1:1" ht="35.1" customHeight="1">
      <c r="A188" s="10" t="s">
        <v>1950</v>
      </c>
    </row>
    <row r="189" spans="1:1" ht="35.1" customHeight="1">
      <c r="A189" s="9" t="s">
        <v>1979</v>
      </c>
    </row>
    <row r="190" spans="1:1" ht="35.1" customHeight="1">
      <c r="A190" s="11"/>
    </row>
    <row r="191" spans="1:1" ht="35.1" customHeight="1">
      <c r="A191" s="9" t="s">
        <v>9303</v>
      </c>
    </row>
    <row r="192" spans="1:1" ht="35.1" customHeight="1">
      <c r="A192" s="18" t="s">
        <v>9302</v>
      </c>
    </row>
    <row r="193" spans="1:1" ht="35.1" customHeight="1">
      <c r="A193" s="10" t="s">
        <v>1980</v>
      </c>
    </row>
    <row r="194" spans="1:1" ht="35.1" customHeight="1">
      <c r="A194" s="9" t="s">
        <v>555</v>
      </c>
    </row>
    <row r="195" spans="1:1" ht="35.1" customHeight="1">
      <c r="A195" s="11"/>
    </row>
    <row r="196" spans="1:1" ht="35.1" customHeight="1">
      <c r="A196" s="9" t="s">
        <v>1981</v>
      </c>
    </row>
    <row r="197" spans="1:1" ht="35.1" customHeight="1">
      <c r="A197" s="9" t="s">
        <v>1982</v>
      </c>
    </row>
    <row r="198" spans="1:1" ht="35.1" customHeight="1">
      <c r="A198" s="9" t="s">
        <v>1983</v>
      </c>
    </row>
    <row r="199" spans="1:1" ht="35.1" customHeight="1">
      <c r="A199" s="10" t="s">
        <v>1984</v>
      </c>
    </row>
    <row r="200" spans="1:1" ht="35.1" customHeight="1">
      <c r="A200" s="11"/>
    </row>
    <row r="201" spans="1:1" ht="35.1" customHeight="1">
      <c r="A201" s="9" t="s">
        <v>1985</v>
      </c>
    </row>
    <row r="202" spans="1:1" ht="35.1" customHeight="1">
      <c r="A202" s="9" t="s">
        <v>1986</v>
      </c>
    </row>
    <row r="203" spans="1:1" ht="35.1" customHeight="1">
      <c r="A203" s="10" t="s">
        <v>1987</v>
      </c>
    </row>
    <row r="204" spans="1:1" ht="35.1" customHeight="1">
      <c r="A204" s="9" t="s">
        <v>1988</v>
      </c>
    </row>
    <row r="205" spans="1:1" ht="35.1" customHeight="1">
      <c r="A205" s="11"/>
    </row>
    <row r="206" spans="1:1" ht="35.1" customHeight="1">
      <c r="A206" s="9" t="s">
        <v>9304</v>
      </c>
    </row>
    <row r="207" spans="1:1" s="30" customFormat="1" ht="35.1" customHeight="1">
      <c r="A207" s="10" t="s">
        <v>1989</v>
      </c>
    </row>
    <row r="208" spans="1:1" ht="35.1" customHeight="1">
      <c r="A208" s="9" t="s">
        <v>523</v>
      </c>
    </row>
    <row r="209" spans="1:1" ht="35.1" customHeight="1">
      <c r="A209" s="9" t="s">
        <v>1990</v>
      </c>
    </row>
    <row r="210" spans="1:1" ht="35.1" customHeight="1">
      <c r="A210" s="11"/>
    </row>
    <row r="211" spans="1:1" ht="35.1" customHeight="1">
      <c r="A211" s="9" t="s">
        <v>1991</v>
      </c>
    </row>
    <row r="212" spans="1:1" ht="35.1" customHeight="1">
      <c r="A212" s="10" t="s">
        <v>1992</v>
      </c>
    </row>
    <row r="213" spans="1:1" ht="35.1" customHeight="1">
      <c r="A213" s="9" t="s">
        <v>1993</v>
      </c>
    </row>
    <row r="214" spans="1:1" ht="35.1" customHeight="1">
      <c r="A214" s="9" t="s">
        <v>1994</v>
      </c>
    </row>
    <row r="215" spans="1:1" ht="35.1" customHeight="1">
      <c r="A215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838"/>
  <sheetViews>
    <sheetView workbookViewId="0">
      <selection activeCell="G120" sqref="C1:G120"/>
    </sheetView>
  </sheetViews>
  <sheetFormatPr defaultRowHeight="35.1" customHeight="1"/>
  <cols>
    <col min="1" max="1" width="37.75" customWidth="1"/>
    <col min="2" max="2" width="9" style="42"/>
    <col min="6" max="6" width="22.5" bestFit="1" customWidth="1"/>
  </cols>
  <sheetData>
    <row r="1" spans="1:7" ht="35.1" customHeight="1">
      <c r="A1" s="28" t="s">
        <v>11514</v>
      </c>
      <c r="B1" s="7" t="s">
        <v>11993</v>
      </c>
      <c r="C1" t="s">
        <v>11514</v>
      </c>
      <c r="D1" t="s">
        <v>11515</v>
      </c>
      <c r="E1" t="s">
        <v>11516</v>
      </c>
      <c r="F1" t="s">
        <v>11994</v>
      </c>
      <c r="G1">
        <v>2</v>
      </c>
    </row>
    <row r="2" spans="1:7" ht="35.1" customHeight="1">
      <c r="C2" t="s">
        <v>12114</v>
      </c>
      <c r="D2" t="s">
        <v>11995</v>
      </c>
      <c r="E2" t="s">
        <v>11520</v>
      </c>
      <c r="F2" t="s">
        <v>11521</v>
      </c>
      <c r="G2">
        <v>0</v>
      </c>
    </row>
    <row r="3" spans="1:7" ht="35.1" customHeight="1">
      <c r="A3" s="27" t="s">
        <v>11515</v>
      </c>
      <c r="C3" t="s">
        <v>12115</v>
      </c>
      <c r="D3" t="s">
        <v>11523</v>
      </c>
      <c r="E3" t="s">
        <v>11996</v>
      </c>
      <c r="F3" t="s">
        <v>11525</v>
      </c>
      <c r="G3">
        <v>1</v>
      </c>
    </row>
    <row r="4" spans="1:7" ht="35.1" customHeight="1">
      <c r="A4" s="27" t="s">
        <v>11516</v>
      </c>
      <c r="C4" t="s">
        <v>11526</v>
      </c>
      <c r="D4" t="s">
        <v>11997</v>
      </c>
      <c r="E4" t="s">
        <v>11528</v>
      </c>
      <c r="F4" t="s">
        <v>11529</v>
      </c>
      <c r="G4">
        <v>0</v>
      </c>
    </row>
    <row r="5" spans="1:7" ht="35.1" customHeight="1">
      <c r="A5" s="27" t="s">
        <v>11517</v>
      </c>
      <c r="C5" t="s">
        <v>11530</v>
      </c>
      <c r="D5" t="s">
        <v>11531</v>
      </c>
      <c r="E5" t="s">
        <v>11998</v>
      </c>
      <c r="F5" t="s">
        <v>11533</v>
      </c>
      <c r="G5">
        <v>1</v>
      </c>
    </row>
    <row r="6" spans="1:7" ht="35.1" customHeight="1">
      <c r="C6" t="s">
        <v>12116</v>
      </c>
      <c r="D6" t="s">
        <v>11535</v>
      </c>
      <c r="E6" t="s">
        <v>11536</v>
      </c>
      <c r="F6" t="s">
        <v>11999</v>
      </c>
      <c r="G6">
        <v>2</v>
      </c>
    </row>
    <row r="7" spans="1:7" ht="35.1" customHeight="1">
      <c r="C7" t="s">
        <v>11538</v>
      </c>
      <c r="D7" t="s">
        <v>12000</v>
      </c>
      <c r="E7" t="s">
        <v>11540</v>
      </c>
      <c r="F7" t="s">
        <v>11541</v>
      </c>
      <c r="G7">
        <v>0</v>
      </c>
    </row>
    <row r="8" spans="1:7" ht="35.1" customHeight="1">
      <c r="A8" s="28" t="s">
        <v>11518</v>
      </c>
      <c r="C8" t="s">
        <v>11542</v>
      </c>
      <c r="D8" t="s">
        <v>11543</v>
      </c>
      <c r="E8" t="s">
        <v>12001</v>
      </c>
      <c r="F8" t="s">
        <v>11545</v>
      </c>
      <c r="G8">
        <v>1</v>
      </c>
    </row>
    <row r="9" spans="1:7" ht="35.1" customHeight="1">
      <c r="C9" s="43" t="s">
        <v>12117</v>
      </c>
      <c r="D9" t="s">
        <v>11547</v>
      </c>
      <c r="E9" t="s">
        <v>11548</v>
      </c>
      <c r="F9" t="s">
        <v>12002</v>
      </c>
      <c r="G9">
        <v>2</v>
      </c>
    </row>
    <row r="10" spans="1:7" ht="35.1" customHeight="1">
      <c r="A10" s="27" t="s">
        <v>11519</v>
      </c>
      <c r="C10" t="s">
        <v>11550</v>
      </c>
      <c r="D10" t="s">
        <v>12003</v>
      </c>
      <c r="E10" t="s">
        <v>11552</v>
      </c>
      <c r="F10" t="s">
        <v>11553</v>
      </c>
      <c r="G10">
        <v>0</v>
      </c>
    </row>
    <row r="11" spans="1:7" ht="35.1" customHeight="1">
      <c r="A11" s="27" t="s">
        <v>11520</v>
      </c>
      <c r="C11" t="s">
        <v>11554</v>
      </c>
      <c r="D11" t="s">
        <v>11555</v>
      </c>
      <c r="E11" t="s">
        <v>12004</v>
      </c>
      <c r="F11" t="s">
        <v>11557</v>
      </c>
      <c r="G11">
        <v>1</v>
      </c>
    </row>
    <row r="12" spans="1:7" ht="35.1" customHeight="1">
      <c r="A12" s="27" t="s">
        <v>11521</v>
      </c>
      <c r="C12" t="s">
        <v>12118</v>
      </c>
      <c r="D12" t="s">
        <v>11559</v>
      </c>
      <c r="E12" t="s">
        <v>11560</v>
      </c>
      <c r="F12" t="s">
        <v>12005</v>
      </c>
      <c r="G12">
        <v>2</v>
      </c>
    </row>
    <row r="13" spans="1:7" ht="35.1" customHeight="1">
      <c r="C13" t="s">
        <v>11562</v>
      </c>
      <c r="D13" t="s">
        <v>12006</v>
      </c>
      <c r="E13" t="s">
        <v>11564</v>
      </c>
      <c r="F13" t="s">
        <v>11565</v>
      </c>
      <c r="G13">
        <v>0</v>
      </c>
    </row>
    <row r="14" spans="1:7" ht="35.1" customHeight="1">
      <c r="C14" t="s">
        <v>11566</v>
      </c>
      <c r="D14" t="s">
        <v>11567</v>
      </c>
      <c r="E14" t="s">
        <v>12007</v>
      </c>
      <c r="F14" t="s">
        <v>11569</v>
      </c>
      <c r="G14">
        <v>1</v>
      </c>
    </row>
    <row r="15" spans="1:7" ht="35.1" customHeight="1">
      <c r="A15" s="28" t="s">
        <v>11522</v>
      </c>
      <c r="C15" t="s">
        <v>11570</v>
      </c>
      <c r="D15" t="s">
        <v>11571</v>
      </c>
      <c r="E15" t="s">
        <v>11572</v>
      </c>
      <c r="F15" t="s">
        <v>12008</v>
      </c>
      <c r="G15">
        <v>2</v>
      </c>
    </row>
    <row r="16" spans="1:7" ht="35.1" customHeight="1">
      <c r="C16" t="s">
        <v>11574</v>
      </c>
      <c r="D16" t="s">
        <v>11575</v>
      </c>
      <c r="E16" t="s">
        <v>12009</v>
      </c>
      <c r="F16" t="s">
        <v>11577</v>
      </c>
      <c r="G16">
        <v>1</v>
      </c>
    </row>
    <row r="17" spans="1:7" ht="35.1" customHeight="1">
      <c r="A17" s="27" t="s">
        <v>11523</v>
      </c>
      <c r="C17" t="s">
        <v>11578</v>
      </c>
      <c r="D17" t="s">
        <v>11579</v>
      </c>
      <c r="E17" t="s">
        <v>12010</v>
      </c>
      <c r="F17" t="s">
        <v>11581</v>
      </c>
      <c r="G17">
        <v>1</v>
      </c>
    </row>
    <row r="18" spans="1:7" ht="35.1" customHeight="1">
      <c r="A18" s="27" t="s">
        <v>11524</v>
      </c>
      <c r="C18" t="s">
        <v>11582</v>
      </c>
      <c r="D18" t="s">
        <v>12011</v>
      </c>
      <c r="E18" t="s">
        <v>11584</v>
      </c>
      <c r="F18" t="s">
        <v>11585</v>
      </c>
      <c r="G18">
        <v>0</v>
      </c>
    </row>
    <row r="19" spans="1:7" ht="35.1" customHeight="1">
      <c r="A19" s="27" t="s">
        <v>11525</v>
      </c>
      <c r="C19" t="s">
        <v>12119</v>
      </c>
      <c r="D19" t="s">
        <v>12012</v>
      </c>
      <c r="E19" t="s">
        <v>11588</v>
      </c>
      <c r="F19" t="s">
        <v>11589</v>
      </c>
      <c r="G19">
        <v>0</v>
      </c>
    </row>
    <row r="20" spans="1:7" ht="35.1" customHeight="1">
      <c r="C20" t="s">
        <v>11590</v>
      </c>
      <c r="D20" t="s">
        <v>11591</v>
      </c>
      <c r="E20" t="s">
        <v>11592</v>
      </c>
      <c r="F20" t="s">
        <v>12013</v>
      </c>
      <c r="G20">
        <v>2</v>
      </c>
    </row>
    <row r="21" spans="1:7" ht="35.1" customHeight="1">
      <c r="C21" t="s">
        <v>11594</v>
      </c>
      <c r="D21" t="s">
        <v>11595</v>
      </c>
      <c r="E21" t="s">
        <v>11596</v>
      </c>
      <c r="F21" t="s">
        <v>12014</v>
      </c>
      <c r="G21">
        <v>2</v>
      </c>
    </row>
    <row r="22" spans="1:7" ht="35.1" customHeight="1">
      <c r="A22" s="28" t="s">
        <v>11526</v>
      </c>
      <c r="C22" t="s">
        <v>12120</v>
      </c>
      <c r="D22" t="s">
        <v>11599</v>
      </c>
      <c r="E22" t="s">
        <v>12015</v>
      </c>
      <c r="F22" t="s">
        <v>11601</v>
      </c>
      <c r="G22">
        <v>1</v>
      </c>
    </row>
    <row r="23" spans="1:7" ht="35.1" customHeight="1">
      <c r="C23" t="s">
        <v>11602</v>
      </c>
      <c r="D23" t="s">
        <v>12016</v>
      </c>
      <c r="E23" t="s">
        <v>11604</v>
      </c>
      <c r="F23" t="s">
        <v>11605</v>
      </c>
      <c r="G23">
        <v>0</v>
      </c>
    </row>
    <row r="24" spans="1:7" ht="35.1" customHeight="1">
      <c r="A24" s="27" t="s">
        <v>11527</v>
      </c>
      <c r="C24" s="43" t="s">
        <v>11606</v>
      </c>
      <c r="D24" t="s">
        <v>11607</v>
      </c>
      <c r="E24" t="s">
        <v>11608</v>
      </c>
      <c r="F24" t="s">
        <v>12017</v>
      </c>
      <c r="G24">
        <v>2</v>
      </c>
    </row>
    <row r="25" spans="1:7" ht="35.1" customHeight="1">
      <c r="A25" s="27" t="s">
        <v>11528</v>
      </c>
      <c r="C25" s="43" t="s">
        <v>11610</v>
      </c>
      <c r="D25" t="s">
        <v>11611</v>
      </c>
      <c r="E25" t="s">
        <v>11612</v>
      </c>
      <c r="F25" t="s">
        <v>12018</v>
      </c>
      <c r="G25">
        <v>2</v>
      </c>
    </row>
    <row r="26" spans="1:7" ht="35.1" customHeight="1">
      <c r="A26" s="27" t="s">
        <v>11529</v>
      </c>
      <c r="C26" t="s">
        <v>11614</v>
      </c>
      <c r="D26" t="s">
        <v>12019</v>
      </c>
      <c r="E26" t="s">
        <v>11616</v>
      </c>
      <c r="F26" t="s">
        <v>11617</v>
      </c>
      <c r="G26">
        <v>0</v>
      </c>
    </row>
    <row r="27" spans="1:7" ht="35.1" customHeight="1">
      <c r="C27" s="43" t="s">
        <v>11618</v>
      </c>
      <c r="D27" t="s">
        <v>11619</v>
      </c>
      <c r="E27" t="s">
        <v>12020</v>
      </c>
      <c r="F27" t="s">
        <v>11621</v>
      </c>
      <c r="G27">
        <v>1</v>
      </c>
    </row>
    <row r="28" spans="1:7" ht="35.1" customHeight="1">
      <c r="C28" t="s">
        <v>11622</v>
      </c>
      <c r="D28" t="s">
        <v>12021</v>
      </c>
      <c r="E28" t="s">
        <v>11624</v>
      </c>
      <c r="F28" t="s">
        <v>11625</v>
      </c>
      <c r="G28">
        <v>0</v>
      </c>
    </row>
    <row r="29" spans="1:7" ht="35.1" customHeight="1">
      <c r="A29" s="28" t="s">
        <v>11530</v>
      </c>
      <c r="C29" t="s">
        <v>11626</v>
      </c>
      <c r="D29" t="s">
        <v>11627</v>
      </c>
      <c r="E29" t="s">
        <v>11628</v>
      </c>
      <c r="F29" t="s">
        <v>12022</v>
      </c>
      <c r="G29">
        <v>2</v>
      </c>
    </row>
    <row r="30" spans="1:7" ht="35.1" customHeight="1">
      <c r="C30" t="s">
        <v>11630</v>
      </c>
      <c r="D30" t="s">
        <v>12023</v>
      </c>
      <c r="E30" t="s">
        <v>11632</v>
      </c>
      <c r="F30" t="s">
        <v>11633</v>
      </c>
      <c r="G30">
        <v>0</v>
      </c>
    </row>
    <row r="31" spans="1:7" ht="35.1" customHeight="1">
      <c r="A31" s="27" t="s">
        <v>11531</v>
      </c>
      <c r="C31" t="s">
        <v>11634</v>
      </c>
      <c r="D31" t="s">
        <v>11635</v>
      </c>
      <c r="E31" t="s">
        <v>11636</v>
      </c>
      <c r="F31" t="s">
        <v>12024</v>
      </c>
      <c r="G31">
        <v>2</v>
      </c>
    </row>
    <row r="32" spans="1:7" ht="35.1" customHeight="1">
      <c r="A32" s="27" t="s">
        <v>11532</v>
      </c>
      <c r="C32" t="s">
        <v>11638</v>
      </c>
      <c r="D32" t="s">
        <v>12025</v>
      </c>
      <c r="E32" t="s">
        <v>11640</v>
      </c>
      <c r="F32" t="s">
        <v>11641</v>
      </c>
      <c r="G32">
        <v>0</v>
      </c>
    </row>
    <row r="33" spans="1:7" ht="35.1" customHeight="1">
      <c r="A33" s="27" t="s">
        <v>11533</v>
      </c>
      <c r="C33" t="s">
        <v>11642</v>
      </c>
      <c r="D33" t="s">
        <v>11643</v>
      </c>
      <c r="E33" t="s">
        <v>12026</v>
      </c>
      <c r="F33" t="s">
        <v>11645</v>
      </c>
      <c r="G33">
        <v>1</v>
      </c>
    </row>
    <row r="34" spans="1:7" ht="35.1" customHeight="1">
      <c r="C34" t="s">
        <v>11646</v>
      </c>
      <c r="D34" t="s">
        <v>11647</v>
      </c>
      <c r="E34" t="s">
        <v>12027</v>
      </c>
      <c r="F34" t="s">
        <v>11649</v>
      </c>
      <c r="G34">
        <v>1</v>
      </c>
    </row>
    <row r="35" spans="1:7" ht="35.1" customHeight="1">
      <c r="C35" t="s">
        <v>12121</v>
      </c>
      <c r="D35" t="s">
        <v>11651</v>
      </c>
      <c r="E35" t="s">
        <v>11652</v>
      </c>
      <c r="F35" t="s">
        <v>12028</v>
      </c>
      <c r="G35">
        <v>2</v>
      </c>
    </row>
    <row r="36" spans="1:7" ht="35.1" customHeight="1">
      <c r="A36" s="28" t="s">
        <v>11534</v>
      </c>
      <c r="C36" t="s">
        <v>12122</v>
      </c>
      <c r="D36" t="s">
        <v>11655</v>
      </c>
      <c r="E36" t="s">
        <v>12029</v>
      </c>
      <c r="F36" t="s">
        <v>11657</v>
      </c>
      <c r="G36">
        <v>1</v>
      </c>
    </row>
    <row r="37" spans="1:7" ht="35.1" customHeight="1">
      <c r="C37" t="s">
        <v>11658</v>
      </c>
      <c r="D37" t="s">
        <v>11659</v>
      </c>
      <c r="E37" t="s">
        <v>11660</v>
      </c>
      <c r="F37" t="s">
        <v>12030</v>
      </c>
      <c r="G37">
        <v>2</v>
      </c>
    </row>
    <row r="38" spans="1:7" ht="35.1" customHeight="1">
      <c r="A38" s="27" t="s">
        <v>11535</v>
      </c>
      <c r="C38" t="s">
        <v>11662</v>
      </c>
      <c r="D38" t="s">
        <v>11663</v>
      </c>
      <c r="E38" t="s">
        <v>11664</v>
      </c>
      <c r="F38" t="s">
        <v>12031</v>
      </c>
      <c r="G38">
        <v>2</v>
      </c>
    </row>
    <row r="39" spans="1:7" ht="35.1" customHeight="1">
      <c r="A39" s="27" t="s">
        <v>11536</v>
      </c>
      <c r="C39" t="s">
        <v>11666</v>
      </c>
      <c r="D39" t="s">
        <v>12032</v>
      </c>
      <c r="E39" t="s">
        <v>11668</v>
      </c>
      <c r="F39" t="s">
        <v>11669</v>
      </c>
      <c r="G39">
        <v>0</v>
      </c>
    </row>
    <row r="40" spans="1:7" ht="35.1" customHeight="1">
      <c r="A40" s="27" t="s">
        <v>11537</v>
      </c>
      <c r="C40" t="s">
        <v>11670</v>
      </c>
      <c r="D40" t="s">
        <v>11671</v>
      </c>
      <c r="E40" t="s">
        <v>11672</v>
      </c>
      <c r="F40" t="s">
        <v>12033</v>
      </c>
      <c r="G40">
        <v>2</v>
      </c>
    </row>
    <row r="41" spans="1:7" ht="35.1" customHeight="1">
      <c r="C41" t="s">
        <v>11674</v>
      </c>
      <c r="D41" t="s">
        <v>11675</v>
      </c>
      <c r="E41" t="s">
        <v>12034</v>
      </c>
      <c r="F41" t="s">
        <v>11677</v>
      </c>
      <c r="G41">
        <v>1</v>
      </c>
    </row>
    <row r="42" spans="1:7" ht="35.1" customHeight="1">
      <c r="C42" t="s">
        <v>12123</v>
      </c>
      <c r="D42" t="s">
        <v>11679</v>
      </c>
      <c r="E42" t="s">
        <v>11680</v>
      </c>
      <c r="F42" t="s">
        <v>12035</v>
      </c>
      <c r="G42">
        <v>2</v>
      </c>
    </row>
    <row r="43" spans="1:7" ht="35.1" customHeight="1">
      <c r="A43" s="28" t="s">
        <v>11538</v>
      </c>
      <c r="C43" t="s">
        <v>12124</v>
      </c>
      <c r="D43" t="s">
        <v>11683</v>
      </c>
      <c r="E43" t="s">
        <v>12036</v>
      </c>
      <c r="F43" t="s">
        <v>11685</v>
      </c>
      <c r="G43">
        <v>1</v>
      </c>
    </row>
    <row r="44" spans="1:7" ht="35.1" customHeight="1">
      <c r="C44" t="s">
        <v>11686</v>
      </c>
      <c r="D44" t="s">
        <v>12037</v>
      </c>
      <c r="E44" t="s">
        <v>11688</v>
      </c>
      <c r="F44" t="s">
        <v>11689</v>
      </c>
      <c r="G44">
        <v>0</v>
      </c>
    </row>
    <row r="45" spans="1:7" ht="35.1" customHeight="1">
      <c r="A45" s="27" t="s">
        <v>11539</v>
      </c>
      <c r="C45" t="s">
        <v>11690</v>
      </c>
      <c r="D45" t="s">
        <v>11691</v>
      </c>
      <c r="E45" t="s">
        <v>11692</v>
      </c>
      <c r="F45" t="s">
        <v>12038</v>
      </c>
      <c r="G45">
        <v>2</v>
      </c>
    </row>
    <row r="46" spans="1:7" ht="35.1" customHeight="1">
      <c r="A46" s="27" t="s">
        <v>11540</v>
      </c>
      <c r="C46" t="s">
        <v>11694</v>
      </c>
      <c r="D46" t="s">
        <v>12039</v>
      </c>
      <c r="E46" t="s">
        <v>11696</v>
      </c>
      <c r="F46" t="s">
        <v>11697</v>
      </c>
      <c r="G46">
        <v>0</v>
      </c>
    </row>
    <row r="47" spans="1:7" ht="35.1" customHeight="1">
      <c r="A47" s="27" t="s">
        <v>11541</v>
      </c>
      <c r="C47" t="s">
        <v>11698</v>
      </c>
      <c r="D47" t="s">
        <v>12040</v>
      </c>
      <c r="E47" t="s">
        <v>11700</v>
      </c>
      <c r="F47" t="s">
        <v>11701</v>
      </c>
      <c r="G47">
        <v>0</v>
      </c>
    </row>
    <row r="48" spans="1:7" ht="35.1" customHeight="1">
      <c r="C48" t="s">
        <v>11702</v>
      </c>
      <c r="D48" t="s">
        <v>11703</v>
      </c>
      <c r="E48" t="s">
        <v>11704</v>
      </c>
      <c r="F48" t="s">
        <v>12041</v>
      </c>
      <c r="G48">
        <v>2</v>
      </c>
    </row>
    <row r="49" spans="1:7" ht="35.1" customHeight="1">
      <c r="C49" t="s">
        <v>11706</v>
      </c>
      <c r="D49" t="s">
        <v>12042</v>
      </c>
      <c r="E49" t="s">
        <v>11708</v>
      </c>
      <c r="F49" t="s">
        <v>11709</v>
      </c>
      <c r="G49">
        <v>0</v>
      </c>
    </row>
    <row r="50" spans="1:7" ht="35.1" customHeight="1">
      <c r="A50" s="28" t="s">
        <v>11542</v>
      </c>
      <c r="C50" t="s">
        <v>11710</v>
      </c>
      <c r="D50" t="s">
        <v>11711</v>
      </c>
      <c r="E50" t="s">
        <v>12043</v>
      </c>
      <c r="F50" t="s">
        <v>11713</v>
      </c>
      <c r="G50">
        <v>1</v>
      </c>
    </row>
    <row r="51" spans="1:7" ht="35.1" customHeight="1">
      <c r="C51" t="s">
        <v>11714</v>
      </c>
      <c r="D51" t="s">
        <v>11715</v>
      </c>
      <c r="E51" t="s">
        <v>11716</v>
      </c>
      <c r="F51" t="s">
        <v>12044</v>
      </c>
      <c r="G51">
        <v>2</v>
      </c>
    </row>
    <row r="52" spans="1:7" ht="35.1" customHeight="1">
      <c r="A52" s="27" t="s">
        <v>11543</v>
      </c>
      <c r="C52" t="s">
        <v>11718</v>
      </c>
      <c r="D52" t="s">
        <v>11719</v>
      </c>
      <c r="E52" t="s">
        <v>12045</v>
      </c>
      <c r="F52" t="s">
        <v>11721</v>
      </c>
      <c r="G52">
        <v>1</v>
      </c>
    </row>
    <row r="53" spans="1:7" ht="35.1" customHeight="1">
      <c r="A53" s="27" t="s">
        <v>11544</v>
      </c>
      <c r="C53" t="s">
        <v>11722</v>
      </c>
      <c r="D53" t="s">
        <v>12046</v>
      </c>
      <c r="E53" t="s">
        <v>11724</v>
      </c>
      <c r="F53" t="s">
        <v>11725</v>
      </c>
      <c r="G53">
        <v>0</v>
      </c>
    </row>
    <row r="54" spans="1:7" ht="35.1" customHeight="1">
      <c r="A54" s="27" t="s">
        <v>11545</v>
      </c>
      <c r="C54" t="s">
        <v>11726</v>
      </c>
      <c r="D54" t="s">
        <v>11727</v>
      </c>
      <c r="E54" t="s">
        <v>12047</v>
      </c>
      <c r="F54" t="s">
        <v>11729</v>
      </c>
      <c r="G54">
        <v>1</v>
      </c>
    </row>
    <row r="55" spans="1:7" ht="35.1" customHeight="1">
      <c r="C55" t="s">
        <v>11730</v>
      </c>
      <c r="D55" t="s">
        <v>11731</v>
      </c>
      <c r="E55" t="s">
        <v>11732</v>
      </c>
      <c r="F55" t="s">
        <v>12048</v>
      </c>
      <c r="G55">
        <v>2</v>
      </c>
    </row>
    <row r="56" spans="1:7" ht="35.1" customHeight="1">
      <c r="C56" t="s">
        <v>11734</v>
      </c>
      <c r="D56" t="s">
        <v>11735</v>
      </c>
      <c r="E56" t="s">
        <v>11736</v>
      </c>
      <c r="F56" t="s">
        <v>12049</v>
      </c>
      <c r="G56">
        <v>2</v>
      </c>
    </row>
    <row r="57" spans="1:7" ht="35.1" customHeight="1">
      <c r="A57" s="28" t="s">
        <v>11546</v>
      </c>
      <c r="C57" t="s">
        <v>11738</v>
      </c>
      <c r="D57" t="s">
        <v>11513</v>
      </c>
      <c r="E57" t="s">
        <v>12050</v>
      </c>
      <c r="F57" t="s">
        <v>11740</v>
      </c>
      <c r="G57">
        <v>1</v>
      </c>
    </row>
    <row r="58" spans="1:7" ht="35.1" customHeight="1">
      <c r="C58" t="s">
        <v>12125</v>
      </c>
      <c r="D58" t="s">
        <v>12051</v>
      </c>
      <c r="E58" t="s">
        <v>11743</v>
      </c>
      <c r="F58" t="s">
        <v>11744</v>
      </c>
      <c r="G58">
        <v>0</v>
      </c>
    </row>
    <row r="59" spans="1:7" ht="35.1" customHeight="1">
      <c r="A59" s="27" t="s">
        <v>11547</v>
      </c>
      <c r="C59" t="s">
        <v>11745</v>
      </c>
      <c r="D59" t="s">
        <v>11746</v>
      </c>
      <c r="E59" t="s">
        <v>11747</v>
      </c>
      <c r="F59" t="s">
        <v>12052</v>
      </c>
      <c r="G59">
        <v>2</v>
      </c>
    </row>
    <row r="60" spans="1:7" ht="35.1" customHeight="1">
      <c r="A60" s="27" t="s">
        <v>11548</v>
      </c>
      <c r="C60" t="s">
        <v>12126</v>
      </c>
      <c r="D60" t="s">
        <v>12053</v>
      </c>
      <c r="E60" t="s">
        <v>11751</v>
      </c>
      <c r="F60" t="s">
        <v>11752</v>
      </c>
      <c r="G60">
        <v>0</v>
      </c>
    </row>
    <row r="61" spans="1:7" ht="35.1" customHeight="1">
      <c r="A61" s="27" t="s">
        <v>11549</v>
      </c>
      <c r="C61" t="s">
        <v>11753</v>
      </c>
      <c r="D61" t="s">
        <v>11754</v>
      </c>
      <c r="E61" t="s">
        <v>12054</v>
      </c>
      <c r="F61" t="s">
        <v>11756</v>
      </c>
      <c r="G61">
        <v>1</v>
      </c>
    </row>
    <row r="62" spans="1:7" ht="35.1" customHeight="1">
      <c r="C62" t="s">
        <v>11757</v>
      </c>
      <c r="D62" t="s">
        <v>11758</v>
      </c>
      <c r="E62" t="s">
        <v>12055</v>
      </c>
      <c r="F62" t="s">
        <v>11760</v>
      </c>
      <c r="G62">
        <v>1</v>
      </c>
    </row>
    <row r="63" spans="1:7" ht="35.1" customHeight="1">
      <c r="C63" t="s">
        <v>11761</v>
      </c>
      <c r="D63" t="s">
        <v>11762</v>
      </c>
      <c r="E63" t="s">
        <v>11763</v>
      </c>
      <c r="F63" t="s">
        <v>12056</v>
      </c>
      <c r="G63">
        <v>2</v>
      </c>
    </row>
    <row r="64" spans="1:7" ht="35.1" customHeight="1">
      <c r="A64" s="28" t="s">
        <v>11550</v>
      </c>
      <c r="C64" t="s">
        <v>11765</v>
      </c>
      <c r="D64" t="s">
        <v>12057</v>
      </c>
      <c r="E64" t="s">
        <v>11767</v>
      </c>
      <c r="F64" t="s">
        <v>11768</v>
      </c>
      <c r="G64">
        <v>0</v>
      </c>
    </row>
    <row r="65" spans="1:7" ht="35.1" customHeight="1">
      <c r="C65" t="s">
        <v>11769</v>
      </c>
      <c r="D65" t="s">
        <v>11770</v>
      </c>
      <c r="E65" t="s">
        <v>11771</v>
      </c>
      <c r="F65" t="s">
        <v>12058</v>
      </c>
      <c r="G65">
        <v>2</v>
      </c>
    </row>
    <row r="66" spans="1:7" ht="35.1" customHeight="1">
      <c r="A66" s="27" t="s">
        <v>11551</v>
      </c>
      <c r="C66" t="s">
        <v>12127</v>
      </c>
      <c r="D66" t="s">
        <v>12059</v>
      </c>
      <c r="E66" t="s">
        <v>11775</v>
      </c>
      <c r="F66" t="s">
        <v>11776</v>
      </c>
      <c r="G66">
        <v>0</v>
      </c>
    </row>
    <row r="67" spans="1:7" ht="35.1" customHeight="1">
      <c r="A67" s="27" t="s">
        <v>11552</v>
      </c>
      <c r="C67" t="s">
        <v>12128</v>
      </c>
      <c r="D67" t="s">
        <v>11778</v>
      </c>
      <c r="E67" t="s">
        <v>11779</v>
      </c>
      <c r="F67" t="s">
        <v>12060</v>
      </c>
      <c r="G67">
        <v>2</v>
      </c>
    </row>
    <row r="68" spans="1:7" ht="35.1" customHeight="1">
      <c r="A68" s="27" t="s">
        <v>11553</v>
      </c>
      <c r="C68" t="s">
        <v>11781</v>
      </c>
      <c r="D68" t="s">
        <v>12061</v>
      </c>
      <c r="E68" t="s">
        <v>11783</v>
      </c>
      <c r="F68" t="s">
        <v>11784</v>
      </c>
      <c r="G68">
        <v>0</v>
      </c>
    </row>
    <row r="69" spans="1:7" ht="35.1" customHeight="1">
      <c r="C69" t="s">
        <v>12129</v>
      </c>
      <c r="D69" t="s">
        <v>11786</v>
      </c>
      <c r="E69" t="s">
        <v>12062</v>
      </c>
      <c r="F69" t="s">
        <v>11788</v>
      </c>
      <c r="G69">
        <v>1</v>
      </c>
    </row>
    <row r="70" spans="1:7" ht="35.1" customHeight="1">
      <c r="C70" t="s">
        <v>11789</v>
      </c>
      <c r="D70" t="s">
        <v>11790</v>
      </c>
      <c r="E70" t="s">
        <v>11791</v>
      </c>
      <c r="F70" t="s">
        <v>12063</v>
      </c>
      <c r="G70">
        <v>2</v>
      </c>
    </row>
    <row r="71" spans="1:7" ht="35.1" customHeight="1">
      <c r="A71" s="28" t="s">
        <v>11554</v>
      </c>
      <c r="C71" t="s">
        <v>11793</v>
      </c>
      <c r="D71" t="s">
        <v>11794</v>
      </c>
      <c r="E71" t="s">
        <v>12064</v>
      </c>
      <c r="F71" t="s">
        <v>11796</v>
      </c>
      <c r="G71">
        <v>1</v>
      </c>
    </row>
    <row r="72" spans="1:7" ht="35.1" customHeight="1">
      <c r="C72" t="s">
        <v>11797</v>
      </c>
      <c r="D72" t="s">
        <v>11798</v>
      </c>
      <c r="E72" t="s">
        <v>11799</v>
      </c>
      <c r="F72" t="s">
        <v>12065</v>
      </c>
      <c r="G72">
        <v>2</v>
      </c>
    </row>
    <row r="73" spans="1:7" ht="35.1" customHeight="1">
      <c r="A73" s="27" t="s">
        <v>11555</v>
      </c>
      <c r="C73" t="s">
        <v>12130</v>
      </c>
      <c r="D73" t="s">
        <v>11802</v>
      </c>
      <c r="E73" t="s">
        <v>12066</v>
      </c>
      <c r="F73" t="s">
        <v>11804</v>
      </c>
      <c r="G73">
        <v>1</v>
      </c>
    </row>
    <row r="74" spans="1:7" ht="35.1" customHeight="1">
      <c r="A74" s="27" t="s">
        <v>11556</v>
      </c>
      <c r="C74" t="s">
        <v>11805</v>
      </c>
      <c r="D74" t="s">
        <v>12067</v>
      </c>
      <c r="E74" t="s">
        <v>11807</v>
      </c>
      <c r="F74" t="s">
        <v>11808</v>
      </c>
      <c r="G74">
        <v>0</v>
      </c>
    </row>
    <row r="75" spans="1:7" ht="35.1" customHeight="1">
      <c r="A75" s="27" t="s">
        <v>11557</v>
      </c>
      <c r="C75" t="s">
        <v>11809</v>
      </c>
      <c r="D75" t="s">
        <v>11810</v>
      </c>
      <c r="E75" t="s">
        <v>11811</v>
      </c>
      <c r="F75" t="s">
        <v>12068</v>
      </c>
      <c r="G75">
        <v>2</v>
      </c>
    </row>
    <row r="76" spans="1:7" ht="35.1" customHeight="1">
      <c r="C76" t="s">
        <v>11813</v>
      </c>
      <c r="D76" t="s">
        <v>11814</v>
      </c>
      <c r="E76" t="s">
        <v>11815</v>
      </c>
      <c r="F76" t="s">
        <v>12069</v>
      </c>
      <c r="G76">
        <v>2</v>
      </c>
    </row>
    <row r="77" spans="1:7" ht="35.1" customHeight="1">
      <c r="C77" t="s">
        <v>11817</v>
      </c>
      <c r="D77" t="s">
        <v>11818</v>
      </c>
      <c r="E77" t="s">
        <v>12070</v>
      </c>
      <c r="F77" t="s">
        <v>11820</v>
      </c>
      <c r="G77">
        <v>1</v>
      </c>
    </row>
    <row r="78" spans="1:7" ht="35.1" customHeight="1">
      <c r="A78" s="28" t="s">
        <v>11558</v>
      </c>
      <c r="C78" t="s">
        <v>11821</v>
      </c>
      <c r="D78" t="s">
        <v>12071</v>
      </c>
      <c r="E78" t="s">
        <v>11823</v>
      </c>
      <c r="F78" t="s">
        <v>11824</v>
      </c>
      <c r="G78">
        <v>0</v>
      </c>
    </row>
    <row r="79" spans="1:7" ht="35.1" customHeight="1">
      <c r="C79" t="s">
        <v>11825</v>
      </c>
      <c r="D79" t="s">
        <v>11826</v>
      </c>
      <c r="E79" t="s">
        <v>12072</v>
      </c>
      <c r="F79" t="s">
        <v>11828</v>
      </c>
      <c r="G79">
        <v>1</v>
      </c>
    </row>
    <row r="80" spans="1:7" ht="35.1" customHeight="1">
      <c r="A80" s="27" t="s">
        <v>11559</v>
      </c>
      <c r="C80" t="s">
        <v>12131</v>
      </c>
      <c r="D80" t="s">
        <v>11830</v>
      </c>
      <c r="E80" t="s">
        <v>12073</v>
      </c>
      <c r="F80" t="s">
        <v>11832</v>
      </c>
      <c r="G80">
        <v>1</v>
      </c>
    </row>
    <row r="81" spans="1:7" ht="35.1" customHeight="1">
      <c r="A81" s="27" t="s">
        <v>11560</v>
      </c>
      <c r="C81" t="s">
        <v>11833</v>
      </c>
      <c r="D81" t="s">
        <v>12074</v>
      </c>
      <c r="E81" t="s">
        <v>11835</v>
      </c>
      <c r="F81" t="s">
        <v>11836</v>
      </c>
      <c r="G81">
        <v>0</v>
      </c>
    </row>
    <row r="82" spans="1:7" ht="35.1" customHeight="1">
      <c r="A82" s="27" t="s">
        <v>11561</v>
      </c>
      <c r="C82" t="s">
        <v>12132</v>
      </c>
      <c r="D82" t="s">
        <v>11838</v>
      </c>
      <c r="E82" t="s">
        <v>11839</v>
      </c>
      <c r="F82" t="s">
        <v>12075</v>
      </c>
      <c r="G82">
        <v>2</v>
      </c>
    </row>
    <row r="83" spans="1:7" ht="35.1" customHeight="1">
      <c r="C83" t="s">
        <v>11841</v>
      </c>
      <c r="D83" t="s">
        <v>12076</v>
      </c>
      <c r="E83" t="s">
        <v>11843</v>
      </c>
      <c r="F83" t="s">
        <v>11844</v>
      </c>
      <c r="G83">
        <v>0</v>
      </c>
    </row>
    <row r="84" spans="1:7" ht="35.1" customHeight="1">
      <c r="C84" t="s">
        <v>11845</v>
      </c>
      <c r="D84" t="s">
        <v>11846</v>
      </c>
      <c r="E84" t="s">
        <v>11847</v>
      </c>
      <c r="F84" t="s">
        <v>12077</v>
      </c>
      <c r="G84">
        <v>2</v>
      </c>
    </row>
    <row r="85" spans="1:7" ht="35.1" customHeight="1">
      <c r="A85" s="28" t="s">
        <v>11562</v>
      </c>
      <c r="C85" t="s">
        <v>11849</v>
      </c>
      <c r="D85" t="s">
        <v>11850</v>
      </c>
      <c r="E85" t="s">
        <v>12078</v>
      </c>
      <c r="F85" t="s">
        <v>11852</v>
      </c>
      <c r="G85">
        <v>1</v>
      </c>
    </row>
    <row r="86" spans="1:7" ht="35.1" customHeight="1">
      <c r="C86" t="s">
        <v>12133</v>
      </c>
      <c r="D86" t="s">
        <v>11854</v>
      </c>
      <c r="E86" t="s">
        <v>12079</v>
      </c>
      <c r="F86" t="s">
        <v>11856</v>
      </c>
      <c r="G86">
        <v>1</v>
      </c>
    </row>
    <row r="87" spans="1:7" ht="35.1" customHeight="1">
      <c r="A87" s="27" t="s">
        <v>11563</v>
      </c>
      <c r="C87" t="s">
        <v>11857</v>
      </c>
      <c r="D87" t="s">
        <v>12080</v>
      </c>
      <c r="E87" t="s">
        <v>11859</v>
      </c>
      <c r="F87" t="s">
        <v>11860</v>
      </c>
      <c r="G87">
        <v>0</v>
      </c>
    </row>
    <row r="88" spans="1:7" ht="35.1" customHeight="1">
      <c r="A88" s="27" t="s">
        <v>11564</v>
      </c>
      <c r="C88" t="s">
        <v>12134</v>
      </c>
      <c r="D88" t="s">
        <v>11862</v>
      </c>
      <c r="E88" t="s">
        <v>11863</v>
      </c>
      <c r="F88" t="s">
        <v>12081</v>
      </c>
      <c r="G88">
        <v>2</v>
      </c>
    </row>
    <row r="89" spans="1:7" ht="35.1" customHeight="1">
      <c r="A89" s="27" t="s">
        <v>11565</v>
      </c>
      <c r="C89" t="s">
        <v>11865</v>
      </c>
      <c r="D89" t="s">
        <v>11866</v>
      </c>
      <c r="E89" t="s">
        <v>12082</v>
      </c>
      <c r="F89" t="s">
        <v>11868</v>
      </c>
      <c r="G89">
        <v>1</v>
      </c>
    </row>
    <row r="90" spans="1:7" ht="35.1" customHeight="1">
      <c r="C90" t="s">
        <v>11869</v>
      </c>
      <c r="D90" t="s">
        <v>12083</v>
      </c>
      <c r="E90" t="s">
        <v>11871</v>
      </c>
      <c r="F90" t="s">
        <v>11872</v>
      </c>
      <c r="G90">
        <v>0</v>
      </c>
    </row>
    <row r="91" spans="1:7" ht="35.1" customHeight="1">
      <c r="C91" t="s">
        <v>11873</v>
      </c>
      <c r="D91" t="s">
        <v>11874</v>
      </c>
      <c r="E91" t="s">
        <v>12084</v>
      </c>
      <c r="F91" t="s">
        <v>11876</v>
      </c>
      <c r="G91">
        <v>1</v>
      </c>
    </row>
    <row r="92" spans="1:7" ht="35.1" customHeight="1">
      <c r="A92" s="28" t="s">
        <v>11566</v>
      </c>
      <c r="C92" t="s">
        <v>12135</v>
      </c>
      <c r="D92" t="s">
        <v>11878</v>
      </c>
      <c r="E92" t="s">
        <v>11879</v>
      </c>
      <c r="F92" t="s">
        <v>12085</v>
      </c>
      <c r="G92">
        <v>2</v>
      </c>
    </row>
    <row r="93" spans="1:7" ht="35.1" customHeight="1">
      <c r="C93" t="s">
        <v>11881</v>
      </c>
      <c r="D93" t="s">
        <v>12086</v>
      </c>
      <c r="E93" t="s">
        <v>11883</v>
      </c>
      <c r="F93" t="s">
        <v>11884</v>
      </c>
      <c r="G93">
        <v>0</v>
      </c>
    </row>
    <row r="94" spans="1:7" ht="35.1" customHeight="1">
      <c r="A94" s="27" t="s">
        <v>11567</v>
      </c>
      <c r="C94" t="s">
        <v>11885</v>
      </c>
      <c r="D94" t="s">
        <v>11886</v>
      </c>
      <c r="E94" t="s">
        <v>11887</v>
      </c>
      <c r="F94" t="s">
        <v>12087</v>
      </c>
      <c r="G94">
        <v>2</v>
      </c>
    </row>
    <row r="95" spans="1:7" ht="35.1" customHeight="1">
      <c r="A95" s="27" t="s">
        <v>11568</v>
      </c>
      <c r="C95" t="s">
        <v>11889</v>
      </c>
      <c r="D95" t="s">
        <v>12088</v>
      </c>
      <c r="E95" t="s">
        <v>11891</v>
      </c>
      <c r="F95" t="s">
        <v>11892</v>
      </c>
      <c r="G95">
        <v>0</v>
      </c>
    </row>
    <row r="96" spans="1:7" ht="35.1" customHeight="1">
      <c r="A96" s="27" t="s">
        <v>11569</v>
      </c>
      <c r="C96" t="s">
        <v>12136</v>
      </c>
      <c r="D96" t="s">
        <v>11894</v>
      </c>
      <c r="E96" t="s">
        <v>11895</v>
      </c>
      <c r="F96" t="s">
        <v>12089</v>
      </c>
      <c r="G96">
        <v>2</v>
      </c>
    </row>
    <row r="97" spans="1:7" ht="35.1" customHeight="1">
      <c r="C97" t="s">
        <v>11897</v>
      </c>
      <c r="D97" t="s">
        <v>11898</v>
      </c>
      <c r="E97" t="s">
        <v>12090</v>
      </c>
      <c r="F97" t="s">
        <v>11900</v>
      </c>
      <c r="G97">
        <v>1</v>
      </c>
    </row>
    <row r="98" spans="1:7" ht="35.1" customHeight="1">
      <c r="C98" t="s">
        <v>11901</v>
      </c>
      <c r="D98" t="s">
        <v>11902</v>
      </c>
      <c r="E98" t="s">
        <v>12091</v>
      </c>
      <c r="F98" t="s">
        <v>11904</v>
      </c>
      <c r="G98">
        <v>1</v>
      </c>
    </row>
    <row r="99" spans="1:7" ht="35.1" customHeight="1">
      <c r="A99" s="28" t="s">
        <v>11570</v>
      </c>
      <c r="C99" t="s">
        <v>11905</v>
      </c>
      <c r="D99" t="s">
        <v>11906</v>
      </c>
      <c r="E99" t="s">
        <v>11907</v>
      </c>
      <c r="F99" t="s">
        <v>12092</v>
      </c>
      <c r="G99">
        <v>2</v>
      </c>
    </row>
    <row r="100" spans="1:7" ht="35.1" customHeight="1">
      <c r="C100" t="s">
        <v>12137</v>
      </c>
      <c r="D100" t="s">
        <v>11910</v>
      </c>
      <c r="E100" t="s">
        <v>12093</v>
      </c>
      <c r="F100" t="s">
        <v>11912</v>
      </c>
      <c r="G100">
        <v>1</v>
      </c>
    </row>
    <row r="101" spans="1:7" ht="35.1" customHeight="1">
      <c r="A101" s="27" t="s">
        <v>11571</v>
      </c>
      <c r="C101" t="s">
        <v>11913</v>
      </c>
      <c r="D101" t="s">
        <v>12094</v>
      </c>
      <c r="E101" t="s">
        <v>11915</v>
      </c>
      <c r="F101" t="s">
        <v>11916</v>
      </c>
      <c r="G101">
        <v>0</v>
      </c>
    </row>
    <row r="102" spans="1:7" ht="35.1" customHeight="1">
      <c r="A102" s="27" t="s">
        <v>11572</v>
      </c>
      <c r="C102" t="s">
        <v>11917</v>
      </c>
      <c r="D102" t="s">
        <v>12095</v>
      </c>
      <c r="E102" t="s">
        <v>11919</v>
      </c>
      <c r="F102" t="s">
        <v>11920</v>
      </c>
      <c r="G102">
        <v>0</v>
      </c>
    </row>
    <row r="103" spans="1:7" ht="35.1" customHeight="1">
      <c r="A103" s="27" t="s">
        <v>11573</v>
      </c>
      <c r="C103" t="s">
        <v>11921</v>
      </c>
      <c r="D103" t="s">
        <v>12096</v>
      </c>
      <c r="E103" t="s">
        <v>11923</v>
      </c>
      <c r="F103" t="s">
        <v>11924</v>
      </c>
      <c r="G103">
        <v>0</v>
      </c>
    </row>
    <row r="104" spans="1:7" ht="35.1" customHeight="1">
      <c r="C104" t="s">
        <v>11925</v>
      </c>
      <c r="D104" t="s">
        <v>11926</v>
      </c>
      <c r="E104" t="s">
        <v>12097</v>
      </c>
      <c r="F104" t="s">
        <v>11928</v>
      </c>
      <c r="G104">
        <v>1</v>
      </c>
    </row>
    <row r="105" spans="1:7" ht="35.1" customHeight="1">
      <c r="C105" t="s">
        <v>12138</v>
      </c>
      <c r="D105" t="s">
        <v>12098</v>
      </c>
      <c r="E105" t="s">
        <v>11931</v>
      </c>
      <c r="F105" t="s">
        <v>11932</v>
      </c>
      <c r="G105">
        <v>0</v>
      </c>
    </row>
    <row r="106" spans="1:7" ht="35.1" customHeight="1">
      <c r="A106" s="28" t="s">
        <v>11574</v>
      </c>
      <c r="C106" t="s">
        <v>12139</v>
      </c>
      <c r="D106" t="s">
        <v>11934</v>
      </c>
      <c r="E106" t="s">
        <v>11935</v>
      </c>
      <c r="F106" t="s">
        <v>12099</v>
      </c>
      <c r="G106">
        <v>2</v>
      </c>
    </row>
    <row r="107" spans="1:7" ht="35.1" customHeight="1">
      <c r="C107" t="s">
        <v>12140</v>
      </c>
      <c r="D107" t="s">
        <v>11938</v>
      </c>
      <c r="E107" t="s">
        <v>12100</v>
      </c>
      <c r="F107" t="s">
        <v>11940</v>
      </c>
      <c r="G107">
        <v>1</v>
      </c>
    </row>
    <row r="108" spans="1:7" ht="35.1" customHeight="1">
      <c r="A108" s="27" t="s">
        <v>11575</v>
      </c>
      <c r="C108" t="s">
        <v>11941</v>
      </c>
      <c r="D108" t="s">
        <v>11942</v>
      </c>
      <c r="E108" t="s">
        <v>12101</v>
      </c>
      <c r="F108" t="s">
        <v>11944</v>
      </c>
      <c r="G108">
        <v>1</v>
      </c>
    </row>
    <row r="109" spans="1:7" ht="35.1" customHeight="1">
      <c r="A109" s="27" t="s">
        <v>11576</v>
      </c>
      <c r="C109" t="s">
        <v>12141</v>
      </c>
      <c r="D109" t="s">
        <v>12102</v>
      </c>
      <c r="E109" t="s">
        <v>11947</v>
      </c>
      <c r="F109" t="s">
        <v>11948</v>
      </c>
      <c r="G109">
        <v>0</v>
      </c>
    </row>
    <row r="110" spans="1:7" ht="35.1" customHeight="1">
      <c r="A110" s="27" t="s">
        <v>11577</v>
      </c>
      <c r="C110" t="s">
        <v>12142</v>
      </c>
      <c r="D110" t="s">
        <v>11950</v>
      </c>
      <c r="E110" t="s">
        <v>11951</v>
      </c>
      <c r="F110" t="s">
        <v>12103</v>
      </c>
      <c r="G110">
        <v>2</v>
      </c>
    </row>
    <row r="111" spans="1:7" ht="35.1" customHeight="1">
      <c r="C111" t="s">
        <v>11953</v>
      </c>
      <c r="D111" t="s">
        <v>11954</v>
      </c>
      <c r="E111" t="s">
        <v>12104</v>
      </c>
      <c r="F111" t="s">
        <v>11956</v>
      </c>
      <c r="G111">
        <v>1</v>
      </c>
    </row>
    <row r="112" spans="1:7" ht="35.1" customHeight="1">
      <c r="C112" t="s">
        <v>11957</v>
      </c>
      <c r="D112" t="s">
        <v>12105</v>
      </c>
      <c r="E112" t="s">
        <v>11959</v>
      </c>
      <c r="F112" t="s">
        <v>11960</v>
      </c>
      <c r="G112">
        <v>0</v>
      </c>
    </row>
    <row r="113" spans="1:7" ht="35.1" customHeight="1">
      <c r="A113" s="28" t="s">
        <v>11578</v>
      </c>
      <c r="C113" t="s">
        <v>11961</v>
      </c>
      <c r="D113" t="s">
        <v>11962</v>
      </c>
      <c r="E113" t="s">
        <v>11963</v>
      </c>
      <c r="F113" t="s">
        <v>12106</v>
      </c>
      <c r="G113">
        <v>2</v>
      </c>
    </row>
    <row r="114" spans="1:7" ht="35.1" customHeight="1">
      <c r="C114" t="s">
        <v>11965</v>
      </c>
      <c r="D114" t="s">
        <v>12107</v>
      </c>
      <c r="E114" t="s">
        <v>11967</v>
      </c>
      <c r="F114" t="s">
        <v>11968</v>
      </c>
      <c r="G114">
        <v>0</v>
      </c>
    </row>
    <row r="115" spans="1:7" ht="35.1" customHeight="1">
      <c r="A115" s="27" t="s">
        <v>11579</v>
      </c>
      <c r="C115" t="s">
        <v>11969</v>
      </c>
      <c r="D115" t="s">
        <v>11970</v>
      </c>
      <c r="E115" t="s">
        <v>12108</v>
      </c>
      <c r="F115" t="s">
        <v>11972</v>
      </c>
      <c r="G115">
        <v>1</v>
      </c>
    </row>
    <row r="116" spans="1:7" ht="35.1" customHeight="1">
      <c r="A116" s="27" t="s">
        <v>11580</v>
      </c>
      <c r="C116" t="s">
        <v>11973</v>
      </c>
      <c r="D116" t="s">
        <v>12109</v>
      </c>
      <c r="E116" t="s">
        <v>11975</v>
      </c>
      <c r="F116" t="s">
        <v>11976</v>
      </c>
      <c r="G116">
        <v>0</v>
      </c>
    </row>
    <row r="117" spans="1:7" ht="35.1" customHeight="1">
      <c r="A117" s="27" t="s">
        <v>11581</v>
      </c>
      <c r="C117" t="s">
        <v>11977</v>
      </c>
      <c r="D117" t="s">
        <v>12110</v>
      </c>
      <c r="E117" t="s">
        <v>11979</v>
      </c>
      <c r="F117" t="s">
        <v>11980</v>
      </c>
      <c r="G117">
        <v>0</v>
      </c>
    </row>
    <row r="118" spans="1:7" ht="35.1" customHeight="1">
      <c r="C118" t="s">
        <v>11981</v>
      </c>
      <c r="D118" t="s">
        <v>12111</v>
      </c>
      <c r="E118" t="s">
        <v>11983</v>
      </c>
      <c r="F118" t="s">
        <v>11984</v>
      </c>
      <c r="G118">
        <v>0</v>
      </c>
    </row>
    <row r="119" spans="1:7" ht="35.1" customHeight="1">
      <c r="C119" t="s">
        <v>11985</v>
      </c>
      <c r="D119" t="s">
        <v>11986</v>
      </c>
      <c r="E119" t="s">
        <v>11987</v>
      </c>
      <c r="F119" t="s">
        <v>12112</v>
      </c>
      <c r="G119">
        <v>2</v>
      </c>
    </row>
    <row r="120" spans="1:7" ht="35.1" customHeight="1">
      <c r="A120" s="28" t="s">
        <v>11582</v>
      </c>
      <c r="C120" t="s">
        <v>11989</v>
      </c>
      <c r="D120" t="s">
        <v>11990</v>
      </c>
      <c r="E120" t="s">
        <v>11991</v>
      </c>
      <c r="F120" t="s">
        <v>12113</v>
      </c>
      <c r="G120">
        <v>2</v>
      </c>
    </row>
    <row r="121" spans="1:7" ht="35.1" customHeight="1">
      <c r="G121">
        <v>2</v>
      </c>
    </row>
    <row r="122" spans="1:7" ht="35.1" customHeight="1">
      <c r="A122" s="27" t="s">
        <v>11583</v>
      </c>
      <c r="G122">
        <v>2</v>
      </c>
    </row>
    <row r="123" spans="1:7" ht="35.1" customHeight="1">
      <c r="A123" s="27" t="s">
        <v>11584</v>
      </c>
      <c r="G123">
        <v>2</v>
      </c>
    </row>
    <row r="124" spans="1:7" ht="35.1" customHeight="1">
      <c r="A124" s="27" t="s">
        <v>11585</v>
      </c>
      <c r="G124">
        <v>2</v>
      </c>
    </row>
    <row r="125" spans="1:7" ht="35.1" customHeight="1">
      <c r="G125">
        <v>2</v>
      </c>
    </row>
    <row r="126" spans="1:7" ht="35.1" customHeight="1">
      <c r="G126">
        <v>2</v>
      </c>
    </row>
    <row r="127" spans="1:7" ht="35.1" customHeight="1">
      <c r="A127" s="28" t="s">
        <v>11586</v>
      </c>
      <c r="G127">
        <v>2</v>
      </c>
    </row>
    <row r="128" spans="1:7" ht="35.1" customHeight="1">
      <c r="G128">
        <v>2</v>
      </c>
    </row>
    <row r="129" spans="1:7" ht="35.1" customHeight="1">
      <c r="A129" s="27" t="s">
        <v>11587</v>
      </c>
      <c r="G129">
        <v>2</v>
      </c>
    </row>
    <row r="130" spans="1:7" ht="35.1" customHeight="1">
      <c r="A130" s="27" t="s">
        <v>11588</v>
      </c>
      <c r="G130">
        <v>2</v>
      </c>
    </row>
    <row r="131" spans="1:7" ht="35.1" customHeight="1">
      <c r="A131" s="27" t="s">
        <v>11589</v>
      </c>
      <c r="G131">
        <v>2</v>
      </c>
    </row>
    <row r="132" spans="1:7" ht="35.1" customHeight="1">
      <c r="G132">
        <v>2</v>
      </c>
    </row>
    <row r="133" spans="1:7" ht="35.1" customHeight="1">
      <c r="G133">
        <v>2</v>
      </c>
    </row>
    <row r="134" spans="1:7" ht="35.1" customHeight="1">
      <c r="A134" s="28" t="s">
        <v>11590</v>
      </c>
      <c r="G134">
        <v>2</v>
      </c>
    </row>
    <row r="135" spans="1:7" ht="35.1" customHeight="1">
      <c r="G135">
        <v>2</v>
      </c>
    </row>
    <row r="136" spans="1:7" ht="35.1" customHeight="1">
      <c r="A136" s="27" t="s">
        <v>11591</v>
      </c>
      <c r="G136">
        <v>2</v>
      </c>
    </row>
    <row r="137" spans="1:7" ht="35.1" customHeight="1">
      <c r="A137" s="27" t="s">
        <v>11592</v>
      </c>
      <c r="G137">
        <v>2</v>
      </c>
    </row>
    <row r="138" spans="1:7" ht="35.1" customHeight="1">
      <c r="A138" s="27" t="s">
        <v>11593</v>
      </c>
      <c r="G138">
        <v>2</v>
      </c>
    </row>
    <row r="139" spans="1:7" ht="35.1" customHeight="1">
      <c r="G139">
        <v>2</v>
      </c>
    </row>
    <row r="140" spans="1:7" ht="35.1" customHeight="1">
      <c r="G140">
        <v>2</v>
      </c>
    </row>
    <row r="141" spans="1:7" ht="35.1" customHeight="1">
      <c r="A141" s="28" t="s">
        <v>11594</v>
      </c>
      <c r="G141">
        <v>2</v>
      </c>
    </row>
    <row r="142" spans="1:7" ht="35.1" customHeight="1">
      <c r="G142">
        <v>2</v>
      </c>
    </row>
    <row r="143" spans="1:7" ht="35.1" customHeight="1">
      <c r="A143" s="27" t="s">
        <v>11595</v>
      </c>
      <c r="G143">
        <v>2</v>
      </c>
    </row>
    <row r="144" spans="1:7" ht="35.1" customHeight="1">
      <c r="A144" s="27" t="s">
        <v>11596</v>
      </c>
      <c r="G144">
        <v>2</v>
      </c>
    </row>
    <row r="145" spans="1:7" ht="35.1" customHeight="1">
      <c r="A145" s="27" t="s">
        <v>11597</v>
      </c>
      <c r="G145">
        <v>2</v>
      </c>
    </row>
    <row r="146" spans="1:7" ht="35.1" customHeight="1">
      <c r="G146">
        <v>2</v>
      </c>
    </row>
    <row r="147" spans="1:7" ht="35.1" customHeight="1">
      <c r="G147">
        <v>2</v>
      </c>
    </row>
    <row r="148" spans="1:7" ht="35.1" customHeight="1">
      <c r="A148" s="28" t="s">
        <v>11598</v>
      </c>
      <c r="G148">
        <v>2</v>
      </c>
    </row>
    <row r="149" spans="1:7" ht="35.1" customHeight="1">
      <c r="G149">
        <v>2</v>
      </c>
    </row>
    <row r="150" spans="1:7" ht="35.1" customHeight="1">
      <c r="A150" s="27" t="s">
        <v>11599</v>
      </c>
      <c r="G150">
        <v>2</v>
      </c>
    </row>
    <row r="151" spans="1:7" ht="35.1" customHeight="1">
      <c r="A151" s="27" t="s">
        <v>11600</v>
      </c>
      <c r="G151">
        <v>2</v>
      </c>
    </row>
    <row r="152" spans="1:7" ht="35.1" customHeight="1">
      <c r="A152" s="27" t="s">
        <v>11601</v>
      </c>
      <c r="G152">
        <v>2</v>
      </c>
    </row>
    <row r="153" spans="1:7" ht="35.1" customHeight="1">
      <c r="G153">
        <v>2</v>
      </c>
    </row>
    <row r="154" spans="1:7" ht="35.1" customHeight="1">
      <c r="G154">
        <v>2</v>
      </c>
    </row>
    <row r="155" spans="1:7" ht="35.1" customHeight="1">
      <c r="A155" s="28" t="s">
        <v>11602</v>
      </c>
      <c r="G155">
        <v>2</v>
      </c>
    </row>
    <row r="156" spans="1:7" ht="35.1" customHeight="1">
      <c r="G156">
        <v>2</v>
      </c>
    </row>
    <row r="157" spans="1:7" ht="35.1" customHeight="1">
      <c r="A157" s="27" t="s">
        <v>11603</v>
      </c>
      <c r="G157">
        <v>2</v>
      </c>
    </row>
    <row r="158" spans="1:7" ht="35.1" customHeight="1">
      <c r="A158" s="27" t="s">
        <v>11604</v>
      </c>
      <c r="G158">
        <v>2</v>
      </c>
    </row>
    <row r="159" spans="1:7" s="30" customFormat="1" ht="35.1" customHeight="1">
      <c r="A159" s="27" t="s">
        <v>11605</v>
      </c>
      <c r="B159" s="42"/>
      <c r="G159" s="30">
        <v>2</v>
      </c>
    </row>
    <row r="160" spans="1:7" ht="35.1" customHeight="1">
      <c r="G160">
        <v>2</v>
      </c>
    </row>
    <row r="161" spans="1:7" ht="35.1" customHeight="1">
      <c r="G161">
        <v>2</v>
      </c>
    </row>
    <row r="162" spans="1:7" ht="35.1" customHeight="1">
      <c r="A162" s="28" t="s">
        <v>11606</v>
      </c>
      <c r="G162">
        <v>2</v>
      </c>
    </row>
    <row r="163" spans="1:7" ht="35.1" customHeight="1">
      <c r="G163">
        <v>2</v>
      </c>
    </row>
    <row r="164" spans="1:7" ht="35.1" customHeight="1">
      <c r="A164" s="27" t="s">
        <v>11607</v>
      </c>
      <c r="G164">
        <v>2</v>
      </c>
    </row>
    <row r="165" spans="1:7" ht="35.1" customHeight="1">
      <c r="A165" s="27" t="s">
        <v>11608</v>
      </c>
      <c r="G165">
        <v>2</v>
      </c>
    </row>
    <row r="166" spans="1:7" ht="35.1" customHeight="1">
      <c r="A166" s="27" t="s">
        <v>11609</v>
      </c>
      <c r="G166">
        <v>2</v>
      </c>
    </row>
    <row r="167" spans="1:7" ht="35.1" customHeight="1">
      <c r="G167">
        <v>2</v>
      </c>
    </row>
    <row r="168" spans="1:7" ht="35.1" customHeight="1">
      <c r="G168">
        <v>2</v>
      </c>
    </row>
    <row r="169" spans="1:7" ht="35.1" customHeight="1">
      <c r="A169" s="28" t="s">
        <v>11610</v>
      </c>
      <c r="G169">
        <v>2</v>
      </c>
    </row>
    <row r="170" spans="1:7" ht="35.1" customHeight="1">
      <c r="G170">
        <v>2</v>
      </c>
    </row>
    <row r="171" spans="1:7" ht="35.1" customHeight="1">
      <c r="A171" s="27" t="s">
        <v>11611</v>
      </c>
      <c r="G171">
        <v>2</v>
      </c>
    </row>
    <row r="172" spans="1:7" ht="35.1" customHeight="1">
      <c r="A172" s="27" t="s">
        <v>11612</v>
      </c>
      <c r="G172">
        <v>2</v>
      </c>
    </row>
    <row r="173" spans="1:7" ht="35.1" customHeight="1">
      <c r="A173" s="27" t="s">
        <v>11613</v>
      </c>
      <c r="G173">
        <v>2</v>
      </c>
    </row>
    <row r="174" spans="1:7" ht="35.1" customHeight="1">
      <c r="G174">
        <v>2</v>
      </c>
    </row>
    <row r="175" spans="1:7" ht="35.1" customHeight="1">
      <c r="G175">
        <v>2</v>
      </c>
    </row>
    <row r="176" spans="1:7" ht="35.1" customHeight="1">
      <c r="A176" s="28" t="s">
        <v>11614</v>
      </c>
      <c r="G176">
        <v>2</v>
      </c>
    </row>
    <row r="177" spans="1:7" ht="35.1" customHeight="1">
      <c r="G177">
        <v>2</v>
      </c>
    </row>
    <row r="178" spans="1:7" ht="35.1" customHeight="1">
      <c r="A178" s="27" t="s">
        <v>11615</v>
      </c>
      <c r="G178">
        <v>2</v>
      </c>
    </row>
    <row r="179" spans="1:7" ht="35.1" customHeight="1">
      <c r="A179" s="27" t="s">
        <v>11616</v>
      </c>
      <c r="G179">
        <v>2</v>
      </c>
    </row>
    <row r="180" spans="1:7" ht="35.1" customHeight="1">
      <c r="A180" s="27" t="s">
        <v>11617</v>
      </c>
      <c r="G180">
        <v>2</v>
      </c>
    </row>
    <row r="181" spans="1:7" ht="35.1" customHeight="1">
      <c r="G181">
        <v>2</v>
      </c>
    </row>
    <row r="182" spans="1:7" ht="35.1" customHeight="1">
      <c r="G182">
        <v>2</v>
      </c>
    </row>
    <row r="183" spans="1:7" ht="35.1" customHeight="1">
      <c r="A183" s="28" t="s">
        <v>11618</v>
      </c>
      <c r="G183">
        <v>2</v>
      </c>
    </row>
    <row r="184" spans="1:7" ht="35.1" customHeight="1">
      <c r="G184">
        <v>2</v>
      </c>
    </row>
    <row r="185" spans="1:7" ht="35.1" customHeight="1">
      <c r="A185" s="27" t="s">
        <v>11619</v>
      </c>
      <c r="G185">
        <v>2</v>
      </c>
    </row>
    <row r="186" spans="1:7" ht="35.1" customHeight="1">
      <c r="A186" s="27" t="s">
        <v>11620</v>
      </c>
      <c r="G186">
        <v>2</v>
      </c>
    </row>
    <row r="187" spans="1:7" ht="35.1" customHeight="1">
      <c r="A187" s="27" t="s">
        <v>11621</v>
      </c>
      <c r="G187">
        <v>2</v>
      </c>
    </row>
    <row r="188" spans="1:7" ht="35.1" customHeight="1">
      <c r="G188">
        <v>2</v>
      </c>
    </row>
    <row r="189" spans="1:7" ht="35.1" customHeight="1">
      <c r="G189">
        <v>2</v>
      </c>
    </row>
    <row r="190" spans="1:7" ht="35.1" customHeight="1">
      <c r="A190" s="28" t="s">
        <v>11622</v>
      </c>
      <c r="G190">
        <v>2</v>
      </c>
    </row>
    <row r="191" spans="1:7" ht="35.1" customHeight="1">
      <c r="G191">
        <v>2</v>
      </c>
    </row>
    <row r="192" spans="1:7" ht="35.1" customHeight="1">
      <c r="A192" s="27" t="s">
        <v>11623</v>
      </c>
      <c r="G192">
        <v>2</v>
      </c>
    </row>
    <row r="193" spans="1:7" ht="35.1" customHeight="1">
      <c r="A193" s="27" t="s">
        <v>11624</v>
      </c>
      <c r="G193">
        <v>2</v>
      </c>
    </row>
    <row r="194" spans="1:7" ht="35.1" customHeight="1">
      <c r="A194" s="27" t="s">
        <v>11625</v>
      </c>
      <c r="G194">
        <v>2</v>
      </c>
    </row>
    <row r="195" spans="1:7" ht="35.1" customHeight="1">
      <c r="G195">
        <v>2</v>
      </c>
    </row>
    <row r="196" spans="1:7" ht="35.1" customHeight="1">
      <c r="G196">
        <v>2</v>
      </c>
    </row>
    <row r="197" spans="1:7" ht="35.1" customHeight="1">
      <c r="A197" s="28" t="s">
        <v>11626</v>
      </c>
      <c r="G197">
        <v>2</v>
      </c>
    </row>
    <row r="198" spans="1:7" ht="35.1" customHeight="1">
      <c r="G198">
        <v>2</v>
      </c>
    </row>
    <row r="199" spans="1:7" ht="35.1" customHeight="1">
      <c r="A199" s="27" t="s">
        <v>11627</v>
      </c>
      <c r="G199">
        <v>2</v>
      </c>
    </row>
    <row r="200" spans="1:7" ht="35.1" customHeight="1">
      <c r="A200" s="27" t="s">
        <v>11628</v>
      </c>
      <c r="G200">
        <v>2</v>
      </c>
    </row>
    <row r="201" spans="1:7" ht="35.1" customHeight="1">
      <c r="A201" s="27" t="s">
        <v>11629</v>
      </c>
      <c r="G201">
        <v>2</v>
      </c>
    </row>
    <row r="204" spans="1:7" ht="35.1" customHeight="1">
      <c r="A204" s="28" t="s">
        <v>11630</v>
      </c>
    </row>
    <row r="206" spans="1:7" ht="35.1" customHeight="1">
      <c r="A206" s="27" t="s">
        <v>11631</v>
      </c>
    </row>
    <row r="207" spans="1:7" ht="35.1" customHeight="1">
      <c r="A207" s="27" t="s">
        <v>11632</v>
      </c>
    </row>
    <row r="208" spans="1:7" ht="35.1" customHeight="1">
      <c r="A208" s="27" t="s">
        <v>11633</v>
      </c>
    </row>
    <row r="211" spans="1:1" ht="35.1" customHeight="1">
      <c r="A211" s="28" t="s">
        <v>11634</v>
      </c>
    </row>
    <row r="213" spans="1:1" ht="35.1" customHeight="1">
      <c r="A213" s="27" t="s">
        <v>11635</v>
      </c>
    </row>
    <row r="214" spans="1:1" ht="35.1" customHeight="1">
      <c r="A214" s="27" t="s">
        <v>11636</v>
      </c>
    </row>
    <row r="215" spans="1:1" ht="35.1" customHeight="1">
      <c r="A215" s="27" t="s">
        <v>11637</v>
      </c>
    </row>
    <row r="218" spans="1:1" ht="35.1" customHeight="1">
      <c r="A218" s="28" t="s">
        <v>11638</v>
      </c>
    </row>
    <row r="220" spans="1:1" ht="35.1" customHeight="1">
      <c r="A220" s="27" t="s">
        <v>11639</v>
      </c>
    </row>
    <row r="221" spans="1:1" ht="35.1" customHeight="1">
      <c r="A221" s="27" t="s">
        <v>11640</v>
      </c>
    </row>
    <row r="222" spans="1:1" ht="35.1" customHeight="1">
      <c r="A222" s="27" t="s">
        <v>11641</v>
      </c>
    </row>
    <row r="225" spans="1:1" ht="35.1" customHeight="1">
      <c r="A225" s="28" t="s">
        <v>11642</v>
      </c>
    </row>
    <row r="227" spans="1:1" ht="35.1" customHeight="1">
      <c r="A227" s="27" t="s">
        <v>11643</v>
      </c>
    </row>
    <row r="228" spans="1:1" ht="35.1" customHeight="1">
      <c r="A228" s="27" t="s">
        <v>11644</v>
      </c>
    </row>
    <row r="229" spans="1:1" ht="35.1" customHeight="1">
      <c r="A229" s="27" t="s">
        <v>11645</v>
      </c>
    </row>
    <row r="232" spans="1:1" ht="35.1" customHeight="1">
      <c r="A232" s="28" t="s">
        <v>11646</v>
      </c>
    </row>
    <row r="234" spans="1:1" ht="35.1" customHeight="1">
      <c r="A234" s="27" t="s">
        <v>11647</v>
      </c>
    </row>
    <row r="235" spans="1:1" ht="35.1" customHeight="1">
      <c r="A235" s="27" t="s">
        <v>11648</v>
      </c>
    </row>
    <row r="236" spans="1:1" ht="35.1" customHeight="1">
      <c r="A236" s="27" t="s">
        <v>11649</v>
      </c>
    </row>
    <row r="239" spans="1:1" ht="35.1" customHeight="1">
      <c r="A239" s="28" t="s">
        <v>11650</v>
      </c>
    </row>
    <row r="241" spans="1:1" ht="35.1" customHeight="1">
      <c r="A241" s="27" t="s">
        <v>11651</v>
      </c>
    </row>
    <row r="242" spans="1:1" ht="35.1" customHeight="1">
      <c r="A242" s="27" t="s">
        <v>11652</v>
      </c>
    </row>
    <row r="243" spans="1:1" ht="35.1" customHeight="1">
      <c r="A243" s="27" t="s">
        <v>11653</v>
      </c>
    </row>
    <row r="246" spans="1:1" ht="35.1" customHeight="1">
      <c r="A246" s="28" t="s">
        <v>11654</v>
      </c>
    </row>
    <row r="248" spans="1:1" ht="35.1" customHeight="1">
      <c r="A248" s="27" t="s">
        <v>11655</v>
      </c>
    </row>
    <row r="249" spans="1:1" ht="35.1" customHeight="1">
      <c r="A249" s="27" t="s">
        <v>11656</v>
      </c>
    </row>
    <row r="250" spans="1:1" ht="35.1" customHeight="1">
      <c r="A250" s="27" t="s">
        <v>11657</v>
      </c>
    </row>
    <row r="253" spans="1:1" ht="35.1" customHeight="1">
      <c r="A253" s="28" t="s">
        <v>11658</v>
      </c>
    </row>
    <row r="255" spans="1:1" ht="35.1" customHeight="1">
      <c r="A255" s="27" t="s">
        <v>11659</v>
      </c>
    </row>
    <row r="256" spans="1:1" ht="35.1" customHeight="1">
      <c r="A256" s="27" t="s">
        <v>11660</v>
      </c>
    </row>
    <row r="257" spans="1:1" ht="35.1" customHeight="1">
      <c r="A257" s="27" t="s">
        <v>11661</v>
      </c>
    </row>
    <row r="260" spans="1:1" ht="35.1" customHeight="1">
      <c r="A260" s="28" t="s">
        <v>11662</v>
      </c>
    </row>
    <row r="262" spans="1:1" ht="35.1" customHeight="1">
      <c r="A262" s="27" t="s">
        <v>11663</v>
      </c>
    </row>
    <row r="263" spans="1:1" ht="35.1" customHeight="1">
      <c r="A263" s="27" t="s">
        <v>11664</v>
      </c>
    </row>
    <row r="264" spans="1:1" ht="35.1" customHeight="1">
      <c r="A264" s="27" t="s">
        <v>11665</v>
      </c>
    </row>
    <row r="267" spans="1:1" ht="35.1" customHeight="1">
      <c r="A267" s="28" t="s">
        <v>11666</v>
      </c>
    </row>
    <row r="269" spans="1:1" ht="35.1" customHeight="1">
      <c r="A269" s="27" t="s">
        <v>11667</v>
      </c>
    </row>
    <row r="270" spans="1:1" ht="35.1" customHeight="1">
      <c r="A270" s="27" t="s">
        <v>11668</v>
      </c>
    </row>
    <row r="271" spans="1:1" ht="35.1" customHeight="1">
      <c r="A271" s="27" t="s">
        <v>11669</v>
      </c>
    </row>
    <row r="274" spans="1:1" ht="35.1" customHeight="1">
      <c r="A274" s="28" t="s">
        <v>11670</v>
      </c>
    </row>
    <row r="276" spans="1:1" ht="35.1" customHeight="1">
      <c r="A276" s="27" t="s">
        <v>11671</v>
      </c>
    </row>
    <row r="277" spans="1:1" ht="35.1" customHeight="1">
      <c r="A277" s="27" t="s">
        <v>11672</v>
      </c>
    </row>
    <row r="278" spans="1:1" ht="35.1" customHeight="1">
      <c r="A278" s="27" t="s">
        <v>11673</v>
      </c>
    </row>
    <row r="281" spans="1:1" ht="35.1" customHeight="1">
      <c r="A281" s="28" t="s">
        <v>11674</v>
      </c>
    </row>
    <row r="283" spans="1:1" ht="35.1" customHeight="1">
      <c r="A283" s="27" t="s">
        <v>11675</v>
      </c>
    </row>
    <row r="284" spans="1:1" ht="35.1" customHeight="1">
      <c r="A284" s="27" t="s">
        <v>11676</v>
      </c>
    </row>
    <row r="285" spans="1:1" ht="35.1" customHeight="1">
      <c r="A285" s="27" t="s">
        <v>11677</v>
      </c>
    </row>
    <row r="288" spans="1:1" ht="35.1" customHeight="1">
      <c r="A288" s="28" t="s">
        <v>11678</v>
      </c>
    </row>
    <row r="290" spans="1:1" ht="35.1" customHeight="1">
      <c r="A290" s="27" t="s">
        <v>11679</v>
      </c>
    </row>
    <row r="291" spans="1:1" ht="35.1" customHeight="1">
      <c r="A291" s="27" t="s">
        <v>11680</v>
      </c>
    </row>
    <row r="292" spans="1:1" ht="35.1" customHeight="1">
      <c r="A292" s="27" t="s">
        <v>11681</v>
      </c>
    </row>
    <row r="295" spans="1:1" ht="35.1" customHeight="1">
      <c r="A295" s="28" t="s">
        <v>11682</v>
      </c>
    </row>
    <row r="297" spans="1:1" ht="35.1" customHeight="1">
      <c r="A297" s="27" t="s">
        <v>11683</v>
      </c>
    </row>
    <row r="298" spans="1:1" ht="35.1" customHeight="1">
      <c r="A298" s="27" t="s">
        <v>11684</v>
      </c>
    </row>
    <row r="299" spans="1:1" ht="35.1" customHeight="1">
      <c r="A299" s="27" t="s">
        <v>11685</v>
      </c>
    </row>
    <row r="302" spans="1:1" ht="35.1" customHeight="1">
      <c r="A302" s="28" t="s">
        <v>11686</v>
      </c>
    </row>
    <row r="304" spans="1:1" ht="35.1" customHeight="1">
      <c r="A304" s="27" t="s">
        <v>11687</v>
      </c>
    </row>
    <row r="305" spans="1:1" ht="35.1" customHeight="1">
      <c r="A305" s="27" t="s">
        <v>11688</v>
      </c>
    </row>
    <row r="306" spans="1:1" ht="35.1" customHeight="1">
      <c r="A306" s="27" t="s">
        <v>11689</v>
      </c>
    </row>
    <row r="309" spans="1:1" ht="35.1" customHeight="1">
      <c r="A309" s="28" t="s">
        <v>11690</v>
      </c>
    </row>
    <row r="311" spans="1:1" ht="35.1" customHeight="1">
      <c r="A311" s="27" t="s">
        <v>11691</v>
      </c>
    </row>
    <row r="312" spans="1:1" ht="35.1" customHeight="1">
      <c r="A312" s="27" t="s">
        <v>11692</v>
      </c>
    </row>
    <row r="313" spans="1:1" ht="35.1" customHeight="1">
      <c r="A313" s="27" t="s">
        <v>11693</v>
      </c>
    </row>
    <row r="316" spans="1:1" ht="35.1" customHeight="1">
      <c r="A316" s="28" t="s">
        <v>11694</v>
      </c>
    </row>
    <row r="318" spans="1:1" ht="35.1" customHeight="1">
      <c r="A318" s="27" t="s">
        <v>11695</v>
      </c>
    </row>
    <row r="319" spans="1:1" ht="35.1" customHeight="1">
      <c r="A319" s="27" t="s">
        <v>11696</v>
      </c>
    </row>
    <row r="320" spans="1:1" ht="35.1" customHeight="1">
      <c r="A320" s="27" t="s">
        <v>11697</v>
      </c>
    </row>
    <row r="323" spans="1:1" ht="35.1" customHeight="1">
      <c r="A323" s="28" t="s">
        <v>11698</v>
      </c>
    </row>
    <row r="325" spans="1:1" ht="35.1" customHeight="1">
      <c r="A325" s="27" t="s">
        <v>11699</v>
      </c>
    </row>
    <row r="326" spans="1:1" ht="35.1" customHeight="1">
      <c r="A326" s="27" t="s">
        <v>11700</v>
      </c>
    </row>
    <row r="327" spans="1:1" ht="35.1" customHeight="1">
      <c r="A327" s="27" t="s">
        <v>11701</v>
      </c>
    </row>
    <row r="330" spans="1:1" ht="35.1" customHeight="1">
      <c r="A330" s="28" t="s">
        <v>11702</v>
      </c>
    </row>
    <row r="332" spans="1:1" ht="35.1" customHeight="1">
      <c r="A332" s="27" t="s">
        <v>11703</v>
      </c>
    </row>
    <row r="333" spans="1:1" ht="35.1" customHeight="1">
      <c r="A333" s="27" t="s">
        <v>11704</v>
      </c>
    </row>
    <row r="334" spans="1:1" ht="35.1" customHeight="1">
      <c r="A334" s="27" t="s">
        <v>11705</v>
      </c>
    </row>
    <row r="335" spans="1:1" ht="35.1" customHeight="1">
      <c r="A335" s="27"/>
    </row>
    <row r="337" spans="1:1" ht="35.1" customHeight="1">
      <c r="A337" s="28" t="s">
        <v>11706</v>
      </c>
    </row>
    <row r="339" spans="1:1" ht="35.1" customHeight="1">
      <c r="A339" s="27" t="s">
        <v>11707</v>
      </c>
    </row>
    <row r="340" spans="1:1" ht="35.1" customHeight="1">
      <c r="A340" s="27" t="s">
        <v>11708</v>
      </c>
    </row>
    <row r="341" spans="1:1" ht="35.1" customHeight="1">
      <c r="A341" s="27" t="s">
        <v>11709</v>
      </c>
    </row>
    <row r="344" spans="1:1" ht="35.1" customHeight="1">
      <c r="A344" s="28" t="s">
        <v>11710</v>
      </c>
    </row>
    <row r="346" spans="1:1" ht="35.1" customHeight="1">
      <c r="A346" s="27" t="s">
        <v>11711</v>
      </c>
    </row>
    <row r="347" spans="1:1" ht="35.1" customHeight="1">
      <c r="A347" s="27" t="s">
        <v>11712</v>
      </c>
    </row>
    <row r="348" spans="1:1" ht="35.1" customHeight="1">
      <c r="A348" s="27" t="s">
        <v>11713</v>
      </c>
    </row>
    <row r="351" spans="1:1" ht="35.1" customHeight="1">
      <c r="A351" s="28" t="s">
        <v>11714</v>
      </c>
    </row>
    <row r="353" spans="1:1" ht="35.1" customHeight="1">
      <c r="A353" s="27" t="s">
        <v>11715</v>
      </c>
    </row>
    <row r="354" spans="1:1" ht="35.1" customHeight="1">
      <c r="A354" s="27" t="s">
        <v>11716</v>
      </c>
    </row>
    <row r="355" spans="1:1" ht="35.1" customHeight="1">
      <c r="A355" s="27" t="s">
        <v>11717</v>
      </c>
    </row>
    <row r="358" spans="1:1" ht="35.1" customHeight="1">
      <c r="A358" s="28" t="s">
        <v>11718</v>
      </c>
    </row>
    <row r="360" spans="1:1" ht="35.1" customHeight="1">
      <c r="A360" s="27" t="s">
        <v>11719</v>
      </c>
    </row>
    <row r="361" spans="1:1" ht="35.1" customHeight="1">
      <c r="A361" s="27" t="s">
        <v>11720</v>
      </c>
    </row>
    <row r="362" spans="1:1" ht="35.1" customHeight="1">
      <c r="A362" s="27" t="s">
        <v>11721</v>
      </c>
    </row>
    <row r="365" spans="1:1" ht="35.1" customHeight="1">
      <c r="A365" s="28" t="s">
        <v>11722</v>
      </c>
    </row>
    <row r="367" spans="1:1" ht="35.1" customHeight="1">
      <c r="A367" s="27" t="s">
        <v>11723</v>
      </c>
    </row>
    <row r="368" spans="1:1" ht="35.1" customHeight="1">
      <c r="A368" s="27" t="s">
        <v>11724</v>
      </c>
    </row>
    <row r="369" spans="1:1" ht="35.1" customHeight="1">
      <c r="A369" s="27" t="s">
        <v>11725</v>
      </c>
    </row>
    <row r="372" spans="1:1" ht="35.1" customHeight="1">
      <c r="A372" s="28" t="s">
        <v>11726</v>
      </c>
    </row>
    <row r="374" spans="1:1" ht="35.1" customHeight="1">
      <c r="A374" s="27" t="s">
        <v>11727</v>
      </c>
    </row>
    <row r="375" spans="1:1" ht="35.1" customHeight="1">
      <c r="A375" s="27" t="s">
        <v>11728</v>
      </c>
    </row>
    <row r="376" spans="1:1" ht="35.1" customHeight="1">
      <c r="A376" s="27" t="s">
        <v>11729</v>
      </c>
    </row>
    <row r="379" spans="1:1" ht="35.1" customHeight="1">
      <c r="A379" s="28" t="s">
        <v>11730</v>
      </c>
    </row>
    <row r="381" spans="1:1" ht="35.1" customHeight="1">
      <c r="A381" s="27" t="s">
        <v>11731</v>
      </c>
    </row>
    <row r="382" spans="1:1" ht="35.1" customHeight="1">
      <c r="A382" s="27" t="s">
        <v>11732</v>
      </c>
    </row>
    <row r="383" spans="1:1" ht="35.1" customHeight="1">
      <c r="A383" s="27" t="s">
        <v>11733</v>
      </c>
    </row>
    <row r="386" spans="1:1" ht="35.1" customHeight="1">
      <c r="A386" s="28" t="s">
        <v>11734</v>
      </c>
    </row>
    <row r="388" spans="1:1" ht="35.1" customHeight="1">
      <c r="A388" s="27" t="s">
        <v>11735</v>
      </c>
    </row>
    <row r="389" spans="1:1" ht="35.1" customHeight="1">
      <c r="A389" s="27" t="s">
        <v>11736</v>
      </c>
    </row>
    <row r="390" spans="1:1" ht="35.1" customHeight="1">
      <c r="A390" s="27" t="s">
        <v>11737</v>
      </c>
    </row>
    <row r="393" spans="1:1" ht="35.1" customHeight="1">
      <c r="A393" s="28" t="s">
        <v>11738</v>
      </c>
    </row>
    <row r="395" spans="1:1" ht="35.1" customHeight="1">
      <c r="A395" s="27" t="s">
        <v>11513</v>
      </c>
    </row>
    <row r="396" spans="1:1" ht="35.1" customHeight="1">
      <c r="A396" s="27" t="s">
        <v>11739</v>
      </c>
    </row>
    <row r="397" spans="1:1" ht="35.1" customHeight="1">
      <c r="A397" s="27" t="s">
        <v>11740</v>
      </c>
    </row>
    <row r="400" spans="1:1" ht="35.1" customHeight="1">
      <c r="A400" s="28" t="s">
        <v>11741</v>
      </c>
    </row>
    <row r="402" spans="1:1" ht="35.1" customHeight="1">
      <c r="A402" s="27" t="s">
        <v>11742</v>
      </c>
    </row>
    <row r="403" spans="1:1" ht="35.1" customHeight="1">
      <c r="A403" s="27" t="s">
        <v>11743</v>
      </c>
    </row>
    <row r="404" spans="1:1" ht="35.1" customHeight="1">
      <c r="A404" s="27" t="s">
        <v>11744</v>
      </c>
    </row>
    <row r="407" spans="1:1" ht="35.1" customHeight="1">
      <c r="A407" s="28" t="s">
        <v>11745</v>
      </c>
    </row>
    <row r="409" spans="1:1" ht="35.1" customHeight="1">
      <c r="A409" s="27" t="s">
        <v>11746</v>
      </c>
    </row>
    <row r="410" spans="1:1" ht="35.1" customHeight="1">
      <c r="A410" s="27" t="s">
        <v>11747</v>
      </c>
    </row>
    <row r="411" spans="1:1" ht="35.1" customHeight="1">
      <c r="A411" s="27" t="s">
        <v>11748</v>
      </c>
    </row>
    <row r="414" spans="1:1" ht="35.1" customHeight="1">
      <c r="A414" s="28" t="s">
        <v>11749</v>
      </c>
    </row>
    <row r="416" spans="1:1" ht="35.1" customHeight="1">
      <c r="A416" s="27" t="s">
        <v>11750</v>
      </c>
    </row>
    <row r="417" spans="1:1" ht="35.1" customHeight="1">
      <c r="A417" s="27" t="s">
        <v>11751</v>
      </c>
    </row>
    <row r="418" spans="1:1" ht="35.1" customHeight="1">
      <c r="A418" s="27" t="s">
        <v>11752</v>
      </c>
    </row>
    <row r="419" spans="1:1" ht="35.1" customHeight="1">
      <c r="A419" s="27"/>
    </row>
    <row r="421" spans="1:1" ht="35.1" customHeight="1">
      <c r="A421" s="28" t="s">
        <v>11753</v>
      </c>
    </row>
    <row r="423" spans="1:1" ht="35.1" customHeight="1">
      <c r="A423" s="27" t="s">
        <v>11754</v>
      </c>
    </row>
    <row r="424" spans="1:1" ht="35.1" customHeight="1">
      <c r="A424" s="27" t="s">
        <v>11755</v>
      </c>
    </row>
    <row r="425" spans="1:1" ht="35.1" customHeight="1">
      <c r="A425" s="27" t="s">
        <v>11756</v>
      </c>
    </row>
    <row r="428" spans="1:1" ht="35.1" customHeight="1">
      <c r="A428" s="28" t="s">
        <v>11757</v>
      </c>
    </row>
    <row r="430" spans="1:1" ht="35.1" customHeight="1">
      <c r="A430" s="27" t="s">
        <v>11758</v>
      </c>
    </row>
    <row r="431" spans="1:1" ht="35.1" customHeight="1">
      <c r="A431" s="27" t="s">
        <v>11759</v>
      </c>
    </row>
    <row r="432" spans="1:1" ht="35.1" customHeight="1">
      <c r="A432" s="27" t="s">
        <v>11760</v>
      </c>
    </row>
    <row r="435" spans="1:1" ht="35.1" customHeight="1">
      <c r="A435" s="28" t="s">
        <v>11761</v>
      </c>
    </row>
    <row r="437" spans="1:1" ht="35.1" customHeight="1">
      <c r="A437" s="27" t="s">
        <v>11762</v>
      </c>
    </row>
    <row r="438" spans="1:1" ht="35.1" customHeight="1">
      <c r="A438" s="27" t="s">
        <v>11763</v>
      </c>
    </row>
    <row r="439" spans="1:1" ht="35.1" customHeight="1">
      <c r="A439" s="27" t="s">
        <v>11764</v>
      </c>
    </row>
    <row r="442" spans="1:1" ht="35.1" customHeight="1">
      <c r="A442" s="28" t="s">
        <v>11765</v>
      </c>
    </row>
    <row r="444" spans="1:1" ht="35.1" customHeight="1">
      <c r="A444" s="27" t="s">
        <v>11766</v>
      </c>
    </row>
    <row r="445" spans="1:1" ht="35.1" customHeight="1">
      <c r="A445" s="27" t="s">
        <v>11767</v>
      </c>
    </row>
    <row r="446" spans="1:1" ht="35.1" customHeight="1">
      <c r="A446" s="27" t="s">
        <v>11768</v>
      </c>
    </row>
    <row r="449" spans="1:1" ht="35.1" customHeight="1">
      <c r="A449" s="28" t="s">
        <v>11769</v>
      </c>
    </row>
    <row r="451" spans="1:1" ht="35.1" customHeight="1">
      <c r="A451" s="27" t="s">
        <v>11770</v>
      </c>
    </row>
    <row r="452" spans="1:1" ht="35.1" customHeight="1">
      <c r="A452" s="27" t="s">
        <v>11771</v>
      </c>
    </row>
    <row r="453" spans="1:1" ht="35.1" customHeight="1">
      <c r="A453" s="27" t="s">
        <v>11772</v>
      </c>
    </row>
    <row r="456" spans="1:1" ht="35.1" customHeight="1">
      <c r="A456" s="28" t="s">
        <v>11773</v>
      </c>
    </row>
    <row r="458" spans="1:1" ht="35.1" customHeight="1">
      <c r="A458" s="27" t="s">
        <v>11774</v>
      </c>
    </row>
    <row r="459" spans="1:1" ht="35.1" customHeight="1">
      <c r="A459" s="27" t="s">
        <v>11775</v>
      </c>
    </row>
    <row r="460" spans="1:1" ht="35.1" customHeight="1">
      <c r="A460" s="27" t="s">
        <v>11776</v>
      </c>
    </row>
    <row r="463" spans="1:1" ht="35.1" customHeight="1">
      <c r="A463" s="28" t="s">
        <v>11777</v>
      </c>
    </row>
    <row r="465" spans="1:1" ht="35.1" customHeight="1">
      <c r="A465" s="27" t="s">
        <v>11778</v>
      </c>
    </row>
    <row r="466" spans="1:1" ht="35.1" customHeight="1">
      <c r="A466" s="27" t="s">
        <v>11779</v>
      </c>
    </row>
    <row r="467" spans="1:1" ht="35.1" customHeight="1">
      <c r="A467" s="27" t="s">
        <v>11780</v>
      </c>
    </row>
    <row r="470" spans="1:1" ht="35.1" customHeight="1">
      <c r="A470" s="28" t="s">
        <v>11781</v>
      </c>
    </row>
    <row r="472" spans="1:1" ht="35.1" customHeight="1">
      <c r="A472" s="27" t="s">
        <v>11782</v>
      </c>
    </row>
    <row r="473" spans="1:1" ht="35.1" customHeight="1">
      <c r="A473" s="27" t="s">
        <v>11783</v>
      </c>
    </row>
    <row r="474" spans="1:1" ht="35.1" customHeight="1">
      <c r="A474" s="27" t="s">
        <v>11784</v>
      </c>
    </row>
    <row r="477" spans="1:1" ht="35.1" customHeight="1">
      <c r="A477" s="28" t="s">
        <v>11785</v>
      </c>
    </row>
    <row r="479" spans="1:1" ht="35.1" customHeight="1">
      <c r="A479" s="27" t="s">
        <v>11786</v>
      </c>
    </row>
    <row r="480" spans="1:1" ht="35.1" customHeight="1">
      <c r="A480" s="27" t="s">
        <v>11787</v>
      </c>
    </row>
    <row r="481" spans="1:1" ht="35.1" customHeight="1">
      <c r="A481" s="27" t="s">
        <v>11788</v>
      </c>
    </row>
    <row r="484" spans="1:1" ht="35.1" customHeight="1">
      <c r="A484" s="28" t="s">
        <v>11789</v>
      </c>
    </row>
    <row r="486" spans="1:1" ht="35.1" customHeight="1">
      <c r="A486" s="27" t="s">
        <v>11790</v>
      </c>
    </row>
    <row r="487" spans="1:1" ht="35.1" customHeight="1">
      <c r="A487" s="27" t="s">
        <v>11791</v>
      </c>
    </row>
    <row r="488" spans="1:1" ht="35.1" customHeight="1">
      <c r="A488" s="27" t="s">
        <v>11792</v>
      </c>
    </row>
    <row r="491" spans="1:1" ht="35.1" customHeight="1">
      <c r="A491" s="28" t="s">
        <v>11793</v>
      </c>
    </row>
    <row r="493" spans="1:1" ht="35.1" customHeight="1">
      <c r="A493" s="27" t="s">
        <v>11794</v>
      </c>
    </row>
    <row r="494" spans="1:1" ht="35.1" customHeight="1">
      <c r="A494" s="27" t="s">
        <v>11795</v>
      </c>
    </row>
    <row r="495" spans="1:1" ht="35.1" customHeight="1">
      <c r="A495" s="27" t="s">
        <v>11796</v>
      </c>
    </row>
    <row r="498" spans="1:1" ht="35.1" customHeight="1">
      <c r="A498" s="28" t="s">
        <v>11797</v>
      </c>
    </row>
    <row r="500" spans="1:1" ht="35.1" customHeight="1">
      <c r="A500" s="27" t="s">
        <v>11798</v>
      </c>
    </row>
    <row r="501" spans="1:1" ht="35.1" customHeight="1">
      <c r="A501" s="27" t="s">
        <v>11799</v>
      </c>
    </row>
    <row r="502" spans="1:1" ht="35.1" customHeight="1">
      <c r="A502" s="27" t="s">
        <v>11800</v>
      </c>
    </row>
    <row r="503" spans="1:1" ht="35.1" customHeight="1">
      <c r="A503" s="41"/>
    </row>
    <row r="505" spans="1:1" ht="35.1" customHeight="1">
      <c r="A505" s="28" t="s">
        <v>11801</v>
      </c>
    </row>
    <row r="507" spans="1:1" ht="35.1" customHeight="1">
      <c r="A507" s="27" t="s">
        <v>11802</v>
      </c>
    </row>
    <row r="508" spans="1:1" ht="35.1" customHeight="1">
      <c r="A508" s="27" t="s">
        <v>11803</v>
      </c>
    </row>
    <row r="509" spans="1:1" ht="35.1" customHeight="1">
      <c r="A509" s="27" t="s">
        <v>11804</v>
      </c>
    </row>
    <row r="512" spans="1:1" ht="35.1" customHeight="1">
      <c r="A512" s="28" t="s">
        <v>11805</v>
      </c>
    </row>
    <row r="514" spans="1:1" ht="35.1" customHeight="1">
      <c r="A514" s="27" t="s">
        <v>11806</v>
      </c>
    </row>
    <row r="515" spans="1:1" ht="35.1" customHeight="1">
      <c r="A515" s="27" t="s">
        <v>11807</v>
      </c>
    </row>
    <row r="516" spans="1:1" ht="35.1" customHeight="1">
      <c r="A516" s="27" t="s">
        <v>11808</v>
      </c>
    </row>
    <row r="519" spans="1:1" ht="35.1" customHeight="1">
      <c r="A519" s="28" t="s">
        <v>11809</v>
      </c>
    </row>
    <row r="521" spans="1:1" ht="35.1" customHeight="1">
      <c r="A521" s="27" t="s">
        <v>11810</v>
      </c>
    </row>
    <row r="522" spans="1:1" ht="35.1" customHeight="1">
      <c r="A522" s="27" t="s">
        <v>11811</v>
      </c>
    </row>
    <row r="523" spans="1:1" ht="35.1" customHeight="1">
      <c r="A523" s="27" t="s">
        <v>11812</v>
      </c>
    </row>
    <row r="526" spans="1:1" ht="35.1" customHeight="1">
      <c r="A526" s="28" t="s">
        <v>11813</v>
      </c>
    </row>
    <row r="528" spans="1:1" ht="35.1" customHeight="1">
      <c r="A528" s="27" t="s">
        <v>11814</v>
      </c>
    </row>
    <row r="529" spans="1:1" ht="35.1" customHeight="1">
      <c r="A529" s="27" t="s">
        <v>11815</v>
      </c>
    </row>
    <row r="530" spans="1:1" ht="35.1" customHeight="1">
      <c r="A530" s="27" t="s">
        <v>11816</v>
      </c>
    </row>
    <row r="533" spans="1:1" ht="35.1" customHeight="1">
      <c r="A533" s="28" t="s">
        <v>11817</v>
      </c>
    </row>
    <row r="535" spans="1:1" ht="35.1" customHeight="1">
      <c r="A535" s="27" t="s">
        <v>11818</v>
      </c>
    </row>
    <row r="536" spans="1:1" ht="35.1" customHeight="1">
      <c r="A536" s="27" t="s">
        <v>11819</v>
      </c>
    </row>
    <row r="537" spans="1:1" ht="35.1" customHeight="1">
      <c r="A537" s="27" t="s">
        <v>11820</v>
      </c>
    </row>
    <row r="540" spans="1:1" ht="35.1" customHeight="1">
      <c r="A540" s="28" t="s">
        <v>11821</v>
      </c>
    </row>
    <row r="542" spans="1:1" ht="35.1" customHeight="1">
      <c r="A542" s="27" t="s">
        <v>11822</v>
      </c>
    </row>
    <row r="543" spans="1:1" ht="35.1" customHeight="1">
      <c r="A543" s="27" t="s">
        <v>11823</v>
      </c>
    </row>
    <row r="544" spans="1:1" ht="35.1" customHeight="1">
      <c r="A544" s="27" t="s">
        <v>11824</v>
      </c>
    </row>
    <row r="547" spans="1:1" ht="35.1" customHeight="1">
      <c r="A547" s="28" t="s">
        <v>11825</v>
      </c>
    </row>
    <row r="549" spans="1:1" ht="35.1" customHeight="1">
      <c r="A549" s="27" t="s">
        <v>11826</v>
      </c>
    </row>
    <row r="550" spans="1:1" ht="35.1" customHeight="1">
      <c r="A550" s="27" t="s">
        <v>11827</v>
      </c>
    </row>
    <row r="551" spans="1:1" ht="35.1" customHeight="1">
      <c r="A551" s="27" t="s">
        <v>11828</v>
      </c>
    </row>
    <row r="554" spans="1:1" ht="35.1" customHeight="1">
      <c r="A554" s="28" t="s">
        <v>11829</v>
      </c>
    </row>
    <row r="556" spans="1:1" ht="35.1" customHeight="1">
      <c r="A556" s="27" t="s">
        <v>11830</v>
      </c>
    </row>
    <row r="557" spans="1:1" ht="35.1" customHeight="1">
      <c r="A557" s="27" t="s">
        <v>11831</v>
      </c>
    </row>
    <row r="558" spans="1:1" ht="35.1" customHeight="1">
      <c r="A558" s="27" t="s">
        <v>11832</v>
      </c>
    </row>
    <row r="561" spans="1:1" ht="35.1" customHeight="1">
      <c r="A561" s="28" t="s">
        <v>11833</v>
      </c>
    </row>
    <row r="563" spans="1:1" ht="35.1" customHeight="1">
      <c r="A563" s="27" t="s">
        <v>11834</v>
      </c>
    </row>
    <row r="564" spans="1:1" ht="35.1" customHeight="1">
      <c r="A564" s="27" t="s">
        <v>11835</v>
      </c>
    </row>
    <row r="565" spans="1:1" ht="35.1" customHeight="1">
      <c r="A565" s="27" t="s">
        <v>11836</v>
      </c>
    </row>
    <row r="568" spans="1:1" ht="35.1" customHeight="1">
      <c r="A568" s="28" t="s">
        <v>11837</v>
      </c>
    </row>
    <row r="570" spans="1:1" ht="35.1" customHeight="1">
      <c r="A570" s="27" t="s">
        <v>11838</v>
      </c>
    </row>
    <row r="571" spans="1:1" ht="35.1" customHeight="1">
      <c r="A571" s="27" t="s">
        <v>11839</v>
      </c>
    </row>
    <row r="572" spans="1:1" ht="35.1" customHeight="1">
      <c r="A572" s="27" t="s">
        <v>11840</v>
      </c>
    </row>
    <row r="575" spans="1:1" ht="35.1" customHeight="1">
      <c r="A575" s="28" t="s">
        <v>11841</v>
      </c>
    </row>
    <row r="577" spans="1:1" ht="35.1" customHeight="1">
      <c r="A577" s="27" t="s">
        <v>11842</v>
      </c>
    </row>
    <row r="578" spans="1:1" ht="35.1" customHeight="1">
      <c r="A578" s="27" t="s">
        <v>11843</v>
      </c>
    </row>
    <row r="579" spans="1:1" ht="35.1" customHeight="1">
      <c r="A579" s="27" t="s">
        <v>11844</v>
      </c>
    </row>
    <row r="582" spans="1:1" ht="35.1" customHeight="1">
      <c r="A582" s="28" t="s">
        <v>11845</v>
      </c>
    </row>
    <row r="584" spans="1:1" ht="35.1" customHeight="1">
      <c r="A584" s="27" t="s">
        <v>11846</v>
      </c>
    </row>
    <row r="585" spans="1:1" ht="35.1" customHeight="1">
      <c r="A585" s="27" t="s">
        <v>11847</v>
      </c>
    </row>
    <row r="586" spans="1:1" ht="35.1" customHeight="1">
      <c r="A586" s="27" t="s">
        <v>11848</v>
      </c>
    </row>
    <row r="587" spans="1:1" ht="35.1" customHeight="1">
      <c r="A587" s="41"/>
    </row>
    <row r="589" spans="1:1" ht="35.1" customHeight="1">
      <c r="A589" s="28" t="s">
        <v>11849</v>
      </c>
    </row>
    <row r="591" spans="1:1" ht="35.1" customHeight="1">
      <c r="A591" s="27" t="s">
        <v>11850</v>
      </c>
    </row>
    <row r="592" spans="1:1" ht="35.1" customHeight="1">
      <c r="A592" s="27" t="s">
        <v>11851</v>
      </c>
    </row>
    <row r="593" spans="1:1" ht="35.1" customHeight="1">
      <c r="A593" s="27" t="s">
        <v>11852</v>
      </c>
    </row>
    <row r="596" spans="1:1" ht="35.1" customHeight="1">
      <c r="A596" s="28" t="s">
        <v>11853</v>
      </c>
    </row>
    <row r="598" spans="1:1" ht="35.1" customHeight="1">
      <c r="A598" s="27" t="s">
        <v>11854</v>
      </c>
    </row>
    <row r="599" spans="1:1" ht="35.1" customHeight="1">
      <c r="A599" s="27" t="s">
        <v>11855</v>
      </c>
    </row>
    <row r="600" spans="1:1" ht="35.1" customHeight="1">
      <c r="A600" s="27" t="s">
        <v>11856</v>
      </c>
    </row>
    <row r="603" spans="1:1" ht="35.1" customHeight="1">
      <c r="A603" s="28" t="s">
        <v>11857</v>
      </c>
    </row>
    <row r="605" spans="1:1" ht="35.1" customHeight="1">
      <c r="A605" s="27" t="s">
        <v>11858</v>
      </c>
    </row>
    <row r="606" spans="1:1" ht="35.1" customHeight="1">
      <c r="A606" s="27" t="s">
        <v>11859</v>
      </c>
    </row>
    <row r="607" spans="1:1" ht="35.1" customHeight="1">
      <c r="A607" s="27" t="s">
        <v>11860</v>
      </c>
    </row>
    <row r="610" spans="1:1" ht="35.1" customHeight="1">
      <c r="A610" s="28" t="s">
        <v>11861</v>
      </c>
    </row>
    <row r="612" spans="1:1" ht="35.1" customHeight="1">
      <c r="A612" s="27" t="s">
        <v>11862</v>
      </c>
    </row>
    <row r="613" spans="1:1" ht="35.1" customHeight="1">
      <c r="A613" s="27" t="s">
        <v>11863</v>
      </c>
    </row>
    <row r="614" spans="1:1" ht="35.1" customHeight="1">
      <c r="A614" s="27" t="s">
        <v>11864</v>
      </c>
    </row>
    <row r="617" spans="1:1" ht="35.1" customHeight="1">
      <c r="A617" s="28" t="s">
        <v>11865</v>
      </c>
    </row>
    <row r="619" spans="1:1" ht="35.1" customHeight="1">
      <c r="A619" s="27" t="s">
        <v>11866</v>
      </c>
    </row>
    <row r="620" spans="1:1" ht="35.1" customHeight="1">
      <c r="A620" s="27" t="s">
        <v>11867</v>
      </c>
    </row>
    <row r="621" spans="1:1" ht="35.1" customHeight="1">
      <c r="A621" s="27" t="s">
        <v>11868</v>
      </c>
    </row>
    <row r="624" spans="1:1" ht="35.1" customHeight="1">
      <c r="A624" s="28" t="s">
        <v>11869</v>
      </c>
    </row>
    <row r="626" spans="1:1" ht="35.1" customHeight="1">
      <c r="A626" s="27" t="s">
        <v>11870</v>
      </c>
    </row>
    <row r="627" spans="1:1" ht="35.1" customHeight="1">
      <c r="A627" s="27" t="s">
        <v>11871</v>
      </c>
    </row>
    <row r="628" spans="1:1" ht="35.1" customHeight="1">
      <c r="A628" s="27" t="s">
        <v>11872</v>
      </c>
    </row>
    <row r="631" spans="1:1" ht="35.1" customHeight="1">
      <c r="A631" s="28" t="s">
        <v>11873</v>
      </c>
    </row>
    <row r="633" spans="1:1" ht="35.1" customHeight="1">
      <c r="A633" s="27" t="s">
        <v>11874</v>
      </c>
    </row>
    <row r="634" spans="1:1" ht="35.1" customHeight="1">
      <c r="A634" s="27" t="s">
        <v>11875</v>
      </c>
    </row>
    <row r="635" spans="1:1" ht="35.1" customHeight="1">
      <c r="A635" s="27" t="s">
        <v>11876</v>
      </c>
    </row>
    <row r="638" spans="1:1" ht="35.1" customHeight="1">
      <c r="A638" s="28" t="s">
        <v>11877</v>
      </c>
    </row>
    <row r="640" spans="1:1" ht="35.1" customHeight="1">
      <c r="A640" s="27" t="s">
        <v>11878</v>
      </c>
    </row>
    <row r="641" spans="1:1" ht="35.1" customHeight="1">
      <c r="A641" s="27" t="s">
        <v>11879</v>
      </c>
    </row>
    <row r="642" spans="1:1" ht="35.1" customHeight="1">
      <c r="A642" s="27" t="s">
        <v>11880</v>
      </c>
    </row>
    <row r="645" spans="1:1" ht="35.1" customHeight="1">
      <c r="A645" s="28" t="s">
        <v>11881</v>
      </c>
    </row>
    <row r="647" spans="1:1" ht="35.1" customHeight="1">
      <c r="A647" s="27" t="s">
        <v>11882</v>
      </c>
    </row>
    <row r="648" spans="1:1" ht="35.1" customHeight="1">
      <c r="A648" s="27" t="s">
        <v>11883</v>
      </c>
    </row>
    <row r="649" spans="1:1" ht="35.1" customHeight="1">
      <c r="A649" s="27" t="s">
        <v>11884</v>
      </c>
    </row>
    <row r="652" spans="1:1" ht="35.1" customHeight="1">
      <c r="A652" s="28" t="s">
        <v>11885</v>
      </c>
    </row>
    <row r="654" spans="1:1" ht="35.1" customHeight="1">
      <c r="A654" s="27" t="s">
        <v>11886</v>
      </c>
    </row>
    <row r="655" spans="1:1" ht="35.1" customHeight="1">
      <c r="A655" s="27" t="s">
        <v>11887</v>
      </c>
    </row>
    <row r="656" spans="1:1" ht="35.1" customHeight="1">
      <c r="A656" s="27" t="s">
        <v>11888</v>
      </c>
    </row>
    <row r="659" spans="1:1" ht="35.1" customHeight="1">
      <c r="A659" s="28" t="s">
        <v>11889</v>
      </c>
    </row>
    <row r="661" spans="1:1" ht="35.1" customHeight="1">
      <c r="A661" s="27" t="s">
        <v>11890</v>
      </c>
    </row>
    <row r="662" spans="1:1" ht="35.1" customHeight="1">
      <c r="A662" s="27" t="s">
        <v>11891</v>
      </c>
    </row>
    <row r="663" spans="1:1" ht="35.1" customHeight="1">
      <c r="A663" s="27" t="s">
        <v>11892</v>
      </c>
    </row>
    <row r="666" spans="1:1" ht="35.1" customHeight="1">
      <c r="A666" s="28" t="s">
        <v>11893</v>
      </c>
    </row>
    <row r="668" spans="1:1" ht="35.1" customHeight="1">
      <c r="A668" s="27" t="s">
        <v>11894</v>
      </c>
    </row>
    <row r="669" spans="1:1" ht="35.1" customHeight="1">
      <c r="A669" s="27" t="s">
        <v>11895</v>
      </c>
    </row>
    <row r="670" spans="1:1" ht="35.1" customHeight="1">
      <c r="A670" s="27" t="s">
        <v>11896</v>
      </c>
    </row>
    <row r="671" spans="1:1" ht="35.1" customHeight="1">
      <c r="A671" s="41"/>
    </row>
    <row r="673" spans="1:1" ht="35.1" customHeight="1">
      <c r="A673" s="28" t="s">
        <v>11897</v>
      </c>
    </row>
    <row r="675" spans="1:1" ht="35.1" customHeight="1">
      <c r="A675" s="27" t="s">
        <v>11898</v>
      </c>
    </row>
    <row r="676" spans="1:1" ht="35.1" customHeight="1">
      <c r="A676" s="27" t="s">
        <v>11899</v>
      </c>
    </row>
    <row r="677" spans="1:1" ht="35.1" customHeight="1">
      <c r="A677" s="27" t="s">
        <v>11900</v>
      </c>
    </row>
    <row r="680" spans="1:1" ht="35.1" customHeight="1">
      <c r="A680" s="28" t="s">
        <v>11901</v>
      </c>
    </row>
    <row r="682" spans="1:1" ht="35.1" customHeight="1">
      <c r="A682" s="27" t="s">
        <v>11902</v>
      </c>
    </row>
    <row r="683" spans="1:1" ht="35.1" customHeight="1">
      <c r="A683" s="27" t="s">
        <v>11903</v>
      </c>
    </row>
    <row r="684" spans="1:1" ht="35.1" customHeight="1">
      <c r="A684" s="27" t="s">
        <v>11904</v>
      </c>
    </row>
    <row r="687" spans="1:1" ht="35.1" customHeight="1">
      <c r="A687" s="28" t="s">
        <v>11905</v>
      </c>
    </row>
    <row r="689" spans="1:1" ht="35.1" customHeight="1">
      <c r="A689" s="27" t="s">
        <v>11906</v>
      </c>
    </row>
    <row r="690" spans="1:1" ht="35.1" customHeight="1">
      <c r="A690" s="27" t="s">
        <v>11907</v>
      </c>
    </row>
    <row r="691" spans="1:1" ht="35.1" customHeight="1">
      <c r="A691" s="27" t="s">
        <v>11908</v>
      </c>
    </row>
    <row r="694" spans="1:1" ht="35.1" customHeight="1">
      <c r="A694" s="28" t="s">
        <v>11909</v>
      </c>
    </row>
    <row r="696" spans="1:1" ht="35.1" customHeight="1">
      <c r="A696" s="27" t="s">
        <v>11910</v>
      </c>
    </row>
    <row r="697" spans="1:1" ht="35.1" customHeight="1">
      <c r="A697" s="27" t="s">
        <v>11911</v>
      </c>
    </row>
    <row r="698" spans="1:1" ht="35.1" customHeight="1">
      <c r="A698" s="27" t="s">
        <v>11912</v>
      </c>
    </row>
    <row r="701" spans="1:1" ht="35.1" customHeight="1">
      <c r="A701" s="28" t="s">
        <v>11913</v>
      </c>
    </row>
    <row r="703" spans="1:1" ht="35.1" customHeight="1">
      <c r="A703" s="27" t="s">
        <v>11914</v>
      </c>
    </row>
    <row r="704" spans="1:1" ht="35.1" customHeight="1">
      <c r="A704" s="27" t="s">
        <v>11915</v>
      </c>
    </row>
    <row r="705" spans="1:1" ht="35.1" customHeight="1">
      <c r="A705" s="27" t="s">
        <v>11916</v>
      </c>
    </row>
    <row r="708" spans="1:1" ht="35.1" customHeight="1">
      <c r="A708" s="28" t="s">
        <v>11917</v>
      </c>
    </row>
    <row r="710" spans="1:1" ht="35.1" customHeight="1">
      <c r="A710" s="27" t="s">
        <v>11918</v>
      </c>
    </row>
    <row r="711" spans="1:1" ht="35.1" customHeight="1">
      <c r="A711" s="27" t="s">
        <v>11919</v>
      </c>
    </row>
    <row r="712" spans="1:1" ht="35.1" customHeight="1">
      <c r="A712" s="27" t="s">
        <v>11920</v>
      </c>
    </row>
    <row r="715" spans="1:1" ht="35.1" customHeight="1">
      <c r="A715" s="28" t="s">
        <v>11921</v>
      </c>
    </row>
    <row r="717" spans="1:1" ht="35.1" customHeight="1">
      <c r="A717" s="27" t="s">
        <v>11922</v>
      </c>
    </row>
    <row r="718" spans="1:1" ht="35.1" customHeight="1">
      <c r="A718" s="27" t="s">
        <v>11923</v>
      </c>
    </row>
    <row r="719" spans="1:1" ht="35.1" customHeight="1">
      <c r="A719" s="27" t="s">
        <v>11924</v>
      </c>
    </row>
    <row r="722" spans="1:1" ht="35.1" customHeight="1">
      <c r="A722" s="28" t="s">
        <v>11925</v>
      </c>
    </row>
    <row r="724" spans="1:1" ht="35.1" customHeight="1">
      <c r="A724" s="27" t="s">
        <v>11926</v>
      </c>
    </row>
    <row r="725" spans="1:1" ht="35.1" customHeight="1">
      <c r="A725" s="27" t="s">
        <v>11927</v>
      </c>
    </row>
    <row r="726" spans="1:1" ht="35.1" customHeight="1">
      <c r="A726" s="27" t="s">
        <v>11928</v>
      </c>
    </row>
    <row r="729" spans="1:1" ht="35.1" customHeight="1">
      <c r="A729" s="28" t="s">
        <v>11929</v>
      </c>
    </row>
    <row r="731" spans="1:1" ht="35.1" customHeight="1">
      <c r="A731" s="27" t="s">
        <v>11930</v>
      </c>
    </row>
    <row r="732" spans="1:1" ht="35.1" customHeight="1">
      <c r="A732" s="27" t="s">
        <v>11931</v>
      </c>
    </row>
    <row r="733" spans="1:1" ht="35.1" customHeight="1">
      <c r="A733" s="27" t="s">
        <v>11932</v>
      </c>
    </row>
    <row r="736" spans="1:1" ht="35.1" customHeight="1">
      <c r="A736" s="28" t="s">
        <v>11933</v>
      </c>
    </row>
    <row r="738" spans="1:1" ht="35.1" customHeight="1">
      <c r="A738" s="27" t="s">
        <v>11934</v>
      </c>
    </row>
    <row r="739" spans="1:1" ht="35.1" customHeight="1">
      <c r="A739" s="27" t="s">
        <v>11935</v>
      </c>
    </row>
    <row r="740" spans="1:1" ht="35.1" customHeight="1">
      <c r="A740" s="27" t="s">
        <v>11936</v>
      </c>
    </row>
    <row r="743" spans="1:1" ht="35.1" customHeight="1">
      <c r="A743" s="28" t="s">
        <v>11937</v>
      </c>
    </row>
    <row r="745" spans="1:1" ht="35.1" customHeight="1">
      <c r="A745" s="27" t="s">
        <v>11938</v>
      </c>
    </row>
    <row r="746" spans="1:1" ht="35.1" customHeight="1">
      <c r="A746" s="27" t="s">
        <v>11939</v>
      </c>
    </row>
    <row r="747" spans="1:1" ht="35.1" customHeight="1">
      <c r="A747" s="27" t="s">
        <v>11940</v>
      </c>
    </row>
    <row r="750" spans="1:1" ht="35.1" customHeight="1">
      <c r="A750" s="28" t="s">
        <v>11941</v>
      </c>
    </row>
    <row r="752" spans="1:1" ht="35.1" customHeight="1">
      <c r="A752" s="27" t="s">
        <v>11942</v>
      </c>
    </row>
    <row r="753" spans="1:1" ht="35.1" customHeight="1">
      <c r="A753" s="27" t="s">
        <v>11943</v>
      </c>
    </row>
    <row r="754" spans="1:1" ht="35.1" customHeight="1">
      <c r="A754" s="27" t="s">
        <v>11944</v>
      </c>
    </row>
    <row r="755" spans="1:1" ht="35.1" customHeight="1">
      <c r="A755" s="41"/>
    </row>
    <row r="757" spans="1:1" ht="35.1" customHeight="1">
      <c r="A757" s="28" t="s">
        <v>11945</v>
      </c>
    </row>
    <row r="759" spans="1:1" ht="35.1" customHeight="1">
      <c r="A759" s="27" t="s">
        <v>11946</v>
      </c>
    </row>
    <row r="760" spans="1:1" ht="35.1" customHeight="1">
      <c r="A760" s="27" t="s">
        <v>11947</v>
      </c>
    </row>
    <row r="761" spans="1:1" ht="35.1" customHeight="1">
      <c r="A761" s="27" t="s">
        <v>11948</v>
      </c>
    </row>
    <row r="764" spans="1:1" ht="35.1" customHeight="1">
      <c r="A764" s="28" t="s">
        <v>11949</v>
      </c>
    </row>
    <row r="766" spans="1:1" ht="35.1" customHeight="1">
      <c r="A766" s="27" t="s">
        <v>11950</v>
      </c>
    </row>
    <row r="767" spans="1:1" ht="35.1" customHeight="1">
      <c r="A767" s="27" t="s">
        <v>11951</v>
      </c>
    </row>
    <row r="768" spans="1:1" ht="35.1" customHeight="1">
      <c r="A768" s="27" t="s">
        <v>11952</v>
      </c>
    </row>
    <row r="771" spans="1:1" ht="35.1" customHeight="1">
      <c r="A771" s="28" t="s">
        <v>11953</v>
      </c>
    </row>
    <row r="773" spans="1:1" ht="35.1" customHeight="1">
      <c r="A773" s="27" t="s">
        <v>11954</v>
      </c>
    </row>
    <row r="774" spans="1:1" ht="35.1" customHeight="1">
      <c r="A774" s="27" t="s">
        <v>11955</v>
      </c>
    </row>
    <row r="775" spans="1:1" ht="35.1" customHeight="1">
      <c r="A775" s="27" t="s">
        <v>11956</v>
      </c>
    </row>
    <row r="778" spans="1:1" ht="35.1" customHeight="1">
      <c r="A778" s="28" t="s">
        <v>11957</v>
      </c>
    </row>
    <row r="780" spans="1:1" ht="35.1" customHeight="1">
      <c r="A780" s="27" t="s">
        <v>11958</v>
      </c>
    </row>
    <row r="781" spans="1:1" ht="35.1" customHeight="1">
      <c r="A781" s="27" t="s">
        <v>11959</v>
      </c>
    </row>
    <row r="782" spans="1:1" ht="35.1" customHeight="1">
      <c r="A782" s="27" t="s">
        <v>11960</v>
      </c>
    </row>
    <row r="785" spans="1:1" ht="35.1" customHeight="1">
      <c r="A785" s="28" t="s">
        <v>11961</v>
      </c>
    </row>
    <row r="787" spans="1:1" ht="35.1" customHeight="1">
      <c r="A787" s="27" t="s">
        <v>11962</v>
      </c>
    </row>
    <row r="788" spans="1:1" ht="35.1" customHeight="1">
      <c r="A788" s="27" t="s">
        <v>11963</v>
      </c>
    </row>
    <row r="789" spans="1:1" ht="35.1" customHeight="1">
      <c r="A789" s="27" t="s">
        <v>11964</v>
      </c>
    </row>
    <row r="792" spans="1:1" ht="35.1" customHeight="1">
      <c r="A792" s="28" t="s">
        <v>11965</v>
      </c>
    </row>
    <row r="794" spans="1:1" ht="35.1" customHeight="1">
      <c r="A794" s="27" t="s">
        <v>11966</v>
      </c>
    </row>
    <row r="795" spans="1:1" ht="35.1" customHeight="1">
      <c r="A795" s="27" t="s">
        <v>11967</v>
      </c>
    </row>
    <row r="796" spans="1:1" ht="35.1" customHeight="1">
      <c r="A796" s="27" t="s">
        <v>11968</v>
      </c>
    </row>
    <row r="799" spans="1:1" ht="35.1" customHeight="1">
      <c r="A799" s="28" t="s">
        <v>11969</v>
      </c>
    </row>
    <row r="801" spans="1:1" ht="35.1" customHeight="1">
      <c r="A801" s="27" t="s">
        <v>11970</v>
      </c>
    </row>
    <row r="802" spans="1:1" ht="35.1" customHeight="1">
      <c r="A802" s="27" t="s">
        <v>11971</v>
      </c>
    </row>
    <row r="803" spans="1:1" ht="35.1" customHeight="1">
      <c r="A803" s="27" t="s">
        <v>11972</v>
      </c>
    </row>
    <row r="806" spans="1:1" ht="35.1" customHeight="1">
      <c r="A806" s="28" t="s">
        <v>11973</v>
      </c>
    </row>
    <row r="808" spans="1:1" ht="35.1" customHeight="1">
      <c r="A808" s="27" t="s">
        <v>11974</v>
      </c>
    </row>
    <row r="809" spans="1:1" ht="35.1" customHeight="1">
      <c r="A809" s="27" t="s">
        <v>11975</v>
      </c>
    </row>
    <row r="810" spans="1:1" ht="35.1" customHeight="1">
      <c r="A810" s="27" t="s">
        <v>11976</v>
      </c>
    </row>
    <row r="813" spans="1:1" ht="35.1" customHeight="1">
      <c r="A813" s="28" t="s">
        <v>11977</v>
      </c>
    </row>
    <row r="815" spans="1:1" ht="35.1" customHeight="1">
      <c r="A815" s="27" t="s">
        <v>11978</v>
      </c>
    </row>
    <row r="816" spans="1:1" ht="35.1" customHeight="1">
      <c r="A816" s="27" t="s">
        <v>11979</v>
      </c>
    </row>
    <row r="817" spans="1:1" ht="35.1" customHeight="1">
      <c r="A817" s="27" t="s">
        <v>11980</v>
      </c>
    </row>
    <row r="820" spans="1:1" ht="35.1" customHeight="1">
      <c r="A820" s="28" t="s">
        <v>11981</v>
      </c>
    </row>
    <row r="822" spans="1:1" ht="35.1" customHeight="1">
      <c r="A822" s="27" t="s">
        <v>11982</v>
      </c>
    </row>
    <row r="823" spans="1:1" ht="35.1" customHeight="1">
      <c r="A823" s="27" t="s">
        <v>11983</v>
      </c>
    </row>
    <row r="824" spans="1:1" ht="35.1" customHeight="1">
      <c r="A824" s="27" t="s">
        <v>11984</v>
      </c>
    </row>
    <row r="827" spans="1:1" ht="35.1" customHeight="1">
      <c r="A827" s="28" t="s">
        <v>11985</v>
      </c>
    </row>
    <row r="829" spans="1:1" ht="35.1" customHeight="1">
      <c r="A829" s="27" t="s">
        <v>11986</v>
      </c>
    </row>
    <row r="830" spans="1:1" ht="35.1" customHeight="1">
      <c r="A830" s="27" t="s">
        <v>11987</v>
      </c>
    </row>
    <row r="831" spans="1:1" ht="35.1" customHeight="1">
      <c r="A831" s="27" t="s">
        <v>11988</v>
      </c>
    </row>
    <row r="834" spans="1:1" ht="35.1" customHeight="1">
      <c r="A834" s="28" t="s">
        <v>11989</v>
      </c>
    </row>
    <row r="836" spans="1:1" ht="35.1" customHeight="1">
      <c r="A836" s="27" t="s">
        <v>11990</v>
      </c>
    </row>
    <row r="837" spans="1:1" ht="35.1" customHeight="1">
      <c r="A837" s="27" t="s">
        <v>11991</v>
      </c>
    </row>
    <row r="838" spans="1:1" ht="35.1" customHeight="1">
      <c r="A838" s="27" t="s">
        <v>11992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3070"/>
  <sheetViews>
    <sheetView workbookViewId="0">
      <selection sqref="A1:A3079"/>
    </sheetView>
  </sheetViews>
  <sheetFormatPr defaultRowHeight="16.5"/>
  <sheetData>
    <row r="1" spans="1:1" ht="114.75">
      <c r="A1" s="9" t="s">
        <v>1995</v>
      </c>
    </row>
    <row r="2" spans="1:1">
      <c r="A2" s="9" t="s">
        <v>1996</v>
      </c>
    </row>
    <row r="3" spans="1:1">
      <c r="A3" s="9" t="s">
        <v>1997</v>
      </c>
    </row>
    <row r="4" spans="1:1">
      <c r="A4" s="9" t="s">
        <v>1998</v>
      </c>
    </row>
    <row r="5" spans="1:1" ht="25.5">
      <c r="A5" s="9" t="s">
        <v>1999</v>
      </c>
    </row>
    <row r="6" spans="1:1">
      <c r="A6" s="11"/>
    </row>
    <row r="7" spans="1:1" ht="63.75">
      <c r="A7" s="9" t="s">
        <v>2000</v>
      </c>
    </row>
    <row r="8" spans="1:1" ht="38.25">
      <c r="A8" s="9" t="s">
        <v>2001</v>
      </c>
    </row>
    <row r="9" spans="1:1" ht="25.5">
      <c r="A9" s="9" t="s">
        <v>2002</v>
      </c>
    </row>
    <row r="10" spans="1:1">
      <c r="A10" s="11"/>
    </row>
    <row r="11" spans="1:1" ht="140.25">
      <c r="A11" s="9" t="s">
        <v>2003</v>
      </c>
    </row>
    <row r="12" spans="1:1" ht="25.5">
      <c r="A12" s="9" t="s">
        <v>2004</v>
      </c>
    </row>
    <row r="13" spans="1:1">
      <c r="A13" s="9" t="s">
        <v>2005</v>
      </c>
    </row>
    <row r="14" spans="1:1" ht="25.5">
      <c r="A14" s="9" t="s">
        <v>2006</v>
      </c>
    </row>
    <row r="15" spans="1:1" ht="25.5">
      <c r="A15" s="9" t="s">
        <v>2007</v>
      </c>
    </row>
    <row r="16" spans="1:1">
      <c r="A16" s="11"/>
    </row>
    <row r="17" spans="1:1" ht="63.75">
      <c r="A17" s="9" t="s">
        <v>2008</v>
      </c>
    </row>
    <row r="18" spans="1:1">
      <c r="A18" s="9" t="s">
        <v>68</v>
      </c>
    </row>
    <row r="19" spans="1:1">
      <c r="A19" s="9" t="s">
        <v>2009</v>
      </c>
    </row>
    <row r="20" spans="1:1">
      <c r="A20" s="9" t="s">
        <v>2010</v>
      </c>
    </row>
    <row r="21" spans="1:1" ht="51">
      <c r="A21" s="9" t="s">
        <v>2011</v>
      </c>
    </row>
    <row r="22" spans="1:1">
      <c r="A22" s="11"/>
    </row>
    <row r="23" spans="1:1" ht="51">
      <c r="A23" s="9" t="s">
        <v>2012</v>
      </c>
    </row>
    <row r="24" spans="1:1" ht="38.25">
      <c r="A24" s="9" t="s">
        <v>2013</v>
      </c>
    </row>
    <row r="25" spans="1:1" ht="38.25">
      <c r="A25" s="9" t="s">
        <v>2014</v>
      </c>
    </row>
    <row r="26" spans="1:1" ht="38.25">
      <c r="A26" s="9" t="s">
        <v>2015</v>
      </c>
    </row>
    <row r="27" spans="1:1" ht="140.25">
      <c r="A27" s="9" t="s">
        <v>2016</v>
      </c>
    </row>
    <row r="28" spans="1:1">
      <c r="A28" s="11"/>
    </row>
    <row r="29" spans="1:1" ht="89.25">
      <c r="A29" s="9" t="s">
        <v>2017</v>
      </c>
    </row>
    <row r="30" spans="1:1">
      <c r="A30" s="9" t="s">
        <v>2018</v>
      </c>
    </row>
    <row r="31" spans="1:1">
      <c r="A31" s="9" t="s">
        <v>2019</v>
      </c>
    </row>
    <row r="32" spans="1:1">
      <c r="A32" s="9" t="s">
        <v>2020</v>
      </c>
    </row>
    <row r="33" spans="1:1" ht="25.5">
      <c r="A33" s="9" t="s">
        <v>2021</v>
      </c>
    </row>
    <row r="34" spans="1:1">
      <c r="A34" s="11"/>
    </row>
    <row r="35" spans="1:1" ht="114.75">
      <c r="A35" s="9" t="s">
        <v>2022</v>
      </c>
    </row>
    <row r="36" spans="1:1">
      <c r="A36" s="9" t="s">
        <v>2023</v>
      </c>
    </row>
    <row r="37" spans="1:1">
      <c r="A37" s="9" t="s">
        <v>2024</v>
      </c>
    </row>
    <row r="38" spans="1:1">
      <c r="A38" s="9" t="s">
        <v>2025</v>
      </c>
    </row>
    <row r="39" spans="1:1" ht="25.5">
      <c r="A39" s="9" t="s">
        <v>2026</v>
      </c>
    </row>
    <row r="40" spans="1:1">
      <c r="A40" s="11"/>
    </row>
    <row r="41" spans="1:1" ht="51">
      <c r="A41" s="9" t="s">
        <v>2027</v>
      </c>
    </row>
    <row r="42" spans="1:1">
      <c r="A42" s="9" t="s">
        <v>2028</v>
      </c>
    </row>
    <row r="43" spans="1:1">
      <c r="A43" s="9" t="s">
        <v>2029</v>
      </c>
    </row>
    <row r="44" spans="1:1">
      <c r="A44" s="9" t="s">
        <v>1594</v>
      </c>
    </row>
    <row r="45" spans="1:1" ht="102">
      <c r="A45" s="9" t="s">
        <v>2030</v>
      </c>
    </row>
    <row r="46" spans="1:1">
      <c r="A46" s="11"/>
    </row>
    <row r="47" spans="1:1" ht="63.75">
      <c r="A47" s="9" t="s">
        <v>2031</v>
      </c>
    </row>
    <row r="48" spans="1:1" ht="25.5">
      <c r="A48" s="9" t="s">
        <v>2032</v>
      </c>
    </row>
    <row r="49" spans="1:1">
      <c r="A49" s="9" t="s">
        <v>2033</v>
      </c>
    </row>
    <row r="50" spans="1:1">
      <c r="A50" s="11"/>
    </row>
    <row r="51" spans="1:1" ht="140.25">
      <c r="A51" s="9" t="s">
        <v>2034</v>
      </c>
    </row>
    <row r="52" spans="1:1" ht="114.75">
      <c r="A52" s="9" t="s">
        <v>2035</v>
      </c>
    </row>
    <row r="53" spans="1:1">
      <c r="A53" s="9" t="s">
        <v>2036</v>
      </c>
    </row>
    <row r="54" spans="1:1">
      <c r="A54" s="9" t="s">
        <v>2037</v>
      </c>
    </row>
    <row r="55" spans="1:1" ht="25.5">
      <c r="A55" s="9" t="s">
        <v>2038</v>
      </c>
    </row>
    <row r="56" spans="1:1" ht="25.5">
      <c r="A56" s="9" t="s">
        <v>2039</v>
      </c>
    </row>
    <row r="57" spans="1:1">
      <c r="A57" s="11"/>
    </row>
    <row r="58" spans="1:1" ht="89.25">
      <c r="A58" s="9" t="s">
        <v>2040</v>
      </c>
    </row>
    <row r="59" spans="1:1">
      <c r="A59" s="9" t="s">
        <v>2041</v>
      </c>
    </row>
    <row r="60" spans="1:1">
      <c r="A60" s="9" t="s">
        <v>2042</v>
      </c>
    </row>
    <row r="61" spans="1:1">
      <c r="A61" s="9" t="s">
        <v>2043</v>
      </c>
    </row>
    <row r="62" spans="1:1" ht="25.5">
      <c r="A62" s="9" t="s">
        <v>2044</v>
      </c>
    </row>
    <row r="63" spans="1:1">
      <c r="A63" s="11"/>
    </row>
    <row r="64" spans="1:1" ht="63.75">
      <c r="A64" s="9" t="s">
        <v>2045</v>
      </c>
    </row>
    <row r="65" spans="1:1">
      <c r="A65" s="9" t="s">
        <v>2046</v>
      </c>
    </row>
    <row r="66" spans="1:1" ht="25.5">
      <c r="A66" s="9" t="s">
        <v>2047</v>
      </c>
    </row>
    <row r="67" spans="1:1" ht="25.5">
      <c r="A67" s="9" t="s">
        <v>2048</v>
      </c>
    </row>
    <row r="68" spans="1:1" ht="76.5">
      <c r="A68" s="9" t="s">
        <v>2049</v>
      </c>
    </row>
    <row r="69" spans="1:1">
      <c r="A69" s="11"/>
    </row>
    <row r="70" spans="1:1" ht="51">
      <c r="A70" s="9" t="s">
        <v>2050</v>
      </c>
    </row>
    <row r="71" spans="1:1">
      <c r="A71" s="9" t="s">
        <v>842</v>
      </c>
    </row>
    <row r="72" spans="1:1">
      <c r="A72" s="9" t="s">
        <v>556</v>
      </c>
    </row>
    <row r="73" spans="1:1">
      <c r="A73" s="9" t="s">
        <v>1869</v>
      </c>
    </row>
    <row r="74" spans="1:1" ht="25.5">
      <c r="A74" s="9" t="s">
        <v>2051</v>
      </c>
    </row>
    <row r="75" spans="1:1">
      <c r="A75" s="11"/>
    </row>
    <row r="76" spans="1:1" ht="51">
      <c r="A76" s="9" t="s">
        <v>2052</v>
      </c>
    </row>
    <row r="77" spans="1:1">
      <c r="A77" s="9" t="s">
        <v>869</v>
      </c>
    </row>
    <row r="78" spans="1:1">
      <c r="A78" s="9" t="s">
        <v>2053</v>
      </c>
    </row>
    <row r="79" spans="1:1">
      <c r="A79" s="9" t="s">
        <v>2054</v>
      </c>
    </row>
    <row r="80" spans="1:1" ht="51">
      <c r="A80" s="9" t="s">
        <v>2055</v>
      </c>
    </row>
    <row r="81" spans="1:1">
      <c r="A81" s="11"/>
    </row>
    <row r="82" spans="1:1" ht="63.75">
      <c r="A82" s="9" t="s">
        <v>2056</v>
      </c>
    </row>
    <row r="83" spans="1:1">
      <c r="A83" s="9" t="s">
        <v>2057</v>
      </c>
    </row>
    <row r="84" spans="1:1">
      <c r="A84" s="9" t="s">
        <v>2058</v>
      </c>
    </row>
    <row r="85" spans="1:1">
      <c r="A85" s="9" t="s">
        <v>2059</v>
      </c>
    </row>
    <row r="86" spans="1:1" ht="25.5">
      <c r="A86" s="9" t="s">
        <v>2060</v>
      </c>
    </row>
    <row r="87" spans="1:1">
      <c r="A87" s="11"/>
    </row>
    <row r="88" spans="1:1" ht="51">
      <c r="A88" s="9" t="s">
        <v>2061</v>
      </c>
    </row>
    <row r="89" spans="1:1">
      <c r="A89" s="9" t="s">
        <v>2062</v>
      </c>
    </row>
    <row r="90" spans="1:1">
      <c r="A90" s="9" t="s">
        <v>2063</v>
      </c>
    </row>
    <row r="91" spans="1:1">
      <c r="A91" s="9" t="s">
        <v>2064</v>
      </c>
    </row>
    <row r="92" spans="1:1" ht="63.75">
      <c r="A92" s="9" t="s">
        <v>2065</v>
      </c>
    </row>
    <row r="93" spans="1:1">
      <c r="A93" s="11"/>
    </row>
    <row r="94" spans="1:1" ht="51">
      <c r="A94" s="9" t="s">
        <v>2066</v>
      </c>
    </row>
    <row r="95" spans="1:1" ht="51">
      <c r="A95" s="9" t="s">
        <v>2067</v>
      </c>
    </row>
    <row r="96" spans="1:1" ht="51">
      <c r="A96" s="9" t="s">
        <v>2068</v>
      </c>
    </row>
    <row r="97" spans="1:1" ht="51">
      <c r="A97" s="9" t="s">
        <v>2069</v>
      </c>
    </row>
    <row r="98" spans="1:1">
      <c r="A98" s="9" t="s">
        <v>2070</v>
      </c>
    </row>
    <row r="99" spans="1:1">
      <c r="A99" s="11"/>
    </row>
    <row r="100" spans="1:1" ht="51">
      <c r="A100" s="9" t="s">
        <v>2071</v>
      </c>
    </row>
    <row r="101" spans="1:1" ht="51">
      <c r="A101" s="9" t="s">
        <v>2072</v>
      </c>
    </row>
    <row r="102" spans="1:1" ht="38.25">
      <c r="A102" s="9" t="s">
        <v>2073</v>
      </c>
    </row>
    <row r="103" spans="1:1">
      <c r="A103" s="11"/>
    </row>
    <row r="104" spans="1:1" ht="76.5">
      <c r="A104" s="9" t="s">
        <v>2074</v>
      </c>
    </row>
    <row r="105" spans="1:1">
      <c r="A105" s="9" t="s">
        <v>2075</v>
      </c>
    </row>
    <row r="106" spans="1:1">
      <c r="A106" s="9" t="s">
        <v>2076</v>
      </c>
    </row>
    <row r="107" spans="1:1">
      <c r="A107" s="9" t="s">
        <v>2077</v>
      </c>
    </row>
    <row r="108" spans="1:1" ht="25.5">
      <c r="A108" s="9" t="s">
        <v>2078</v>
      </c>
    </row>
    <row r="109" spans="1:1">
      <c r="A109" s="11"/>
    </row>
    <row r="110" spans="1:1" ht="63.75">
      <c r="A110" s="9" t="s">
        <v>2079</v>
      </c>
    </row>
    <row r="111" spans="1:1" ht="25.5">
      <c r="A111" s="9" t="s">
        <v>2080</v>
      </c>
    </row>
    <row r="112" spans="1:1" ht="25.5">
      <c r="A112" s="9" t="s">
        <v>2081</v>
      </c>
    </row>
    <row r="113" spans="1:1">
      <c r="A113" s="9" t="s">
        <v>2082</v>
      </c>
    </row>
    <row r="114" spans="1:1" ht="25.5">
      <c r="A114" s="9" t="s">
        <v>2083</v>
      </c>
    </row>
    <row r="115" spans="1:1">
      <c r="A115" s="11"/>
    </row>
    <row r="116" spans="1:1" ht="25.5">
      <c r="A116" s="9" t="s">
        <v>2084</v>
      </c>
    </row>
    <row r="117" spans="1:1">
      <c r="A117" s="9" t="s">
        <v>2085</v>
      </c>
    </row>
    <row r="118" spans="1:1">
      <c r="A118" s="9" t="s">
        <v>2086</v>
      </c>
    </row>
    <row r="119" spans="1:1">
      <c r="A119" s="9" t="s">
        <v>2087</v>
      </c>
    </row>
    <row r="120" spans="1:1">
      <c r="A120" s="11"/>
    </row>
    <row r="121" spans="1:1" ht="102">
      <c r="A121" s="9" t="s">
        <v>2088</v>
      </c>
    </row>
    <row r="122" spans="1:1">
      <c r="A122" s="11"/>
    </row>
    <row r="123" spans="1:1" ht="102">
      <c r="A123" s="9" t="s">
        <v>2089</v>
      </c>
    </row>
    <row r="124" spans="1:1">
      <c r="A124" s="9" t="s">
        <v>2090</v>
      </c>
    </row>
    <row r="125" spans="1:1">
      <c r="A125" s="9" t="s">
        <v>2091</v>
      </c>
    </row>
    <row r="126" spans="1:1">
      <c r="A126" s="9" t="s">
        <v>2092</v>
      </c>
    </row>
    <row r="127" spans="1:1" ht="25.5">
      <c r="A127" s="9" t="s">
        <v>2093</v>
      </c>
    </row>
    <row r="128" spans="1:1">
      <c r="A128" s="11"/>
    </row>
    <row r="129" spans="1:1" ht="38.25">
      <c r="A129" s="9" t="s">
        <v>2094</v>
      </c>
    </row>
    <row r="130" spans="1:1" ht="25.5">
      <c r="A130" s="9" t="s">
        <v>2095</v>
      </c>
    </row>
    <row r="131" spans="1:1">
      <c r="A131" s="9" t="s">
        <v>2096</v>
      </c>
    </row>
    <row r="132" spans="1:1">
      <c r="A132" s="11"/>
    </row>
    <row r="133" spans="1:1" ht="127.5">
      <c r="A133" s="9" t="s">
        <v>2097</v>
      </c>
    </row>
    <row r="134" spans="1:1">
      <c r="A134" s="11"/>
    </row>
    <row r="135" spans="1:1" ht="51">
      <c r="A135" s="9" t="s">
        <v>2098</v>
      </c>
    </row>
    <row r="136" spans="1:1">
      <c r="A136" s="9" t="s">
        <v>2099</v>
      </c>
    </row>
    <row r="137" spans="1:1">
      <c r="A137" s="9" t="s">
        <v>2100</v>
      </c>
    </row>
    <row r="138" spans="1:1" ht="25.5">
      <c r="A138" s="9" t="s">
        <v>2101</v>
      </c>
    </row>
    <row r="139" spans="1:1">
      <c r="A139" s="11"/>
    </row>
    <row r="140" spans="1:1" ht="51">
      <c r="A140" s="9" t="s">
        <v>2102</v>
      </c>
    </row>
    <row r="141" spans="1:1">
      <c r="A141" s="9" t="s">
        <v>2103</v>
      </c>
    </row>
    <row r="142" spans="1:1">
      <c r="A142" s="9" t="s">
        <v>1000</v>
      </c>
    </row>
    <row r="143" spans="1:1">
      <c r="A143" s="9" t="s">
        <v>2104</v>
      </c>
    </row>
    <row r="144" spans="1:1" ht="25.5">
      <c r="A144" s="9" t="s">
        <v>2105</v>
      </c>
    </row>
    <row r="145" spans="1:1">
      <c r="A145" s="11"/>
    </row>
    <row r="146" spans="1:1" ht="51">
      <c r="A146" s="9" t="s">
        <v>2106</v>
      </c>
    </row>
    <row r="147" spans="1:1">
      <c r="A147" s="9" t="s">
        <v>2107</v>
      </c>
    </row>
    <row r="148" spans="1:1">
      <c r="A148" s="9" t="s">
        <v>2108</v>
      </c>
    </row>
    <row r="149" spans="1:1">
      <c r="A149" s="9" t="s">
        <v>2109</v>
      </c>
    </row>
    <row r="150" spans="1:1" ht="25.5">
      <c r="A150" s="9" t="s">
        <v>2110</v>
      </c>
    </row>
    <row r="151" spans="1:1">
      <c r="A151" s="11"/>
    </row>
    <row r="152" spans="1:1" ht="63.75">
      <c r="A152" s="9" t="s">
        <v>2111</v>
      </c>
    </row>
    <row r="153" spans="1:1">
      <c r="A153" s="9" t="s">
        <v>2112</v>
      </c>
    </row>
    <row r="154" spans="1:1">
      <c r="A154" s="9" t="s">
        <v>2113</v>
      </c>
    </row>
    <row r="155" spans="1:1">
      <c r="A155" s="9" t="s">
        <v>2114</v>
      </c>
    </row>
    <row r="156" spans="1:1" ht="25.5">
      <c r="A156" s="9" t="s">
        <v>2115</v>
      </c>
    </row>
    <row r="157" spans="1:1">
      <c r="A157" s="11"/>
    </row>
    <row r="158" spans="1:1" ht="76.5">
      <c r="A158" s="9" t="s">
        <v>2116</v>
      </c>
    </row>
    <row r="159" spans="1:1" ht="25.5">
      <c r="A159" s="9" t="s">
        <v>2117</v>
      </c>
    </row>
    <row r="160" spans="1:1" ht="25.5">
      <c r="A160" s="9" t="s">
        <v>2118</v>
      </c>
    </row>
    <row r="161" spans="1:1">
      <c r="A161" s="11"/>
    </row>
    <row r="162" spans="1:1" ht="331.5">
      <c r="A162" s="9" t="s">
        <v>2119</v>
      </c>
    </row>
    <row r="163" spans="1:1">
      <c r="A163" s="11"/>
    </row>
    <row r="164" spans="1:1" ht="38.25">
      <c r="A164" s="9" t="s">
        <v>2120</v>
      </c>
    </row>
    <row r="165" spans="1:1">
      <c r="A165" s="9" t="s">
        <v>2121</v>
      </c>
    </row>
    <row r="166" spans="1:1">
      <c r="A166" s="9" t="s">
        <v>2122</v>
      </c>
    </row>
    <row r="167" spans="1:1">
      <c r="A167" s="9" t="s">
        <v>2123</v>
      </c>
    </row>
    <row r="168" spans="1:1">
      <c r="A168" s="11"/>
    </row>
    <row r="169" spans="1:1" ht="25.5">
      <c r="A169" s="9" t="s">
        <v>2124</v>
      </c>
    </row>
    <row r="170" spans="1:1">
      <c r="A170" s="11"/>
    </row>
    <row r="171" spans="1:1" ht="102">
      <c r="A171" s="9" t="s">
        <v>2125</v>
      </c>
    </row>
    <row r="172" spans="1:1">
      <c r="A172" s="9" t="s">
        <v>2126</v>
      </c>
    </row>
    <row r="173" spans="1:1">
      <c r="A173" s="9" t="s">
        <v>2127</v>
      </c>
    </row>
    <row r="174" spans="1:1">
      <c r="A174" s="9" t="s">
        <v>2128</v>
      </c>
    </row>
    <row r="175" spans="1:1">
      <c r="A175" s="9" t="s">
        <v>1807</v>
      </c>
    </row>
    <row r="176" spans="1:1">
      <c r="A176" s="11"/>
    </row>
    <row r="177" spans="1:1" ht="76.5">
      <c r="A177" s="9" t="s">
        <v>2129</v>
      </c>
    </row>
    <row r="178" spans="1:1">
      <c r="A178" s="11"/>
    </row>
    <row r="179" spans="1:1" ht="76.5">
      <c r="A179" s="9" t="s">
        <v>2130</v>
      </c>
    </row>
    <row r="180" spans="1:1">
      <c r="A180" s="9" t="s">
        <v>2131</v>
      </c>
    </row>
    <row r="181" spans="1:1">
      <c r="A181" s="9" t="s">
        <v>2132</v>
      </c>
    </row>
    <row r="182" spans="1:1">
      <c r="A182" s="9" t="s">
        <v>2133</v>
      </c>
    </row>
    <row r="183" spans="1:1" ht="25.5">
      <c r="A183" s="9" t="s">
        <v>2134</v>
      </c>
    </row>
    <row r="184" spans="1:1">
      <c r="A184" s="11"/>
    </row>
    <row r="185" spans="1:1" ht="76.5">
      <c r="A185" s="9" t="s">
        <v>2135</v>
      </c>
    </row>
    <row r="186" spans="1:1">
      <c r="A186" s="9" t="s">
        <v>2136</v>
      </c>
    </row>
    <row r="187" spans="1:1">
      <c r="A187" s="9" t="s">
        <v>2137</v>
      </c>
    </row>
    <row r="188" spans="1:1">
      <c r="A188" s="9" t="s">
        <v>2138</v>
      </c>
    </row>
    <row r="189" spans="1:1" ht="25.5">
      <c r="A189" s="9" t="s">
        <v>2139</v>
      </c>
    </row>
    <row r="190" spans="1:1">
      <c r="A190" s="11"/>
    </row>
    <row r="191" spans="1:1" ht="191.25">
      <c r="A191" s="9" t="s">
        <v>2140</v>
      </c>
    </row>
    <row r="192" spans="1:1" ht="89.25">
      <c r="A192" s="9" t="s">
        <v>2141</v>
      </c>
    </row>
    <row r="193" spans="1:1" ht="216.75">
      <c r="A193" s="9" t="s">
        <v>2142</v>
      </c>
    </row>
    <row r="194" spans="1:1">
      <c r="A194" s="11"/>
    </row>
    <row r="195" spans="1:1" ht="76.5">
      <c r="A195" s="9" t="s">
        <v>2143</v>
      </c>
    </row>
    <row r="196" spans="1:1">
      <c r="A196" s="9" t="s">
        <v>2144</v>
      </c>
    </row>
    <row r="197" spans="1:1">
      <c r="A197" s="9" t="s">
        <v>2145</v>
      </c>
    </row>
    <row r="198" spans="1:1">
      <c r="A198" s="9" t="s">
        <v>2146</v>
      </c>
    </row>
    <row r="199" spans="1:1" ht="114.75">
      <c r="A199" s="9" t="s">
        <v>2147</v>
      </c>
    </row>
    <row r="200" spans="1:1">
      <c r="A200" s="11"/>
    </row>
    <row r="201" spans="1:1" ht="369.75">
      <c r="A201" s="9" t="s">
        <v>2148</v>
      </c>
    </row>
    <row r="202" spans="1:1">
      <c r="A202" s="11"/>
    </row>
    <row r="203" spans="1:1" ht="204">
      <c r="A203" s="9" t="s">
        <v>2149</v>
      </c>
    </row>
    <row r="204" spans="1:1">
      <c r="A204" s="11"/>
    </row>
    <row r="205" spans="1:1" ht="63.75">
      <c r="A205" s="9" t="s">
        <v>2150</v>
      </c>
    </row>
    <row r="206" spans="1:1">
      <c r="A206" s="9" t="s">
        <v>2151</v>
      </c>
    </row>
    <row r="207" spans="1:1">
      <c r="A207" s="9" t="s">
        <v>2152</v>
      </c>
    </row>
    <row r="208" spans="1:1">
      <c r="A208" s="9" t="s">
        <v>2153</v>
      </c>
    </row>
    <row r="209" spans="1:1" ht="25.5">
      <c r="A209" s="9" t="s">
        <v>2154</v>
      </c>
    </row>
    <row r="210" spans="1:1">
      <c r="A210" s="11"/>
    </row>
    <row r="211" spans="1:1" ht="63.75">
      <c r="A211" s="9" t="s">
        <v>2155</v>
      </c>
    </row>
    <row r="212" spans="1:1" ht="25.5">
      <c r="A212" s="9" t="s">
        <v>2156</v>
      </c>
    </row>
    <row r="213" spans="1:1" ht="25.5">
      <c r="A213" s="9" t="s">
        <v>2157</v>
      </c>
    </row>
    <row r="214" spans="1:1" ht="25.5">
      <c r="A214" s="9" t="s">
        <v>2158</v>
      </c>
    </row>
    <row r="215" spans="1:1" ht="38.25">
      <c r="A215" s="9" t="s">
        <v>2159</v>
      </c>
    </row>
    <row r="216" spans="1:1">
      <c r="A216" s="11"/>
    </row>
    <row r="217" spans="1:1" ht="89.25">
      <c r="A217" s="9" t="s">
        <v>2160</v>
      </c>
    </row>
    <row r="218" spans="1:1">
      <c r="A218" s="9" t="s">
        <v>1322</v>
      </c>
    </row>
    <row r="219" spans="1:1">
      <c r="A219" s="9" t="s">
        <v>2161</v>
      </c>
    </row>
    <row r="220" spans="1:1">
      <c r="A220" s="9" t="s">
        <v>2162</v>
      </c>
    </row>
    <row r="221" spans="1:1">
      <c r="A221" s="9" t="s">
        <v>1850</v>
      </c>
    </row>
    <row r="222" spans="1:1">
      <c r="A222" s="11"/>
    </row>
    <row r="223" spans="1:1" ht="140.25">
      <c r="A223" s="9" t="s">
        <v>2163</v>
      </c>
    </row>
    <row r="224" spans="1:1">
      <c r="A224" s="11"/>
    </row>
    <row r="225" spans="1:1" ht="76.5">
      <c r="A225" s="9" t="s">
        <v>2164</v>
      </c>
    </row>
    <row r="226" spans="1:1" ht="89.25">
      <c r="A226" s="9" t="s">
        <v>2165</v>
      </c>
    </row>
    <row r="227" spans="1:1">
      <c r="A227" s="9" t="s">
        <v>2166</v>
      </c>
    </row>
    <row r="228" spans="1:1">
      <c r="A228" s="9" t="s">
        <v>2167</v>
      </c>
    </row>
    <row r="229" spans="1:1">
      <c r="A229" s="9" t="s">
        <v>2168</v>
      </c>
    </row>
    <row r="230" spans="1:1">
      <c r="A230" s="9" t="s">
        <v>2169</v>
      </c>
    </row>
    <row r="231" spans="1:1">
      <c r="A231" s="11"/>
    </row>
    <row r="232" spans="1:1" ht="114.75">
      <c r="A232" s="9" t="s">
        <v>2170</v>
      </c>
    </row>
    <row r="233" spans="1:1">
      <c r="A233" s="11"/>
    </row>
    <row r="234" spans="1:1" ht="76.5">
      <c r="A234" s="9" t="s">
        <v>2171</v>
      </c>
    </row>
    <row r="235" spans="1:1" ht="38.25">
      <c r="A235" s="9" t="s">
        <v>2172</v>
      </c>
    </row>
    <row r="236" spans="1:1">
      <c r="A236" s="9" t="s">
        <v>2173</v>
      </c>
    </row>
    <row r="237" spans="1:1">
      <c r="A237" s="11"/>
    </row>
    <row r="238" spans="1:1" ht="51">
      <c r="A238" s="9" t="s">
        <v>2174</v>
      </c>
    </row>
    <row r="239" spans="1:1" ht="25.5">
      <c r="A239" s="9" t="s">
        <v>2175</v>
      </c>
    </row>
    <row r="240" spans="1:1" ht="25.5">
      <c r="A240" s="9" t="s">
        <v>2176</v>
      </c>
    </row>
    <row r="241" spans="1:1" ht="38.25">
      <c r="A241" s="9" t="s">
        <v>2177</v>
      </c>
    </row>
    <row r="242" spans="1:1">
      <c r="A242" s="9" t="s">
        <v>2178</v>
      </c>
    </row>
    <row r="243" spans="1:1">
      <c r="A243" s="11"/>
    </row>
    <row r="244" spans="1:1" ht="63.75">
      <c r="A244" s="9" t="s">
        <v>2179</v>
      </c>
    </row>
    <row r="245" spans="1:1" ht="25.5">
      <c r="A245" s="9" t="s">
        <v>2180</v>
      </c>
    </row>
    <row r="246" spans="1:1">
      <c r="A246" s="9" t="s">
        <v>2181</v>
      </c>
    </row>
    <row r="247" spans="1:1">
      <c r="A247" s="11"/>
    </row>
    <row r="248" spans="1:1" ht="76.5">
      <c r="A248" s="9" t="s">
        <v>2182</v>
      </c>
    </row>
    <row r="249" spans="1:1" ht="25.5">
      <c r="A249" s="9" t="s">
        <v>2183</v>
      </c>
    </row>
    <row r="250" spans="1:1" ht="25.5">
      <c r="A250" s="9" t="s">
        <v>2184</v>
      </c>
    </row>
    <row r="251" spans="1:1" ht="38.25">
      <c r="A251" s="9" t="s">
        <v>2185</v>
      </c>
    </row>
    <row r="252" spans="1:1">
      <c r="A252" s="9" t="s">
        <v>2186</v>
      </c>
    </row>
    <row r="253" spans="1:1">
      <c r="A253" s="11"/>
    </row>
    <row r="254" spans="1:1" ht="140.25">
      <c r="A254" s="9" t="s">
        <v>2187</v>
      </c>
    </row>
    <row r="255" spans="1:1" ht="25.5">
      <c r="A255" s="9" t="s">
        <v>2188</v>
      </c>
    </row>
    <row r="256" spans="1:1" ht="25.5">
      <c r="A256" s="9" t="s">
        <v>2189</v>
      </c>
    </row>
    <row r="257" spans="1:1">
      <c r="A257" s="11"/>
    </row>
    <row r="258" spans="1:1" ht="191.25">
      <c r="A258" s="9" t="s">
        <v>2190</v>
      </c>
    </row>
    <row r="259" spans="1:1">
      <c r="A259" s="11"/>
    </row>
    <row r="260" spans="1:1" ht="102">
      <c r="A260" s="9" t="s">
        <v>2191</v>
      </c>
    </row>
    <row r="261" spans="1:1">
      <c r="A261" s="9" t="s">
        <v>2192</v>
      </c>
    </row>
    <row r="262" spans="1:1">
      <c r="A262" s="9" t="s">
        <v>2193</v>
      </c>
    </row>
    <row r="263" spans="1:1">
      <c r="A263" s="9" t="s">
        <v>2194</v>
      </c>
    </row>
    <row r="264" spans="1:1" ht="25.5">
      <c r="A264" s="9" t="s">
        <v>2195</v>
      </c>
    </row>
    <row r="265" spans="1:1">
      <c r="A265" s="11"/>
    </row>
    <row r="266" spans="1:1" ht="293.25">
      <c r="A266" s="9" t="s">
        <v>2196</v>
      </c>
    </row>
    <row r="267" spans="1:1">
      <c r="A267" s="11"/>
    </row>
    <row r="268" spans="1:1" ht="89.25">
      <c r="A268" s="9" t="s">
        <v>2197</v>
      </c>
    </row>
    <row r="269" spans="1:1" ht="25.5">
      <c r="A269" s="9" t="s">
        <v>2198</v>
      </c>
    </row>
    <row r="270" spans="1:1" ht="25.5">
      <c r="A270" s="9" t="s">
        <v>2199</v>
      </c>
    </row>
    <row r="271" spans="1:1">
      <c r="A271" s="11"/>
    </row>
    <row r="272" spans="1:1" ht="63.75">
      <c r="A272" s="9" t="s">
        <v>2200</v>
      </c>
    </row>
    <row r="273" spans="1:1" ht="25.5">
      <c r="A273" s="9" t="s">
        <v>2201</v>
      </c>
    </row>
    <row r="274" spans="1:1">
      <c r="A274" s="9" t="s">
        <v>2202</v>
      </c>
    </row>
    <row r="275" spans="1:1">
      <c r="A275" s="11"/>
    </row>
    <row r="276" spans="1:1" ht="51">
      <c r="A276" s="9" t="s">
        <v>2203</v>
      </c>
    </row>
    <row r="277" spans="1:1">
      <c r="A277" s="9" t="s">
        <v>2204</v>
      </c>
    </row>
    <row r="278" spans="1:1">
      <c r="A278" s="9" t="s">
        <v>2205</v>
      </c>
    </row>
    <row r="279" spans="1:1">
      <c r="A279" s="9" t="s">
        <v>2206</v>
      </c>
    </row>
    <row r="280" spans="1:1">
      <c r="A280" s="9" t="s">
        <v>1792</v>
      </c>
    </row>
    <row r="281" spans="1:1">
      <c r="A281" s="11"/>
    </row>
    <row r="282" spans="1:1" ht="114.75">
      <c r="A282" s="9" t="s">
        <v>2207</v>
      </c>
    </row>
    <row r="283" spans="1:1" ht="25.5">
      <c r="A283" s="9" t="s">
        <v>2208</v>
      </c>
    </row>
    <row r="284" spans="1:1" ht="25.5">
      <c r="A284" s="9" t="s">
        <v>2209</v>
      </c>
    </row>
    <row r="285" spans="1:1" ht="25.5">
      <c r="A285" s="9" t="s">
        <v>2210</v>
      </c>
    </row>
    <row r="286" spans="1:1">
      <c r="A286" s="9" t="s">
        <v>1792</v>
      </c>
    </row>
    <row r="287" spans="1:1">
      <c r="A287" s="11"/>
    </row>
    <row r="288" spans="1:1" ht="25.5">
      <c r="A288" s="9" t="s">
        <v>2211</v>
      </c>
    </row>
    <row r="289" spans="1:1">
      <c r="A289" s="9" t="s">
        <v>2212</v>
      </c>
    </row>
    <row r="290" spans="1:1">
      <c r="A290" s="9" t="s">
        <v>2213</v>
      </c>
    </row>
    <row r="291" spans="1:1">
      <c r="A291" s="9" t="s">
        <v>2214</v>
      </c>
    </row>
    <row r="292" spans="1:1">
      <c r="A292" s="9" t="s">
        <v>1788</v>
      </c>
    </row>
    <row r="293" spans="1:1">
      <c r="A293" s="11"/>
    </row>
    <row r="294" spans="1:1" ht="51">
      <c r="A294" s="9" t="s">
        <v>2215</v>
      </c>
    </row>
    <row r="295" spans="1:1">
      <c r="A295" s="9" t="s">
        <v>2216</v>
      </c>
    </row>
    <row r="296" spans="1:1">
      <c r="A296" s="9" t="s">
        <v>2217</v>
      </c>
    </row>
    <row r="297" spans="1:1">
      <c r="A297" s="9" t="s">
        <v>2218</v>
      </c>
    </row>
    <row r="298" spans="1:1" ht="89.25">
      <c r="A298" s="9" t="s">
        <v>2219</v>
      </c>
    </row>
    <row r="299" spans="1:1">
      <c r="A299" s="11"/>
    </row>
    <row r="300" spans="1:1" ht="242.25">
      <c r="A300" s="9" t="s">
        <v>2220</v>
      </c>
    </row>
    <row r="301" spans="1:1">
      <c r="A301" s="9" t="s">
        <v>2221</v>
      </c>
    </row>
    <row r="302" spans="1:1">
      <c r="A302" s="9" t="s">
        <v>2222</v>
      </c>
    </row>
    <row r="303" spans="1:1">
      <c r="A303" s="9" t="s">
        <v>2223</v>
      </c>
    </row>
    <row r="304" spans="1:1">
      <c r="A304" s="9" t="s">
        <v>1807</v>
      </c>
    </row>
    <row r="305" spans="1:1">
      <c r="A305" s="11"/>
    </row>
    <row r="306" spans="1:1" ht="178.5">
      <c r="A306" s="9" t="s">
        <v>2224</v>
      </c>
    </row>
    <row r="307" spans="1:1">
      <c r="A307" s="11"/>
    </row>
    <row r="308" spans="1:1" ht="76.5">
      <c r="A308" s="9" t="s">
        <v>2225</v>
      </c>
    </row>
    <row r="309" spans="1:1" ht="63.75">
      <c r="A309" s="9" t="s">
        <v>2226</v>
      </c>
    </row>
    <row r="310" spans="1:1" ht="38.25">
      <c r="A310" s="9" t="s">
        <v>2227</v>
      </c>
    </row>
    <row r="311" spans="1:1">
      <c r="A311" s="11"/>
    </row>
    <row r="312" spans="1:1" ht="51">
      <c r="A312" s="9" t="s">
        <v>2228</v>
      </c>
    </row>
    <row r="313" spans="1:1">
      <c r="A313" s="9" t="s">
        <v>2216</v>
      </c>
    </row>
    <row r="314" spans="1:1">
      <c r="A314" s="9" t="s">
        <v>2217</v>
      </c>
    </row>
    <row r="315" spans="1:1">
      <c r="A315" s="9" t="s">
        <v>2218</v>
      </c>
    </row>
    <row r="316" spans="1:1" ht="89.25">
      <c r="A316" s="9" t="s">
        <v>2219</v>
      </c>
    </row>
    <row r="317" spans="1:1">
      <c r="A317" s="11"/>
    </row>
    <row r="318" spans="1:1" ht="165.75">
      <c r="A318" s="9" t="s">
        <v>2229</v>
      </c>
    </row>
    <row r="319" spans="1:1">
      <c r="A319" s="9" t="s">
        <v>2230</v>
      </c>
    </row>
    <row r="320" spans="1:1">
      <c r="A320" s="9" t="s">
        <v>2231</v>
      </c>
    </row>
    <row r="321" spans="1:1">
      <c r="A321" s="9" t="s">
        <v>2232</v>
      </c>
    </row>
    <row r="322" spans="1:1" ht="25.5">
      <c r="A322" s="9" t="s">
        <v>2233</v>
      </c>
    </row>
    <row r="323" spans="1:1">
      <c r="A323" s="11"/>
    </row>
    <row r="324" spans="1:1" ht="102">
      <c r="A324" s="9" t="s">
        <v>2234</v>
      </c>
    </row>
    <row r="325" spans="1:1">
      <c r="A325" s="9" t="s">
        <v>2235</v>
      </c>
    </row>
    <row r="326" spans="1:1">
      <c r="A326" s="9" t="s">
        <v>2236</v>
      </c>
    </row>
    <row r="327" spans="1:1">
      <c r="A327" s="9" t="s">
        <v>2237</v>
      </c>
    </row>
    <row r="328" spans="1:1">
      <c r="A328" s="9" t="s">
        <v>2238</v>
      </c>
    </row>
    <row r="329" spans="1:1" ht="38.25">
      <c r="A329" s="9" t="s">
        <v>2239</v>
      </c>
    </row>
    <row r="330" spans="1:1">
      <c r="A330" s="11"/>
    </row>
    <row r="331" spans="1:1" ht="102">
      <c r="A331" s="9" t="s">
        <v>2240</v>
      </c>
    </row>
    <row r="332" spans="1:1" ht="38.25">
      <c r="A332" s="9" t="s">
        <v>2241</v>
      </c>
    </row>
    <row r="333" spans="1:1" ht="38.25">
      <c r="A333" s="9" t="s">
        <v>2242</v>
      </c>
    </row>
    <row r="334" spans="1:1">
      <c r="A334" s="11"/>
    </row>
    <row r="335" spans="1:1" ht="63.75">
      <c r="A335" s="9" t="s">
        <v>2243</v>
      </c>
    </row>
    <row r="336" spans="1:1" ht="25.5">
      <c r="A336" s="9" t="s">
        <v>2244</v>
      </c>
    </row>
    <row r="337" spans="1:1" ht="25.5">
      <c r="A337" s="9" t="s">
        <v>2245</v>
      </c>
    </row>
    <row r="338" spans="1:1">
      <c r="A338" s="9" t="s">
        <v>1216</v>
      </c>
    </row>
    <row r="339" spans="1:1" ht="25.5">
      <c r="A339" s="9" t="s">
        <v>2246</v>
      </c>
    </row>
    <row r="340" spans="1:1" ht="76.5">
      <c r="A340" s="9" t="s">
        <v>2247</v>
      </c>
    </row>
    <row r="341" spans="1:1" ht="25.5">
      <c r="A341" s="9" t="s">
        <v>2248</v>
      </c>
    </row>
    <row r="342" spans="1:1" ht="25.5">
      <c r="A342" s="9" t="s">
        <v>2249</v>
      </c>
    </row>
    <row r="343" spans="1:1">
      <c r="A343" s="11"/>
    </row>
    <row r="344" spans="1:1" ht="51">
      <c r="A344" s="9" t="s">
        <v>2250</v>
      </c>
    </row>
    <row r="345" spans="1:1" ht="102">
      <c r="A345" s="9" t="s">
        <v>2251</v>
      </c>
    </row>
    <row r="346" spans="1:1" ht="25.5">
      <c r="A346" s="9" t="s">
        <v>2252</v>
      </c>
    </row>
    <row r="347" spans="1:1" ht="25.5">
      <c r="A347" s="9" t="s">
        <v>2253</v>
      </c>
    </row>
    <row r="348" spans="1:1" ht="25.5">
      <c r="A348" s="9" t="s">
        <v>2254</v>
      </c>
    </row>
    <row r="349" spans="1:1">
      <c r="A349" s="9" t="s">
        <v>2255</v>
      </c>
    </row>
    <row r="350" spans="1:1">
      <c r="A350" s="11"/>
    </row>
    <row r="351" spans="1:1" ht="127.5">
      <c r="A351" s="9" t="s">
        <v>2256</v>
      </c>
    </row>
    <row r="352" spans="1:1">
      <c r="A352" s="9" t="s">
        <v>2257</v>
      </c>
    </row>
    <row r="353" spans="1:1">
      <c r="A353" s="11"/>
    </row>
    <row r="354" spans="1:1" ht="114.75">
      <c r="A354" s="9" t="s">
        <v>2258</v>
      </c>
    </row>
    <row r="355" spans="1:1">
      <c r="A355" s="9" t="s">
        <v>1790</v>
      </c>
    </row>
    <row r="356" spans="1:1">
      <c r="A356" s="11"/>
    </row>
    <row r="357" spans="1:1" ht="89.25">
      <c r="A357" s="9" t="s">
        <v>2259</v>
      </c>
    </row>
    <row r="358" spans="1:1">
      <c r="A358" s="9" t="s">
        <v>2260</v>
      </c>
    </row>
    <row r="359" spans="1:1" ht="76.5">
      <c r="A359" s="9" t="s">
        <v>2261</v>
      </c>
    </row>
    <row r="360" spans="1:1">
      <c r="A360" s="11"/>
    </row>
    <row r="361" spans="1:1" ht="63.75">
      <c r="A361" s="9" t="s">
        <v>2262</v>
      </c>
    </row>
    <row r="362" spans="1:1" ht="25.5">
      <c r="A362" s="9" t="s">
        <v>2263</v>
      </c>
    </row>
    <row r="363" spans="1:1" ht="25.5">
      <c r="A363" s="9" t="s">
        <v>2264</v>
      </c>
    </row>
    <row r="364" spans="1:1">
      <c r="A364" s="11"/>
    </row>
    <row r="365" spans="1:1" ht="63.75">
      <c r="A365" s="9" t="s">
        <v>2265</v>
      </c>
    </row>
    <row r="366" spans="1:1" ht="38.25">
      <c r="A366" s="9" t="s">
        <v>2266</v>
      </c>
    </row>
    <row r="367" spans="1:1">
      <c r="A367" s="9" t="s">
        <v>2267</v>
      </c>
    </row>
    <row r="368" spans="1:1">
      <c r="A368" s="11"/>
    </row>
    <row r="369" spans="1:1" ht="76.5">
      <c r="A369" s="9" t="s">
        <v>2268</v>
      </c>
    </row>
    <row r="370" spans="1:1" ht="25.5">
      <c r="A370" s="9" t="s">
        <v>2269</v>
      </c>
    </row>
    <row r="371" spans="1:1" ht="51">
      <c r="A371" s="9" t="s">
        <v>2270</v>
      </c>
    </row>
    <row r="372" spans="1:1">
      <c r="A372" s="11"/>
    </row>
    <row r="373" spans="1:1" ht="153">
      <c r="A373" s="9" t="s">
        <v>2271</v>
      </c>
    </row>
    <row r="374" spans="1:1" ht="38.25">
      <c r="A374" s="9" t="s">
        <v>2272</v>
      </c>
    </row>
    <row r="375" spans="1:1" ht="25.5">
      <c r="A375" s="9" t="s">
        <v>2273</v>
      </c>
    </row>
    <row r="376" spans="1:1">
      <c r="A376" s="11"/>
    </row>
    <row r="377" spans="1:1" ht="76.5">
      <c r="A377" s="9" t="s">
        <v>2274</v>
      </c>
    </row>
    <row r="378" spans="1:1" ht="25.5">
      <c r="A378" s="9" t="s">
        <v>2275</v>
      </c>
    </row>
    <row r="379" spans="1:1">
      <c r="A379" s="9" t="s">
        <v>2276</v>
      </c>
    </row>
    <row r="380" spans="1:1">
      <c r="A380" s="11"/>
    </row>
    <row r="381" spans="1:1" ht="63.75">
      <c r="A381" s="9" t="s">
        <v>2277</v>
      </c>
    </row>
    <row r="382" spans="1:1" ht="38.25">
      <c r="A382" s="9" t="s">
        <v>2278</v>
      </c>
    </row>
    <row r="383" spans="1:1" ht="25.5">
      <c r="A383" s="9" t="s">
        <v>2279</v>
      </c>
    </row>
    <row r="384" spans="1:1">
      <c r="A384" s="11"/>
    </row>
    <row r="385" spans="1:1" ht="63.75">
      <c r="A385" s="9" t="s">
        <v>2280</v>
      </c>
    </row>
    <row r="386" spans="1:1">
      <c r="A386" s="9" t="s">
        <v>2281</v>
      </c>
    </row>
    <row r="387" spans="1:1">
      <c r="A387" s="9" t="s">
        <v>2282</v>
      </c>
    </row>
    <row r="388" spans="1:1">
      <c r="A388" s="9" t="s">
        <v>2283</v>
      </c>
    </row>
    <row r="389" spans="1:1">
      <c r="A389" s="9" t="s">
        <v>2284</v>
      </c>
    </row>
    <row r="390" spans="1:1">
      <c r="A390" s="11"/>
    </row>
    <row r="391" spans="1:1" ht="63.75">
      <c r="A391" s="9" t="s">
        <v>2285</v>
      </c>
    </row>
    <row r="392" spans="1:1">
      <c r="A392" s="9" t="s">
        <v>1990</v>
      </c>
    </row>
    <row r="393" spans="1:1" ht="25.5">
      <c r="A393" s="9" t="s">
        <v>2286</v>
      </c>
    </row>
    <row r="394" spans="1:1">
      <c r="A394" s="9" t="s">
        <v>2287</v>
      </c>
    </row>
    <row r="395" spans="1:1">
      <c r="A395" s="9" t="s">
        <v>2288</v>
      </c>
    </row>
    <row r="396" spans="1:1">
      <c r="A396" s="11"/>
    </row>
    <row r="397" spans="1:1" ht="63.75">
      <c r="A397" s="9" t="s">
        <v>2289</v>
      </c>
    </row>
    <row r="398" spans="1:1">
      <c r="A398" s="9" t="s">
        <v>2290</v>
      </c>
    </row>
    <row r="399" spans="1:1">
      <c r="A399" s="9" t="s">
        <v>2291</v>
      </c>
    </row>
    <row r="400" spans="1:1">
      <c r="A400" s="9" t="s">
        <v>2292</v>
      </c>
    </row>
    <row r="401" spans="1:1">
      <c r="A401" s="9" t="s">
        <v>2293</v>
      </c>
    </row>
    <row r="402" spans="1:1">
      <c r="A402" s="11"/>
    </row>
    <row r="403" spans="1:1" ht="63.75">
      <c r="A403" s="9" t="s">
        <v>2294</v>
      </c>
    </row>
    <row r="404" spans="1:1">
      <c r="A404" s="9" t="s">
        <v>2295</v>
      </c>
    </row>
    <row r="405" spans="1:1">
      <c r="A405" s="9" t="s">
        <v>2296</v>
      </c>
    </row>
    <row r="406" spans="1:1">
      <c r="A406" s="9" t="s">
        <v>2297</v>
      </c>
    </row>
    <row r="407" spans="1:1">
      <c r="A407" s="9" t="s">
        <v>1850</v>
      </c>
    </row>
    <row r="408" spans="1:1">
      <c r="A408" s="11"/>
    </row>
    <row r="409" spans="1:1" ht="204">
      <c r="A409" s="9" t="s">
        <v>2298</v>
      </c>
    </row>
    <row r="410" spans="1:1">
      <c r="A410" s="11"/>
    </row>
    <row r="411" spans="1:1" ht="76.5">
      <c r="A411" s="9" t="s">
        <v>2299</v>
      </c>
    </row>
    <row r="412" spans="1:1">
      <c r="A412" s="9" t="s">
        <v>2300</v>
      </c>
    </row>
    <row r="413" spans="1:1">
      <c r="A413" s="9" t="s">
        <v>2301</v>
      </c>
    </row>
    <row r="414" spans="1:1">
      <c r="A414" s="9" t="s">
        <v>2302</v>
      </c>
    </row>
    <row r="415" spans="1:1" ht="25.5">
      <c r="A415" s="9" t="s">
        <v>2303</v>
      </c>
    </row>
    <row r="416" spans="1:1">
      <c r="A416" s="11"/>
    </row>
    <row r="417" spans="1:1" ht="63.75">
      <c r="A417" s="9" t="s">
        <v>2304</v>
      </c>
    </row>
    <row r="418" spans="1:1" ht="25.5">
      <c r="A418" s="9" t="s">
        <v>2305</v>
      </c>
    </row>
    <row r="419" spans="1:1" ht="38.25">
      <c r="A419" s="9" t="s">
        <v>2306</v>
      </c>
    </row>
    <row r="420" spans="1:1" ht="51">
      <c r="A420" s="9" t="s">
        <v>2307</v>
      </c>
    </row>
    <row r="421" spans="1:1" ht="51">
      <c r="A421" s="9" t="s">
        <v>2308</v>
      </c>
    </row>
    <row r="422" spans="1:1">
      <c r="A422" s="11"/>
    </row>
    <row r="423" spans="1:1" ht="102">
      <c r="A423" s="9" t="s">
        <v>2309</v>
      </c>
    </row>
    <row r="424" spans="1:1" ht="25.5">
      <c r="A424" s="9" t="s">
        <v>2310</v>
      </c>
    </row>
    <row r="425" spans="1:1" ht="25.5">
      <c r="A425" s="9" t="s">
        <v>2311</v>
      </c>
    </row>
    <row r="426" spans="1:1" ht="25.5">
      <c r="A426" s="9" t="s">
        <v>2312</v>
      </c>
    </row>
    <row r="427" spans="1:1" ht="25.5">
      <c r="A427" s="9" t="s">
        <v>2313</v>
      </c>
    </row>
    <row r="428" spans="1:1">
      <c r="A428" s="11"/>
    </row>
    <row r="429" spans="1:1" ht="63.75">
      <c r="A429" s="9" t="s">
        <v>2314</v>
      </c>
    </row>
    <row r="430" spans="1:1" ht="38.25">
      <c r="A430" s="9" t="s">
        <v>2315</v>
      </c>
    </row>
    <row r="431" spans="1:1" ht="25.5">
      <c r="A431" s="9" t="s">
        <v>2316</v>
      </c>
    </row>
    <row r="432" spans="1:1">
      <c r="A432" s="11"/>
    </row>
    <row r="433" spans="1:1" ht="38.25">
      <c r="A433" s="9" t="s">
        <v>2317</v>
      </c>
    </row>
    <row r="434" spans="1:1" ht="38.25">
      <c r="A434" s="9" t="s">
        <v>2318</v>
      </c>
    </row>
    <row r="435" spans="1:1">
      <c r="A435" s="9" t="s">
        <v>2319</v>
      </c>
    </row>
    <row r="436" spans="1:1">
      <c r="A436" s="11"/>
    </row>
    <row r="437" spans="1:1" ht="63.75">
      <c r="A437" s="9" t="s">
        <v>2320</v>
      </c>
    </row>
    <row r="438" spans="1:1">
      <c r="A438" s="9" t="s">
        <v>2321</v>
      </c>
    </row>
    <row r="439" spans="1:1">
      <c r="A439" s="9" t="s">
        <v>2322</v>
      </c>
    </row>
    <row r="440" spans="1:1">
      <c r="A440" s="9" t="s">
        <v>2323</v>
      </c>
    </row>
    <row r="441" spans="1:1" ht="76.5">
      <c r="A441" s="9" t="s">
        <v>2324</v>
      </c>
    </row>
    <row r="442" spans="1:1">
      <c r="A442" s="11"/>
    </row>
    <row r="443" spans="1:1" ht="51">
      <c r="A443" s="9" t="s">
        <v>2215</v>
      </c>
    </row>
    <row r="444" spans="1:1">
      <c r="A444" s="9" t="s">
        <v>2216</v>
      </c>
    </row>
    <row r="445" spans="1:1">
      <c r="A445" s="9" t="s">
        <v>2217</v>
      </c>
    </row>
    <row r="446" spans="1:1">
      <c r="A446" s="9" t="s">
        <v>2218</v>
      </c>
    </row>
    <row r="447" spans="1:1" ht="89.25">
      <c r="A447" s="9" t="s">
        <v>2219</v>
      </c>
    </row>
    <row r="448" spans="1:1">
      <c r="A448" s="11"/>
    </row>
    <row r="449" spans="1:1" ht="51">
      <c r="A449" s="9" t="s">
        <v>2325</v>
      </c>
    </row>
    <row r="450" spans="1:1">
      <c r="A450" s="9" t="s">
        <v>2326</v>
      </c>
    </row>
    <row r="451" spans="1:1">
      <c r="A451" s="9" t="s">
        <v>2327</v>
      </c>
    </row>
    <row r="452" spans="1:1">
      <c r="A452" s="11"/>
    </row>
    <row r="453" spans="1:1" ht="89.25">
      <c r="A453" s="9" t="s">
        <v>2328</v>
      </c>
    </row>
    <row r="454" spans="1:1" ht="38.25">
      <c r="A454" s="9" t="s">
        <v>2329</v>
      </c>
    </row>
    <row r="455" spans="1:1" ht="25.5">
      <c r="A455" s="9" t="s">
        <v>2330</v>
      </c>
    </row>
    <row r="456" spans="1:1">
      <c r="A456" s="11"/>
    </row>
    <row r="457" spans="1:1" ht="76.5">
      <c r="A457" s="9" t="s">
        <v>2331</v>
      </c>
    </row>
    <row r="458" spans="1:1" ht="38.25">
      <c r="A458" s="9" t="s">
        <v>2332</v>
      </c>
    </row>
    <row r="459" spans="1:1">
      <c r="A459" s="9" t="s">
        <v>2333</v>
      </c>
    </row>
    <row r="460" spans="1:1">
      <c r="A460" s="11"/>
    </row>
    <row r="461" spans="1:1" ht="89.25">
      <c r="A461" s="9" t="s">
        <v>2334</v>
      </c>
    </row>
    <row r="462" spans="1:1" ht="89.25">
      <c r="A462" s="9" t="s">
        <v>2335</v>
      </c>
    </row>
    <row r="463" spans="1:1" ht="38.25">
      <c r="A463" s="9" t="s">
        <v>2336</v>
      </c>
    </row>
    <row r="464" spans="1:1">
      <c r="A464" s="11"/>
    </row>
    <row r="465" spans="1:1" ht="165.75">
      <c r="A465" s="9" t="s">
        <v>2337</v>
      </c>
    </row>
    <row r="466" spans="1:1">
      <c r="A466" s="11"/>
    </row>
    <row r="467" spans="1:1" ht="51">
      <c r="A467" s="9" t="s">
        <v>2338</v>
      </c>
    </row>
    <row r="468" spans="1:1" ht="25.5">
      <c r="A468" s="9" t="s">
        <v>2339</v>
      </c>
    </row>
    <row r="469" spans="1:1" ht="25.5">
      <c r="A469" s="9" t="s">
        <v>2340</v>
      </c>
    </row>
    <row r="470" spans="1:1">
      <c r="A470" s="11"/>
    </row>
    <row r="471" spans="1:1" ht="76.5">
      <c r="A471" s="9" t="s">
        <v>2341</v>
      </c>
    </row>
    <row r="472" spans="1:1" ht="51">
      <c r="A472" s="9" t="s">
        <v>2342</v>
      </c>
    </row>
    <row r="473" spans="1:1" ht="127.5">
      <c r="A473" s="9" t="s">
        <v>2343</v>
      </c>
    </row>
    <row r="474" spans="1:1">
      <c r="A474" s="11"/>
    </row>
    <row r="475" spans="1:1" ht="76.5">
      <c r="A475" s="9" t="s">
        <v>2344</v>
      </c>
    </row>
    <row r="476" spans="1:1" ht="38.25">
      <c r="A476" s="9" t="s">
        <v>2345</v>
      </c>
    </row>
    <row r="477" spans="1:1" ht="25.5">
      <c r="A477" s="9" t="s">
        <v>2346</v>
      </c>
    </row>
    <row r="478" spans="1:1">
      <c r="A478" s="11"/>
    </row>
    <row r="479" spans="1:1" ht="63.75">
      <c r="A479" s="9" t="s">
        <v>2347</v>
      </c>
    </row>
    <row r="480" spans="1:1">
      <c r="A480" s="9" t="s">
        <v>2348</v>
      </c>
    </row>
    <row r="481" spans="1:1">
      <c r="A481" s="9" t="s">
        <v>2349</v>
      </c>
    </row>
    <row r="482" spans="1:1">
      <c r="A482" s="9" t="s">
        <v>2350</v>
      </c>
    </row>
    <row r="483" spans="1:1" ht="25.5">
      <c r="A483" s="9" t="s">
        <v>2351</v>
      </c>
    </row>
    <row r="484" spans="1:1">
      <c r="A484" s="11"/>
    </row>
    <row r="485" spans="1:1" ht="51">
      <c r="A485" s="9" t="s">
        <v>2352</v>
      </c>
    </row>
    <row r="486" spans="1:1" ht="38.25">
      <c r="A486" s="9" t="s">
        <v>2353</v>
      </c>
    </row>
    <row r="487" spans="1:1">
      <c r="A487" s="9" t="s">
        <v>2354</v>
      </c>
    </row>
    <row r="488" spans="1:1">
      <c r="A488" s="11"/>
    </row>
    <row r="489" spans="1:1" ht="38.25">
      <c r="A489" s="9" t="s">
        <v>2355</v>
      </c>
    </row>
    <row r="490" spans="1:1" ht="25.5">
      <c r="A490" s="9" t="s">
        <v>2356</v>
      </c>
    </row>
    <row r="491" spans="1:1">
      <c r="A491" s="9" t="s">
        <v>2357</v>
      </c>
    </row>
    <row r="492" spans="1:1">
      <c r="A492" s="11"/>
    </row>
    <row r="493" spans="1:1" ht="51">
      <c r="A493" s="9" t="s">
        <v>2358</v>
      </c>
    </row>
    <row r="494" spans="1:1" ht="25.5">
      <c r="A494" s="9" t="s">
        <v>2359</v>
      </c>
    </row>
    <row r="495" spans="1:1" ht="25.5">
      <c r="A495" s="9" t="s">
        <v>2360</v>
      </c>
    </row>
    <row r="496" spans="1:1">
      <c r="A496" s="11"/>
    </row>
    <row r="497" spans="1:1" ht="63.75">
      <c r="A497" s="9" t="s">
        <v>2361</v>
      </c>
    </row>
    <row r="498" spans="1:1">
      <c r="A498" s="9" t="s">
        <v>2362</v>
      </c>
    </row>
    <row r="499" spans="1:1" ht="25.5">
      <c r="A499" s="9" t="s">
        <v>2363</v>
      </c>
    </row>
    <row r="500" spans="1:1" ht="25.5">
      <c r="A500" s="9" t="s">
        <v>2364</v>
      </c>
    </row>
    <row r="501" spans="1:1">
      <c r="A501" s="9" t="s">
        <v>2365</v>
      </c>
    </row>
    <row r="502" spans="1:1">
      <c r="A502" s="11"/>
    </row>
    <row r="503" spans="1:1" ht="63.75">
      <c r="A503" s="9" t="s">
        <v>2366</v>
      </c>
    </row>
    <row r="504" spans="1:1">
      <c r="A504" s="9" t="s">
        <v>2367</v>
      </c>
    </row>
    <row r="505" spans="1:1">
      <c r="A505" s="9" t="s">
        <v>2368</v>
      </c>
    </row>
    <row r="506" spans="1:1">
      <c r="A506" s="9" t="s">
        <v>2369</v>
      </c>
    </row>
    <row r="507" spans="1:1" ht="25.5">
      <c r="A507" s="9" t="s">
        <v>2370</v>
      </c>
    </row>
    <row r="508" spans="1:1">
      <c r="A508" s="11"/>
    </row>
    <row r="509" spans="1:1" ht="76.5">
      <c r="A509" s="9" t="s">
        <v>2371</v>
      </c>
    </row>
    <row r="510" spans="1:1" ht="38.25">
      <c r="A510" s="9" t="s">
        <v>2372</v>
      </c>
    </row>
    <row r="511" spans="1:1">
      <c r="A511" s="9" t="s">
        <v>2373</v>
      </c>
    </row>
    <row r="512" spans="1:1">
      <c r="A512" s="11"/>
    </row>
    <row r="513" spans="1:1" ht="89.25">
      <c r="A513" s="9" t="s">
        <v>2374</v>
      </c>
    </row>
    <row r="514" spans="1:1">
      <c r="A514" s="9" t="s">
        <v>2375</v>
      </c>
    </row>
    <row r="515" spans="1:1" ht="51">
      <c r="A515" s="9" t="s">
        <v>2376</v>
      </c>
    </row>
    <row r="516" spans="1:1">
      <c r="A516" s="11"/>
    </row>
    <row r="517" spans="1:1" ht="89.25">
      <c r="A517" s="9" t="s">
        <v>2377</v>
      </c>
    </row>
    <row r="518" spans="1:1" ht="38.25">
      <c r="A518" s="9" t="s">
        <v>2378</v>
      </c>
    </row>
    <row r="519" spans="1:1" ht="25.5">
      <c r="A519" s="9" t="s">
        <v>2379</v>
      </c>
    </row>
    <row r="520" spans="1:1">
      <c r="A520" s="11"/>
    </row>
    <row r="521" spans="1:1" ht="76.5">
      <c r="A521" s="9" t="s">
        <v>2380</v>
      </c>
    </row>
    <row r="522" spans="1:1" ht="38.25">
      <c r="A522" s="9" t="s">
        <v>2381</v>
      </c>
    </row>
    <row r="523" spans="1:1" ht="25.5">
      <c r="A523" s="9" t="s">
        <v>2382</v>
      </c>
    </row>
    <row r="524" spans="1:1">
      <c r="A524" s="11"/>
    </row>
    <row r="525" spans="1:1" ht="76.5">
      <c r="A525" s="9" t="s">
        <v>2383</v>
      </c>
    </row>
    <row r="526" spans="1:1">
      <c r="A526" s="9" t="s">
        <v>2384</v>
      </c>
    </row>
    <row r="527" spans="1:1">
      <c r="A527" s="9" t="s">
        <v>2385</v>
      </c>
    </row>
    <row r="528" spans="1:1">
      <c r="A528" s="9" t="s">
        <v>710</v>
      </c>
    </row>
    <row r="529" spans="1:1">
      <c r="A529" s="11"/>
    </row>
    <row r="530" spans="1:1" ht="153">
      <c r="A530" s="9" t="s">
        <v>2386</v>
      </c>
    </row>
    <row r="531" spans="1:1">
      <c r="A531" s="9" t="s">
        <v>2387</v>
      </c>
    </row>
    <row r="532" spans="1:1">
      <c r="A532" s="9" t="s">
        <v>2388</v>
      </c>
    </row>
    <row r="533" spans="1:1" ht="25.5">
      <c r="A533" s="9" t="s">
        <v>2389</v>
      </c>
    </row>
    <row r="534" spans="1:1">
      <c r="A534" s="11"/>
    </row>
    <row r="535" spans="1:1" ht="127.5">
      <c r="A535" s="9" t="s">
        <v>2390</v>
      </c>
    </row>
    <row r="536" spans="1:1">
      <c r="A536" s="9" t="s">
        <v>2391</v>
      </c>
    </row>
    <row r="537" spans="1:1" ht="25.5">
      <c r="A537" s="9" t="s">
        <v>2392</v>
      </c>
    </row>
    <row r="538" spans="1:1">
      <c r="A538" s="9" t="s">
        <v>2393</v>
      </c>
    </row>
    <row r="539" spans="1:1" ht="25.5">
      <c r="A539" s="9" t="s">
        <v>2394</v>
      </c>
    </row>
    <row r="540" spans="1:1">
      <c r="A540" s="11"/>
    </row>
    <row r="541" spans="1:1" ht="89.25">
      <c r="A541" s="9" t="s">
        <v>2395</v>
      </c>
    </row>
    <row r="542" spans="1:1" ht="51">
      <c r="A542" s="9" t="s">
        <v>2396</v>
      </c>
    </row>
    <row r="543" spans="1:1" ht="25.5">
      <c r="A543" s="9" t="s">
        <v>2397</v>
      </c>
    </row>
    <row r="544" spans="1:1">
      <c r="A544" s="11"/>
    </row>
    <row r="545" spans="1:1" ht="89.25">
      <c r="A545" s="9" t="s">
        <v>2398</v>
      </c>
    </row>
    <row r="546" spans="1:1">
      <c r="A546" s="9" t="s">
        <v>2399</v>
      </c>
    </row>
    <row r="547" spans="1:1">
      <c r="A547" s="9" t="s">
        <v>2400</v>
      </c>
    </row>
    <row r="548" spans="1:1">
      <c r="A548" s="9" t="s">
        <v>2401</v>
      </c>
    </row>
    <row r="549" spans="1:1">
      <c r="A549" s="9" t="s">
        <v>2402</v>
      </c>
    </row>
    <row r="550" spans="1:1">
      <c r="A550" s="11"/>
    </row>
    <row r="551" spans="1:1" ht="63.75">
      <c r="A551" s="9" t="s">
        <v>2403</v>
      </c>
    </row>
    <row r="552" spans="1:1" ht="25.5">
      <c r="A552" s="9" t="s">
        <v>2404</v>
      </c>
    </row>
    <row r="553" spans="1:1" ht="25.5">
      <c r="A553" s="9" t="s">
        <v>2405</v>
      </c>
    </row>
    <row r="554" spans="1:1" ht="25.5">
      <c r="A554" s="9" t="s">
        <v>2406</v>
      </c>
    </row>
    <row r="555" spans="1:1" ht="38.25">
      <c r="A555" s="9" t="s">
        <v>2407</v>
      </c>
    </row>
    <row r="556" spans="1:1">
      <c r="A556" s="11"/>
    </row>
    <row r="557" spans="1:1" ht="63.75">
      <c r="A557" s="9" t="s">
        <v>2408</v>
      </c>
    </row>
    <row r="558" spans="1:1" ht="38.25">
      <c r="A558" s="9" t="s">
        <v>2409</v>
      </c>
    </row>
    <row r="559" spans="1:1" ht="25.5">
      <c r="A559" s="9" t="s">
        <v>2410</v>
      </c>
    </row>
    <row r="560" spans="1:1">
      <c r="A560" s="11"/>
    </row>
    <row r="561" spans="1:1" ht="51">
      <c r="A561" s="9" t="s">
        <v>2411</v>
      </c>
    </row>
    <row r="562" spans="1:1" ht="38.25">
      <c r="A562" s="9" t="s">
        <v>2412</v>
      </c>
    </row>
    <row r="563" spans="1:1" ht="140.25">
      <c r="A563" s="9" t="s">
        <v>2413</v>
      </c>
    </row>
    <row r="564" spans="1:1">
      <c r="A564" s="11"/>
    </row>
    <row r="565" spans="1:1" ht="63.75">
      <c r="A565" s="9" t="s">
        <v>2414</v>
      </c>
    </row>
    <row r="566" spans="1:1" ht="63.75">
      <c r="A566" s="9" t="s">
        <v>2415</v>
      </c>
    </row>
    <row r="567" spans="1:1" ht="102">
      <c r="A567" s="9" t="s">
        <v>2416</v>
      </c>
    </row>
    <row r="568" spans="1:1">
      <c r="A568" s="11"/>
    </row>
    <row r="569" spans="1:1" ht="76.5">
      <c r="A569" s="9" t="s">
        <v>2417</v>
      </c>
    </row>
    <row r="570" spans="1:1" ht="25.5">
      <c r="A570" s="9" t="s">
        <v>2418</v>
      </c>
    </row>
    <row r="571" spans="1:1" ht="76.5">
      <c r="A571" s="9" t="s">
        <v>2419</v>
      </c>
    </row>
    <row r="572" spans="1:1">
      <c r="A572" s="11"/>
    </row>
    <row r="573" spans="1:1" ht="63.75">
      <c r="A573" s="9" t="s">
        <v>2420</v>
      </c>
    </row>
    <row r="574" spans="1:1" ht="102">
      <c r="A574" s="9" t="s">
        <v>2421</v>
      </c>
    </row>
    <row r="575" spans="1:1">
      <c r="A575" s="11"/>
    </row>
    <row r="576" spans="1:1" ht="63.75">
      <c r="A576" s="9" t="s">
        <v>2422</v>
      </c>
    </row>
    <row r="577" spans="1:1">
      <c r="A577" s="9" t="s">
        <v>2423</v>
      </c>
    </row>
    <row r="578" spans="1:1">
      <c r="A578" s="9" t="s">
        <v>2424</v>
      </c>
    </row>
    <row r="579" spans="1:1">
      <c r="A579" s="9" t="s">
        <v>2425</v>
      </c>
    </row>
    <row r="580" spans="1:1" ht="25.5">
      <c r="A580" s="9" t="s">
        <v>2426</v>
      </c>
    </row>
    <row r="581" spans="1:1">
      <c r="A581" s="11"/>
    </row>
    <row r="582" spans="1:1" ht="63.75">
      <c r="A582" s="9" t="s">
        <v>2427</v>
      </c>
    </row>
    <row r="583" spans="1:1">
      <c r="A583" s="9" t="s">
        <v>2428</v>
      </c>
    </row>
    <row r="584" spans="1:1">
      <c r="A584" s="9" t="s">
        <v>2429</v>
      </c>
    </row>
    <row r="585" spans="1:1">
      <c r="A585" s="9" t="s">
        <v>2430</v>
      </c>
    </row>
    <row r="586" spans="1:1">
      <c r="A586" s="9" t="s">
        <v>2431</v>
      </c>
    </row>
    <row r="587" spans="1:1" ht="25.5">
      <c r="A587" s="9" t="s">
        <v>2432</v>
      </c>
    </row>
    <row r="588" spans="1:1">
      <c r="A588" s="11"/>
    </row>
    <row r="589" spans="1:1" ht="114.75">
      <c r="A589" s="9" t="s">
        <v>2433</v>
      </c>
    </row>
    <row r="590" spans="1:1" ht="38.25">
      <c r="A590" s="16" t="s">
        <v>2434</v>
      </c>
    </row>
    <row r="591" spans="1:1">
      <c r="A591" s="11"/>
    </row>
    <row r="592" spans="1:1" ht="89.25">
      <c r="A592" s="9" t="s">
        <v>2435</v>
      </c>
    </row>
    <row r="593" spans="1:1" ht="51">
      <c r="A593" s="9" t="s">
        <v>2436</v>
      </c>
    </row>
    <row r="594" spans="1:1" ht="25.5">
      <c r="A594" s="9" t="s">
        <v>2437</v>
      </c>
    </row>
    <row r="595" spans="1:1" ht="63.75">
      <c r="A595" s="9" t="s">
        <v>2438</v>
      </c>
    </row>
    <row r="596" spans="1:1">
      <c r="A596" s="11"/>
    </row>
    <row r="597" spans="1:1" ht="51">
      <c r="A597" s="9" t="s">
        <v>2439</v>
      </c>
    </row>
    <row r="598" spans="1:1" ht="25.5">
      <c r="A598" s="9" t="s">
        <v>2440</v>
      </c>
    </row>
    <row r="599" spans="1:1">
      <c r="A599" s="11"/>
    </row>
    <row r="600" spans="1:1" ht="51">
      <c r="A600" s="9" t="s">
        <v>2441</v>
      </c>
    </row>
    <row r="601" spans="1:1">
      <c r="A601" s="9" t="s">
        <v>2442</v>
      </c>
    </row>
    <row r="602" spans="1:1">
      <c r="A602" s="9" t="s">
        <v>2443</v>
      </c>
    </row>
    <row r="603" spans="1:1">
      <c r="A603" s="9" t="s">
        <v>2444</v>
      </c>
    </row>
    <row r="604" spans="1:1" ht="25.5">
      <c r="A604" s="9" t="s">
        <v>2445</v>
      </c>
    </row>
    <row r="605" spans="1:1">
      <c r="A605" s="11"/>
    </row>
    <row r="606" spans="1:1" ht="63.75">
      <c r="A606" s="9" t="s">
        <v>2446</v>
      </c>
    </row>
    <row r="607" spans="1:1" ht="51">
      <c r="A607" s="9" t="s">
        <v>2447</v>
      </c>
    </row>
    <row r="608" spans="1:1" ht="38.25">
      <c r="A608" s="9" t="s">
        <v>2448</v>
      </c>
    </row>
    <row r="609" spans="1:1">
      <c r="A609" s="11"/>
    </row>
    <row r="610" spans="1:1" ht="127.5">
      <c r="A610" s="9" t="s">
        <v>2449</v>
      </c>
    </row>
    <row r="611" spans="1:1" ht="51">
      <c r="A611" s="9" t="s">
        <v>2450</v>
      </c>
    </row>
    <row r="612" spans="1:1" ht="25.5">
      <c r="A612" s="9" t="s">
        <v>2451</v>
      </c>
    </row>
    <row r="613" spans="1:1">
      <c r="A613" s="11"/>
    </row>
    <row r="614" spans="1:1" ht="63.75">
      <c r="A614" s="9" t="s">
        <v>2452</v>
      </c>
    </row>
    <row r="615" spans="1:1" ht="25.5">
      <c r="A615" s="9" t="s">
        <v>2453</v>
      </c>
    </row>
    <row r="616" spans="1:1">
      <c r="A616" s="9" t="s">
        <v>2454</v>
      </c>
    </row>
    <row r="617" spans="1:1">
      <c r="A617" s="11"/>
    </row>
    <row r="618" spans="1:1" ht="51">
      <c r="A618" s="9" t="s">
        <v>2455</v>
      </c>
    </row>
    <row r="619" spans="1:1">
      <c r="A619" s="9" t="s">
        <v>2456</v>
      </c>
    </row>
    <row r="620" spans="1:1">
      <c r="A620" s="9" t="s">
        <v>2457</v>
      </c>
    </row>
    <row r="621" spans="1:1">
      <c r="A621" s="9" t="s">
        <v>2458</v>
      </c>
    </row>
    <row r="622" spans="1:1" ht="38.25">
      <c r="A622" s="9" t="s">
        <v>2459</v>
      </c>
    </row>
    <row r="623" spans="1:1">
      <c r="A623" s="11"/>
    </row>
    <row r="624" spans="1:1" ht="76.5">
      <c r="A624" s="9" t="s">
        <v>2460</v>
      </c>
    </row>
    <row r="625" spans="1:1">
      <c r="A625" s="9" t="s">
        <v>2461</v>
      </c>
    </row>
    <row r="626" spans="1:1">
      <c r="A626" s="9" t="s">
        <v>2462</v>
      </c>
    </row>
    <row r="627" spans="1:1">
      <c r="A627" s="9" t="s">
        <v>2463</v>
      </c>
    </row>
    <row r="628" spans="1:1" ht="38.25">
      <c r="A628" s="9" t="s">
        <v>2464</v>
      </c>
    </row>
    <row r="629" spans="1:1">
      <c r="A629" s="11"/>
    </row>
    <row r="630" spans="1:1" ht="51">
      <c r="A630" s="9" t="s">
        <v>2215</v>
      </c>
    </row>
    <row r="631" spans="1:1">
      <c r="A631" s="9" t="s">
        <v>2216</v>
      </c>
    </row>
    <row r="632" spans="1:1">
      <c r="A632" s="9" t="s">
        <v>2217</v>
      </c>
    </row>
    <row r="633" spans="1:1">
      <c r="A633" s="9" t="s">
        <v>2218</v>
      </c>
    </row>
    <row r="634" spans="1:1">
      <c r="A634" s="9" t="s">
        <v>2465</v>
      </c>
    </row>
    <row r="635" spans="1:1">
      <c r="A635" s="11"/>
    </row>
    <row r="636" spans="1:1" ht="89.25">
      <c r="A636" s="9" t="s">
        <v>2466</v>
      </c>
    </row>
    <row r="637" spans="1:1" ht="25.5">
      <c r="A637" s="9" t="s">
        <v>2467</v>
      </c>
    </row>
    <row r="638" spans="1:1">
      <c r="A638" s="9" t="s">
        <v>2468</v>
      </c>
    </row>
    <row r="639" spans="1:1">
      <c r="A639" s="11"/>
    </row>
    <row r="640" spans="1:1" ht="114.75">
      <c r="A640" s="9" t="s">
        <v>2469</v>
      </c>
    </row>
    <row r="641" spans="1:1">
      <c r="A641" s="9" t="s">
        <v>2470</v>
      </c>
    </row>
    <row r="642" spans="1:1">
      <c r="A642" s="9" t="s">
        <v>2471</v>
      </c>
    </row>
    <row r="643" spans="1:1">
      <c r="A643" s="9" t="s">
        <v>2472</v>
      </c>
    </row>
    <row r="644" spans="1:1">
      <c r="A644" s="9" t="s">
        <v>2473</v>
      </c>
    </row>
    <row r="645" spans="1:1">
      <c r="A645" s="11"/>
    </row>
    <row r="646" spans="1:1" ht="76.5">
      <c r="A646" s="9" t="s">
        <v>2474</v>
      </c>
    </row>
    <row r="647" spans="1:1">
      <c r="A647" s="9" t="s">
        <v>2475</v>
      </c>
    </row>
    <row r="648" spans="1:1">
      <c r="A648" s="9" t="s">
        <v>2476</v>
      </c>
    </row>
    <row r="649" spans="1:1">
      <c r="A649" s="9" t="s">
        <v>2477</v>
      </c>
    </row>
    <row r="650" spans="1:1" ht="25.5">
      <c r="A650" s="9" t="s">
        <v>2478</v>
      </c>
    </row>
    <row r="651" spans="1:1">
      <c r="A651" s="11"/>
    </row>
    <row r="652" spans="1:1" ht="63.75">
      <c r="A652" s="9" t="s">
        <v>2479</v>
      </c>
    </row>
    <row r="653" spans="1:1" ht="38.25">
      <c r="A653" s="9" t="s">
        <v>2480</v>
      </c>
    </row>
    <row r="654" spans="1:1" ht="89.25">
      <c r="A654" s="9" t="s">
        <v>2481</v>
      </c>
    </row>
    <row r="655" spans="1:1">
      <c r="A655" s="11"/>
    </row>
    <row r="656" spans="1:1" ht="89.25">
      <c r="A656" s="9" t="s">
        <v>2482</v>
      </c>
    </row>
    <row r="657" spans="1:1">
      <c r="A657" s="9" t="s">
        <v>2483</v>
      </c>
    </row>
    <row r="658" spans="1:1">
      <c r="A658" s="9" t="s">
        <v>2484</v>
      </c>
    </row>
    <row r="659" spans="1:1">
      <c r="A659" s="9" t="s">
        <v>2485</v>
      </c>
    </row>
    <row r="660" spans="1:1">
      <c r="A660" s="9" t="s">
        <v>1976</v>
      </c>
    </row>
    <row r="661" spans="1:1">
      <c r="A661" s="11"/>
    </row>
    <row r="662" spans="1:1" ht="51">
      <c r="A662" s="9" t="s">
        <v>2486</v>
      </c>
    </row>
    <row r="663" spans="1:1">
      <c r="A663" s="9" t="s">
        <v>2487</v>
      </c>
    </row>
    <row r="664" spans="1:1">
      <c r="A664" s="9" t="s">
        <v>2488</v>
      </c>
    </row>
    <row r="665" spans="1:1">
      <c r="A665" s="9" t="s">
        <v>2489</v>
      </c>
    </row>
    <row r="666" spans="1:1">
      <c r="A666" s="9" t="s">
        <v>2490</v>
      </c>
    </row>
    <row r="667" spans="1:1">
      <c r="A667" s="11"/>
    </row>
    <row r="668" spans="1:1" ht="38.25">
      <c r="A668" s="9" t="s">
        <v>2491</v>
      </c>
    </row>
    <row r="669" spans="1:1">
      <c r="A669" s="9" t="s">
        <v>2492</v>
      </c>
    </row>
    <row r="670" spans="1:1">
      <c r="A670" s="9" t="s">
        <v>2493</v>
      </c>
    </row>
    <row r="671" spans="1:1">
      <c r="A671" s="9" t="s">
        <v>2494</v>
      </c>
    </row>
    <row r="672" spans="1:1" ht="25.5">
      <c r="A672" s="9" t="s">
        <v>2495</v>
      </c>
    </row>
    <row r="673" spans="1:1">
      <c r="A673" s="11"/>
    </row>
    <row r="674" spans="1:1" ht="89.25">
      <c r="A674" s="9" t="s">
        <v>2496</v>
      </c>
    </row>
    <row r="675" spans="1:1" ht="25.5">
      <c r="A675" s="9" t="s">
        <v>2497</v>
      </c>
    </row>
    <row r="676" spans="1:1">
      <c r="A676" s="9" t="s">
        <v>2498</v>
      </c>
    </row>
    <row r="677" spans="1:1">
      <c r="A677" s="9" t="s">
        <v>2499</v>
      </c>
    </row>
    <row r="678" spans="1:1" ht="25.5">
      <c r="A678" s="9" t="s">
        <v>2500</v>
      </c>
    </row>
    <row r="679" spans="1:1">
      <c r="A679" s="11"/>
    </row>
    <row r="680" spans="1:1" ht="76.5">
      <c r="A680" s="9" t="s">
        <v>2501</v>
      </c>
    </row>
    <row r="681" spans="1:1">
      <c r="A681" s="9" t="s">
        <v>842</v>
      </c>
    </row>
    <row r="682" spans="1:1">
      <c r="A682" s="9" t="s">
        <v>1693</v>
      </c>
    </row>
    <row r="683" spans="1:1">
      <c r="A683" s="9" t="s">
        <v>2502</v>
      </c>
    </row>
    <row r="684" spans="1:1">
      <c r="A684" s="9" t="s">
        <v>1850</v>
      </c>
    </row>
    <row r="685" spans="1:1">
      <c r="A685" s="11"/>
    </row>
    <row r="686" spans="1:1" ht="63.75">
      <c r="A686" s="9" t="s">
        <v>2503</v>
      </c>
    </row>
    <row r="687" spans="1:1" ht="38.25">
      <c r="A687" s="9" t="s">
        <v>2504</v>
      </c>
    </row>
    <row r="688" spans="1:1" ht="25.5">
      <c r="A688" s="9" t="s">
        <v>2505</v>
      </c>
    </row>
    <row r="689" spans="1:1">
      <c r="A689" s="11"/>
    </row>
    <row r="690" spans="1:1" ht="51">
      <c r="A690" s="9" t="s">
        <v>2506</v>
      </c>
    </row>
    <row r="691" spans="1:1" ht="38.25">
      <c r="A691" s="9" t="s">
        <v>2507</v>
      </c>
    </row>
    <row r="692" spans="1:1" ht="25.5">
      <c r="A692" s="9" t="s">
        <v>2508</v>
      </c>
    </row>
    <row r="693" spans="1:1">
      <c r="A693" s="11"/>
    </row>
    <row r="694" spans="1:1" ht="76.5">
      <c r="A694" s="9" t="s">
        <v>2509</v>
      </c>
    </row>
    <row r="695" spans="1:1" ht="25.5">
      <c r="A695" s="9" t="s">
        <v>2510</v>
      </c>
    </row>
    <row r="696" spans="1:1">
      <c r="A696" s="9" t="s">
        <v>2511</v>
      </c>
    </row>
    <row r="697" spans="1:1">
      <c r="A697" s="11"/>
    </row>
    <row r="698" spans="1:1" ht="63.75">
      <c r="A698" s="9" t="s">
        <v>2512</v>
      </c>
    </row>
    <row r="699" spans="1:1" ht="38.25">
      <c r="A699" s="9" t="s">
        <v>2513</v>
      </c>
    </row>
    <row r="700" spans="1:1">
      <c r="A700" s="9" t="s">
        <v>2514</v>
      </c>
    </row>
    <row r="701" spans="1:1">
      <c r="A701" s="11"/>
    </row>
    <row r="702" spans="1:1" ht="51">
      <c r="A702" s="9" t="s">
        <v>2515</v>
      </c>
    </row>
    <row r="703" spans="1:1" ht="25.5">
      <c r="A703" s="9" t="s">
        <v>2516</v>
      </c>
    </row>
    <row r="704" spans="1:1">
      <c r="A704" s="9" t="s">
        <v>2517</v>
      </c>
    </row>
    <row r="705" spans="1:1">
      <c r="A705" s="11"/>
    </row>
    <row r="706" spans="1:1" ht="51">
      <c r="A706" s="9" t="s">
        <v>2518</v>
      </c>
    </row>
    <row r="707" spans="1:1">
      <c r="A707" s="9" t="s">
        <v>2519</v>
      </c>
    </row>
    <row r="708" spans="1:1">
      <c r="A708" s="9" t="s">
        <v>2520</v>
      </c>
    </row>
    <row r="709" spans="1:1">
      <c r="A709" s="11"/>
    </row>
    <row r="710" spans="1:1" ht="63.75">
      <c r="A710" s="9" t="s">
        <v>2521</v>
      </c>
    </row>
    <row r="711" spans="1:1" ht="25.5">
      <c r="A711" s="9" t="s">
        <v>2522</v>
      </c>
    </row>
    <row r="712" spans="1:1" ht="25.5">
      <c r="A712" s="9" t="s">
        <v>2523</v>
      </c>
    </row>
    <row r="713" spans="1:1" ht="63.75">
      <c r="A713" s="9" t="s">
        <v>2524</v>
      </c>
    </row>
    <row r="714" spans="1:1" ht="63.75">
      <c r="A714" s="9" t="s">
        <v>2525</v>
      </c>
    </row>
    <row r="715" spans="1:1" ht="63.75">
      <c r="A715" s="9" t="s">
        <v>2526</v>
      </c>
    </row>
    <row r="716" spans="1:1">
      <c r="A716" s="11"/>
    </row>
    <row r="717" spans="1:1" ht="102">
      <c r="A717" s="9" t="s">
        <v>2527</v>
      </c>
    </row>
    <row r="718" spans="1:1">
      <c r="A718" s="9" t="s">
        <v>2528</v>
      </c>
    </row>
    <row r="719" spans="1:1" ht="38.25">
      <c r="A719" s="9" t="s">
        <v>2529</v>
      </c>
    </row>
    <row r="720" spans="1:1">
      <c r="A720" s="11"/>
    </row>
    <row r="721" spans="1:1" ht="63.75">
      <c r="A721" s="9" t="s">
        <v>2530</v>
      </c>
    </row>
    <row r="722" spans="1:1" ht="25.5">
      <c r="A722" s="9" t="s">
        <v>2531</v>
      </c>
    </row>
    <row r="723" spans="1:1" ht="25.5">
      <c r="A723" s="9" t="s">
        <v>2532</v>
      </c>
    </row>
    <row r="724" spans="1:1" ht="25.5">
      <c r="A724" s="9" t="s">
        <v>2533</v>
      </c>
    </row>
    <row r="725" spans="1:1">
      <c r="A725" s="9" t="s">
        <v>2534</v>
      </c>
    </row>
    <row r="726" spans="1:1">
      <c r="A726" s="11"/>
    </row>
    <row r="727" spans="1:1" ht="63.75">
      <c r="A727" s="9" t="s">
        <v>2535</v>
      </c>
    </row>
    <row r="728" spans="1:1" ht="38.25">
      <c r="A728" s="9" t="s">
        <v>2536</v>
      </c>
    </row>
    <row r="729" spans="1:1">
      <c r="A729" s="9" t="s">
        <v>2537</v>
      </c>
    </row>
    <row r="730" spans="1:1">
      <c r="A730" s="11"/>
    </row>
    <row r="731" spans="1:1" ht="63.75">
      <c r="A731" s="9" t="s">
        <v>2538</v>
      </c>
    </row>
    <row r="732" spans="1:1" ht="38.25">
      <c r="A732" s="9" t="s">
        <v>2539</v>
      </c>
    </row>
    <row r="733" spans="1:1">
      <c r="A733" s="11"/>
    </row>
    <row r="734" spans="1:1" ht="38.25">
      <c r="A734" s="9" t="s">
        <v>2540</v>
      </c>
    </row>
    <row r="735" spans="1:1" ht="51">
      <c r="A735" s="9" t="s">
        <v>2541</v>
      </c>
    </row>
    <row r="736" spans="1:1">
      <c r="A736" s="9" t="s">
        <v>2333</v>
      </c>
    </row>
    <row r="737" spans="1:1">
      <c r="A737" s="11"/>
    </row>
    <row r="738" spans="1:1" ht="63.75">
      <c r="A738" s="9" t="s">
        <v>2542</v>
      </c>
    </row>
    <row r="739" spans="1:1">
      <c r="A739" s="9" t="s">
        <v>2543</v>
      </c>
    </row>
    <row r="740" spans="1:1">
      <c r="A740" s="9" t="s">
        <v>2544</v>
      </c>
    </row>
    <row r="741" spans="1:1">
      <c r="A741" s="9" t="s">
        <v>2545</v>
      </c>
    </row>
    <row r="742" spans="1:1" ht="89.25">
      <c r="A742" s="9" t="s">
        <v>2546</v>
      </c>
    </row>
    <row r="743" spans="1:1">
      <c r="A743" s="11"/>
    </row>
    <row r="744" spans="1:1" ht="63.75">
      <c r="A744" s="9" t="s">
        <v>2547</v>
      </c>
    </row>
    <row r="745" spans="1:1" ht="25.5">
      <c r="A745" s="9" t="s">
        <v>2548</v>
      </c>
    </row>
    <row r="746" spans="1:1">
      <c r="A746" s="9" t="s">
        <v>2549</v>
      </c>
    </row>
    <row r="747" spans="1:1">
      <c r="A747" s="11"/>
    </row>
    <row r="748" spans="1:1" ht="63.75">
      <c r="A748" s="9" t="s">
        <v>2550</v>
      </c>
    </row>
    <row r="749" spans="1:1" ht="38.25">
      <c r="A749" s="9" t="s">
        <v>2551</v>
      </c>
    </row>
    <row r="750" spans="1:1">
      <c r="A750" s="11"/>
    </row>
    <row r="751" spans="1:1" ht="76.5">
      <c r="A751" s="9" t="s">
        <v>2552</v>
      </c>
    </row>
    <row r="752" spans="1:1" ht="38.25">
      <c r="A752" s="9" t="s">
        <v>2553</v>
      </c>
    </row>
    <row r="753" spans="1:1">
      <c r="A753" s="11"/>
    </row>
    <row r="754" spans="1:1" ht="25.5">
      <c r="A754" s="9" t="s">
        <v>2554</v>
      </c>
    </row>
    <row r="755" spans="1:1" ht="25.5">
      <c r="A755" s="9" t="s">
        <v>2555</v>
      </c>
    </row>
    <row r="756" spans="1:1">
      <c r="A756" s="9" t="s">
        <v>2556</v>
      </c>
    </row>
    <row r="757" spans="1:1">
      <c r="A757" s="11"/>
    </row>
    <row r="758" spans="1:1" ht="102">
      <c r="A758" s="9" t="s">
        <v>2557</v>
      </c>
    </row>
    <row r="759" spans="1:1" ht="38.25">
      <c r="A759" s="9" t="s">
        <v>2558</v>
      </c>
    </row>
    <row r="760" spans="1:1" ht="25.5">
      <c r="A760" s="9" t="s">
        <v>2559</v>
      </c>
    </row>
    <row r="761" spans="1:1" ht="25.5">
      <c r="A761" s="9" t="s">
        <v>2560</v>
      </c>
    </row>
    <row r="762" spans="1:1">
      <c r="A762" s="9" t="s">
        <v>1807</v>
      </c>
    </row>
    <row r="763" spans="1:1">
      <c r="A763" s="11"/>
    </row>
    <row r="764" spans="1:1" ht="38.25">
      <c r="A764" s="9" t="s">
        <v>2561</v>
      </c>
    </row>
    <row r="765" spans="1:1" ht="38.25">
      <c r="A765" s="9" t="s">
        <v>2562</v>
      </c>
    </row>
    <row r="766" spans="1:1">
      <c r="A766" s="9" t="s">
        <v>2563</v>
      </c>
    </row>
    <row r="767" spans="1:1">
      <c r="A767" s="11"/>
    </row>
    <row r="768" spans="1:1" ht="89.25">
      <c r="A768" s="9" t="s">
        <v>2564</v>
      </c>
    </row>
    <row r="769" spans="1:1">
      <c r="A769" s="9" t="s">
        <v>2565</v>
      </c>
    </row>
    <row r="770" spans="1:1">
      <c r="A770" s="9" t="s">
        <v>2566</v>
      </c>
    </row>
    <row r="771" spans="1:1">
      <c r="A771" s="9" t="s">
        <v>2567</v>
      </c>
    </row>
    <row r="772" spans="1:1" ht="25.5">
      <c r="A772" s="9" t="s">
        <v>2568</v>
      </c>
    </row>
    <row r="773" spans="1:1">
      <c r="A773" s="11"/>
    </row>
    <row r="774" spans="1:1" ht="51">
      <c r="A774" s="9" t="s">
        <v>2569</v>
      </c>
    </row>
    <row r="775" spans="1:1">
      <c r="A775" s="9" t="s">
        <v>1193</v>
      </c>
    </row>
    <row r="776" spans="1:1">
      <c r="A776" s="9" t="s">
        <v>2570</v>
      </c>
    </row>
    <row r="777" spans="1:1">
      <c r="A777" s="9" t="s">
        <v>2571</v>
      </c>
    </row>
    <row r="778" spans="1:1">
      <c r="A778" s="9" t="s">
        <v>1898</v>
      </c>
    </row>
    <row r="779" spans="1:1">
      <c r="A779" s="11"/>
    </row>
    <row r="780" spans="1:1" ht="76.5">
      <c r="A780" s="9" t="s">
        <v>2572</v>
      </c>
    </row>
    <row r="781" spans="1:1" ht="38.25">
      <c r="A781" s="9" t="s">
        <v>2573</v>
      </c>
    </row>
    <row r="782" spans="1:1">
      <c r="A782" s="11"/>
    </row>
    <row r="783" spans="1:1" ht="102">
      <c r="A783" s="9" t="s">
        <v>2574</v>
      </c>
    </row>
    <row r="784" spans="1:1" ht="89.25">
      <c r="A784" s="9" t="s">
        <v>2575</v>
      </c>
    </row>
    <row r="785" spans="1:1" ht="25.5">
      <c r="A785" s="9" t="s">
        <v>2576</v>
      </c>
    </row>
    <row r="786" spans="1:1">
      <c r="A786" s="11"/>
    </row>
    <row r="787" spans="1:1" ht="38.25">
      <c r="A787" s="9" t="s">
        <v>2577</v>
      </c>
    </row>
    <row r="788" spans="1:1" ht="38.25">
      <c r="A788" s="9" t="s">
        <v>2578</v>
      </c>
    </row>
    <row r="789" spans="1:1" ht="25.5">
      <c r="A789" s="9" t="s">
        <v>2579</v>
      </c>
    </row>
    <row r="790" spans="1:1">
      <c r="A790" s="11"/>
    </row>
    <row r="791" spans="1:1" ht="76.5">
      <c r="A791" s="9" t="s">
        <v>2580</v>
      </c>
    </row>
    <row r="792" spans="1:1" ht="51">
      <c r="A792" s="9" t="s">
        <v>2581</v>
      </c>
    </row>
    <row r="793" spans="1:1">
      <c r="A793" s="9" t="s">
        <v>2582</v>
      </c>
    </row>
    <row r="794" spans="1:1">
      <c r="A794" s="11"/>
    </row>
    <row r="795" spans="1:1" ht="63.75">
      <c r="A795" s="9" t="s">
        <v>2583</v>
      </c>
    </row>
    <row r="796" spans="1:1" ht="38.25">
      <c r="A796" s="9" t="s">
        <v>2584</v>
      </c>
    </row>
    <row r="797" spans="1:1">
      <c r="A797" s="9" t="s">
        <v>2585</v>
      </c>
    </row>
    <row r="798" spans="1:1">
      <c r="A798" s="11"/>
    </row>
    <row r="799" spans="1:1" ht="51">
      <c r="A799" s="9" t="s">
        <v>2586</v>
      </c>
    </row>
    <row r="800" spans="1:1" ht="51">
      <c r="A800" s="9" t="s">
        <v>2587</v>
      </c>
    </row>
    <row r="801" spans="1:1">
      <c r="A801" s="9" t="s">
        <v>2588</v>
      </c>
    </row>
    <row r="802" spans="1:1">
      <c r="A802" s="11"/>
    </row>
    <row r="803" spans="1:1" ht="63.75">
      <c r="A803" s="9" t="s">
        <v>2589</v>
      </c>
    </row>
    <row r="804" spans="1:1" ht="25.5">
      <c r="A804" s="9" t="s">
        <v>2590</v>
      </c>
    </row>
    <row r="805" spans="1:1" ht="25.5">
      <c r="A805" s="9" t="s">
        <v>2591</v>
      </c>
    </row>
    <row r="806" spans="1:1">
      <c r="A806" s="11"/>
    </row>
    <row r="807" spans="1:1" ht="114.75">
      <c r="A807" s="9" t="s">
        <v>2592</v>
      </c>
    </row>
    <row r="808" spans="1:1" ht="63.75">
      <c r="A808" s="9" t="s">
        <v>2593</v>
      </c>
    </row>
    <row r="809" spans="1:1" ht="25.5">
      <c r="A809" s="9" t="s">
        <v>2594</v>
      </c>
    </row>
    <row r="810" spans="1:1">
      <c r="A810" s="11"/>
    </row>
    <row r="811" spans="1:1" ht="63.75">
      <c r="A811" s="9" t="s">
        <v>2595</v>
      </c>
    </row>
    <row r="812" spans="1:1" ht="38.25">
      <c r="A812" s="9" t="s">
        <v>2596</v>
      </c>
    </row>
    <row r="813" spans="1:1">
      <c r="A813" s="9" t="s">
        <v>2597</v>
      </c>
    </row>
    <row r="814" spans="1:1">
      <c r="A814" s="11"/>
    </row>
    <row r="815" spans="1:1" ht="76.5">
      <c r="A815" s="9" t="s">
        <v>2598</v>
      </c>
    </row>
    <row r="816" spans="1:1" ht="38.25">
      <c r="A816" s="9" t="s">
        <v>2599</v>
      </c>
    </row>
    <row r="817" spans="1:1" ht="25.5">
      <c r="A817" s="9" t="s">
        <v>2600</v>
      </c>
    </row>
    <row r="818" spans="1:1">
      <c r="A818" s="11"/>
    </row>
    <row r="819" spans="1:1" ht="63.75">
      <c r="A819" s="9" t="s">
        <v>2601</v>
      </c>
    </row>
    <row r="820" spans="1:1" ht="38.25">
      <c r="A820" s="9" t="s">
        <v>2602</v>
      </c>
    </row>
    <row r="821" spans="1:1" ht="25.5">
      <c r="A821" s="9" t="s">
        <v>2603</v>
      </c>
    </row>
    <row r="822" spans="1:1">
      <c r="A822" s="11"/>
    </row>
    <row r="823" spans="1:1" ht="38.25">
      <c r="A823" s="9" t="s">
        <v>2604</v>
      </c>
    </row>
    <row r="824" spans="1:1" ht="38.25">
      <c r="A824" s="9" t="s">
        <v>2605</v>
      </c>
    </row>
    <row r="825" spans="1:1" ht="25.5">
      <c r="A825" s="9" t="s">
        <v>2606</v>
      </c>
    </row>
    <row r="826" spans="1:1">
      <c r="A826" s="11"/>
    </row>
    <row r="827" spans="1:1" ht="114.75">
      <c r="A827" s="9" t="s">
        <v>2607</v>
      </c>
    </row>
    <row r="828" spans="1:1" ht="38.25">
      <c r="A828" s="9" t="s">
        <v>2608</v>
      </c>
    </row>
    <row r="829" spans="1:1">
      <c r="A829" s="9" t="s">
        <v>2609</v>
      </c>
    </row>
    <row r="830" spans="1:1">
      <c r="A830" s="11"/>
    </row>
    <row r="831" spans="1:1" ht="76.5">
      <c r="A831" s="9" t="s">
        <v>2610</v>
      </c>
    </row>
    <row r="832" spans="1:1">
      <c r="A832" s="9" t="s">
        <v>853</v>
      </c>
    </row>
    <row r="833" spans="1:1">
      <c r="A833" s="9" t="s">
        <v>2611</v>
      </c>
    </row>
    <row r="834" spans="1:1">
      <c r="A834" s="9" t="s">
        <v>557</v>
      </c>
    </row>
    <row r="835" spans="1:1" ht="25.5">
      <c r="A835" s="9" t="s">
        <v>2612</v>
      </c>
    </row>
    <row r="836" spans="1:1">
      <c r="A836" s="11"/>
    </row>
    <row r="837" spans="1:1" ht="127.5">
      <c r="A837" s="9" t="s">
        <v>2613</v>
      </c>
    </row>
    <row r="838" spans="1:1" ht="38.25">
      <c r="A838" s="9" t="s">
        <v>2614</v>
      </c>
    </row>
    <row r="839" spans="1:1" ht="25.5">
      <c r="A839" s="9" t="s">
        <v>2615</v>
      </c>
    </row>
    <row r="840" spans="1:1">
      <c r="A840" s="11"/>
    </row>
    <row r="841" spans="1:1" ht="63.75">
      <c r="A841" s="9" t="s">
        <v>2616</v>
      </c>
    </row>
    <row r="842" spans="1:1" ht="38.25">
      <c r="A842" s="9" t="s">
        <v>2617</v>
      </c>
    </row>
    <row r="843" spans="1:1">
      <c r="A843" s="9" t="s">
        <v>2618</v>
      </c>
    </row>
    <row r="844" spans="1:1">
      <c r="A844" s="11"/>
    </row>
    <row r="845" spans="1:1" ht="51">
      <c r="A845" s="9" t="s">
        <v>2619</v>
      </c>
    </row>
    <row r="846" spans="1:1" ht="38.25">
      <c r="A846" s="9" t="s">
        <v>2620</v>
      </c>
    </row>
    <row r="847" spans="1:1" ht="38.25">
      <c r="A847" s="9" t="s">
        <v>2621</v>
      </c>
    </row>
    <row r="848" spans="1:1" ht="38.25">
      <c r="A848" s="9" t="s">
        <v>2622</v>
      </c>
    </row>
    <row r="849" spans="1:1" ht="38.25">
      <c r="A849" s="9" t="s">
        <v>2623</v>
      </c>
    </row>
    <row r="850" spans="1:1">
      <c r="A850" s="11"/>
    </row>
    <row r="851" spans="1:1" ht="114.75">
      <c r="A851" s="9" t="s">
        <v>2624</v>
      </c>
    </row>
    <row r="852" spans="1:1" ht="25.5">
      <c r="A852" s="9" t="s">
        <v>2625</v>
      </c>
    </row>
    <row r="853" spans="1:1" ht="25.5">
      <c r="A853" s="9" t="s">
        <v>2626</v>
      </c>
    </row>
    <row r="854" spans="1:1" ht="25.5">
      <c r="A854" s="9" t="s">
        <v>2627</v>
      </c>
    </row>
    <row r="855" spans="1:1" ht="38.25">
      <c r="A855" s="9" t="s">
        <v>2628</v>
      </c>
    </row>
    <row r="856" spans="1:1">
      <c r="A856" s="11"/>
    </row>
    <row r="857" spans="1:1" ht="153">
      <c r="A857" s="9" t="s">
        <v>2629</v>
      </c>
    </row>
    <row r="858" spans="1:1">
      <c r="A858" s="11"/>
    </row>
    <row r="859" spans="1:1" ht="114.75">
      <c r="A859" s="9" t="s">
        <v>2630</v>
      </c>
    </row>
    <row r="860" spans="1:1" ht="25.5">
      <c r="A860" s="9" t="s">
        <v>2631</v>
      </c>
    </row>
    <row r="861" spans="1:1" ht="25.5">
      <c r="A861" s="9" t="s">
        <v>2632</v>
      </c>
    </row>
    <row r="862" spans="1:1" ht="25.5">
      <c r="A862" s="9" t="s">
        <v>2633</v>
      </c>
    </row>
    <row r="863" spans="1:1" ht="38.25">
      <c r="A863" s="9" t="s">
        <v>2634</v>
      </c>
    </row>
    <row r="864" spans="1:1">
      <c r="A864" s="11"/>
    </row>
    <row r="865" spans="1:1" ht="89.25">
      <c r="A865" s="9" t="s">
        <v>2635</v>
      </c>
    </row>
    <row r="866" spans="1:1" ht="51">
      <c r="A866" s="9" t="s">
        <v>2636</v>
      </c>
    </row>
    <row r="867" spans="1:1">
      <c r="A867" s="9" t="s">
        <v>2637</v>
      </c>
    </row>
    <row r="868" spans="1:1">
      <c r="A868" s="11"/>
    </row>
    <row r="869" spans="1:1" ht="63.75">
      <c r="A869" s="9" t="s">
        <v>2638</v>
      </c>
    </row>
    <row r="870" spans="1:1" ht="25.5">
      <c r="A870" s="9" t="s">
        <v>2639</v>
      </c>
    </row>
    <row r="871" spans="1:1" ht="25.5">
      <c r="A871" s="9" t="s">
        <v>2640</v>
      </c>
    </row>
    <row r="872" spans="1:1">
      <c r="A872" s="9" t="s">
        <v>1631</v>
      </c>
    </row>
    <row r="873" spans="1:1" ht="51">
      <c r="A873" s="9" t="s">
        <v>2641</v>
      </c>
    </row>
    <row r="874" spans="1:1">
      <c r="A874" s="11"/>
    </row>
    <row r="875" spans="1:1" ht="76.5">
      <c r="A875" s="9" t="s">
        <v>2642</v>
      </c>
    </row>
    <row r="876" spans="1:1">
      <c r="A876" s="9" t="s">
        <v>1289</v>
      </c>
    </row>
    <row r="877" spans="1:1">
      <c r="A877" s="9" t="s">
        <v>1290</v>
      </c>
    </row>
    <row r="878" spans="1:1">
      <c r="A878" s="9" t="s">
        <v>1291</v>
      </c>
    </row>
    <row r="879" spans="1:1" ht="38.25">
      <c r="A879" s="9" t="s">
        <v>2643</v>
      </c>
    </row>
    <row r="880" spans="1:1">
      <c r="A880" s="11"/>
    </row>
    <row r="881" spans="1:1" ht="51">
      <c r="A881" s="9" t="s">
        <v>2644</v>
      </c>
    </row>
    <row r="882" spans="1:1" ht="25.5">
      <c r="A882" s="9" t="s">
        <v>2645</v>
      </c>
    </row>
    <row r="883" spans="1:1" ht="25.5">
      <c r="A883" s="9" t="s">
        <v>2646</v>
      </c>
    </row>
    <row r="884" spans="1:1" ht="25.5">
      <c r="A884" s="9" t="s">
        <v>2647</v>
      </c>
    </row>
    <row r="885" spans="1:1">
      <c r="A885" s="11"/>
    </row>
    <row r="886" spans="1:1" ht="51">
      <c r="A886" s="9" t="s">
        <v>2648</v>
      </c>
    </row>
    <row r="887" spans="1:1">
      <c r="A887" s="9" t="s">
        <v>852</v>
      </c>
    </row>
    <row r="888" spans="1:1">
      <c r="A888" s="9" t="s">
        <v>557</v>
      </c>
    </row>
    <row r="889" spans="1:1">
      <c r="A889" s="9" t="s">
        <v>93</v>
      </c>
    </row>
    <row r="890" spans="1:1" ht="25.5">
      <c r="A890" s="9" t="s">
        <v>2649</v>
      </c>
    </row>
    <row r="891" spans="1:1">
      <c r="A891" s="11"/>
    </row>
    <row r="892" spans="1:1" ht="102">
      <c r="A892" s="9" t="s">
        <v>2650</v>
      </c>
    </row>
    <row r="893" spans="1:1">
      <c r="A893" s="9" t="s">
        <v>2651</v>
      </c>
    </row>
    <row r="894" spans="1:1">
      <c r="A894" s="9" t="s">
        <v>2652</v>
      </c>
    </row>
    <row r="895" spans="1:1">
      <c r="A895" s="9" t="s">
        <v>2653</v>
      </c>
    </row>
    <row r="896" spans="1:1" ht="38.25">
      <c r="A896" s="9" t="s">
        <v>2654</v>
      </c>
    </row>
    <row r="897" spans="1:1">
      <c r="A897" s="11"/>
    </row>
    <row r="898" spans="1:1" ht="127.5">
      <c r="A898" s="9" t="s">
        <v>2655</v>
      </c>
    </row>
    <row r="899" spans="1:1">
      <c r="A899" s="9" t="s">
        <v>2656</v>
      </c>
    </row>
    <row r="900" spans="1:1">
      <c r="A900" s="9" t="s">
        <v>2657</v>
      </c>
    </row>
    <row r="901" spans="1:1">
      <c r="A901" s="9" t="s">
        <v>2658</v>
      </c>
    </row>
    <row r="902" spans="1:1" ht="25.5">
      <c r="A902" s="9" t="s">
        <v>2659</v>
      </c>
    </row>
    <row r="903" spans="1:1">
      <c r="A903" s="11"/>
    </row>
    <row r="904" spans="1:1" ht="102">
      <c r="A904" s="9" t="s">
        <v>2660</v>
      </c>
    </row>
    <row r="905" spans="1:1" ht="25.5">
      <c r="A905" s="9" t="s">
        <v>2661</v>
      </c>
    </row>
    <row r="906" spans="1:1" ht="25.5">
      <c r="A906" s="9" t="s">
        <v>2662</v>
      </c>
    </row>
    <row r="907" spans="1:1" ht="25.5">
      <c r="A907" s="9" t="s">
        <v>2663</v>
      </c>
    </row>
    <row r="908" spans="1:1">
      <c r="A908" s="9" t="s">
        <v>2664</v>
      </c>
    </row>
    <row r="909" spans="1:1">
      <c r="A909" s="11"/>
    </row>
    <row r="910" spans="1:1" ht="89.25">
      <c r="A910" s="9" t="s">
        <v>2665</v>
      </c>
    </row>
    <row r="911" spans="1:1" ht="51">
      <c r="A911" s="9" t="s">
        <v>2666</v>
      </c>
    </row>
    <row r="912" spans="1:1" ht="25.5">
      <c r="A912" s="9" t="s">
        <v>2667</v>
      </c>
    </row>
    <row r="913" spans="1:1">
      <c r="A913" s="11"/>
    </row>
    <row r="914" spans="1:1" ht="63.75">
      <c r="A914" s="9" t="s">
        <v>2668</v>
      </c>
    </row>
    <row r="915" spans="1:1" ht="25.5">
      <c r="A915" s="9" t="s">
        <v>2669</v>
      </c>
    </row>
    <row r="916" spans="1:1">
      <c r="A916" s="9" t="s">
        <v>2670</v>
      </c>
    </row>
    <row r="917" spans="1:1">
      <c r="A917" s="11"/>
    </row>
    <row r="918" spans="1:1" ht="38.25">
      <c r="A918" s="9" t="s">
        <v>2671</v>
      </c>
    </row>
    <row r="919" spans="1:1">
      <c r="A919" s="9" t="s">
        <v>2672</v>
      </c>
    </row>
    <row r="920" spans="1:1">
      <c r="A920" s="9" t="s">
        <v>2673</v>
      </c>
    </row>
    <row r="921" spans="1:1">
      <c r="A921" s="9" t="s">
        <v>2674</v>
      </c>
    </row>
    <row r="922" spans="1:1">
      <c r="A922" s="11"/>
    </row>
    <row r="923" spans="1:1">
      <c r="A923" s="11"/>
    </row>
    <row r="924" spans="1:1" ht="127.5">
      <c r="A924" s="9" t="s">
        <v>2675</v>
      </c>
    </row>
    <row r="925" spans="1:1">
      <c r="A925" s="9" t="s">
        <v>2676</v>
      </c>
    </row>
    <row r="926" spans="1:1">
      <c r="A926" s="9" t="s">
        <v>2677</v>
      </c>
    </row>
    <row r="927" spans="1:1">
      <c r="A927" s="9" t="s">
        <v>2678</v>
      </c>
    </row>
    <row r="928" spans="1:1" ht="25.5">
      <c r="A928" s="9" t="s">
        <v>2679</v>
      </c>
    </row>
    <row r="929" spans="1:1">
      <c r="A929" s="11"/>
    </row>
    <row r="930" spans="1:1" ht="51">
      <c r="A930" s="9" t="s">
        <v>2680</v>
      </c>
    </row>
    <row r="931" spans="1:1" ht="38.25">
      <c r="A931" s="9" t="s">
        <v>2681</v>
      </c>
    </row>
    <row r="932" spans="1:1" ht="25.5">
      <c r="A932" s="9" t="s">
        <v>2682</v>
      </c>
    </row>
    <row r="933" spans="1:1" ht="38.25">
      <c r="A933" s="9" t="s">
        <v>2683</v>
      </c>
    </row>
    <row r="934" spans="1:1">
      <c r="A934" s="9" t="s">
        <v>2684</v>
      </c>
    </row>
    <row r="935" spans="1:1">
      <c r="A935" s="11"/>
    </row>
    <row r="936" spans="1:1" ht="25.5">
      <c r="A936" s="9" t="s">
        <v>2685</v>
      </c>
    </row>
    <row r="937" spans="1:1">
      <c r="A937" s="9" t="s">
        <v>2686</v>
      </c>
    </row>
    <row r="938" spans="1:1">
      <c r="A938" s="9" t="s">
        <v>2687</v>
      </c>
    </row>
    <row r="939" spans="1:1">
      <c r="A939" s="9" t="s">
        <v>2688</v>
      </c>
    </row>
    <row r="940" spans="1:1">
      <c r="A940" s="9" t="s">
        <v>2689</v>
      </c>
    </row>
    <row r="941" spans="1:1" ht="38.25">
      <c r="A941" s="9" t="s">
        <v>2690</v>
      </c>
    </row>
    <row r="942" spans="1:1">
      <c r="A942" s="11"/>
    </row>
    <row r="943" spans="1:1" ht="25.5">
      <c r="A943" s="9" t="s">
        <v>2691</v>
      </c>
    </row>
    <row r="944" spans="1:1" ht="38.25">
      <c r="A944" s="9" t="s">
        <v>2692</v>
      </c>
    </row>
    <row r="945" spans="1:1">
      <c r="A945" s="9" t="s">
        <v>2693</v>
      </c>
    </row>
    <row r="946" spans="1:1">
      <c r="A946" s="9" t="s">
        <v>2694</v>
      </c>
    </row>
    <row r="947" spans="1:1">
      <c r="A947" s="9" t="s">
        <v>2695</v>
      </c>
    </row>
    <row r="948" spans="1:1">
      <c r="A948" s="9" t="s">
        <v>1803</v>
      </c>
    </row>
    <row r="949" spans="1:1">
      <c r="A949" s="11"/>
    </row>
    <row r="950" spans="1:1" ht="63.75">
      <c r="A950" s="9" t="s">
        <v>2696</v>
      </c>
    </row>
    <row r="951" spans="1:1">
      <c r="A951" s="9">
        <v>0</v>
      </c>
    </row>
    <row r="952" spans="1:1">
      <c r="A952" s="9">
        <v>1</v>
      </c>
    </row>
    <row r="953" spans="1:1">
      <c r="A953" s="9">
        <v>7</v>
      </c>
    </row>
    <row r="954" spans="1:1">
      <c r="A954" s="9" t="s">
        <v>1784</v>
      </c>
    </row>
    <row r="955" spans="1:1">
      <c r="A955" s="11"/>
    </row>
    <row r="956" spans="1:1" ht="102">
      <c r="A956" s="9" t="s">
        <v>2697</v>
      </c>
    </row>
    <row r="957" spans="1:1" ht="25.5">
      <c r="A957" s="9" t="s">
        <v>2698</v>
      </c>
    </row>
    <row r="958" spans="1:1" ht="25.5">
      <c r="A958" s="9" t="s">
        <v>2699</v>
      </c>
    </row>
    <row r="959" spans="1:1">
      <c r="A959" s="9" t="s">
        <v>2700</v>
      </c>
    </row>
    <row r="960" spans="1:1" ht="25.5">
      <c r="A960" s="9" t="s">
        <v>2701</v>
      </c>
    </row>
    <row r="961" spans="1:1">
      <c r="A961" s="11"/>
    </row>
    <row r="962" spans="1:1" ht="76.5">
      <c r="A962" s="9" t="s">
        <v>2702</v>
      </c>
    </row>
    <row r="963" spans="1:1" ht="25.5">
      <c r="A963" s="9" t="s">
        <v>2703</v>
      </c>
    </row>
    <row r="964" spans="1:1" ht="25.5">
      <c r="A964" s="9" t="s">
        <v>2704</v>
      </c>
    </row>
    <row r="965" spans="1:1">
      <c r="A965" s="9" t="s">
        <v>2705</v>
      </c>
    </row>
    <row r="966" spans="1:1" ht="25.5">
      <c r="A966" s="9" t="s">
        <v>2706</v>
      </c>
    </row>
    <row r="967" spans="1:1">
      <c r="A967" s="11"/>
    </row>
    <row r="968" spans="1:1" ht="89.25">
      <c r="A968" s="9" t="s">
        <v>2707</v>
      </c>
    </row>
    <row r="969" spans="1:1" ht="25.5">
      <c r="A969" s="9" t="s">
        <v>2708</v>
      </c>
    </row>
    <row r="970" spans="1:1" ht="25.5">
      <c r="A970" s="9" t="s">
        <v>2709</v>
      </c>
    </row>
    <row r="971" spans="1:1" ht="25.5">
      <c r="A971" s="9" t="s">
        <v>2710</v>
      </c>
    </row>
    <row r="972" spans="1:1" ht="63.75">
      <c r="A972" s="9" t="s">
        <v>2711</v>
      </c>
    </row>
    <row r="973" spans="1:1">
      <c r="A973" s="11"/>
    </row>
    <row r="974" spans="1:1" ht="63.75">
      <c r="A974" s="9" t="s">
        <v>2712</v>
      </c>
    </row>
    <row r="975" spans="1:1">
      <c r="A975" s="9" t="s">
        <v>2713</v>
      </c>
    </row>
    <row r="976" spans="1:1">
      <c r="A976" s="9" t="s">
        <v>2714</v>
      </c>
    </row>
    <row r="977" spans="1:1">
      <c r="A977" s="9" t="s">
        <v>2715</v>
      </c>
    </row>
    <row r="978" spans="1:1" ht="25.5">
      <c r="A978" s="9" t="s">
        <v>2716</v>
      </c>
    </row>
    <row r="979" spans="1:1">
      <c r="A979" s="11"/>
    </row>
    <row r="980" spans="1:1" ht="165.75">
      <c r="A980" s="9" t="s">
        <v>2717</v>
      </c>
    </row>
    <row r="981" spans="1:1" ht="25.5">
      <c r="A981" s="9" t="s">
        <v>2718</v>
      </c>
    </row>
    <row r="982" spans="1:1">
      <c r="A982" s="9" t="s">
        <v>2719</v>
      </c>
    </row>
    <row r="983" spans="1:1">
      <c r="A983" s="9" t="s">
        <v>2720</v>
      </c>
    </row>
    <row r="984" spans="1:1" ht="25.5">
      <c r="A984" s="9" t="s">
        <v>2721</v>
      </c>
    </row>
    <row r="985" spans="1:1">
      <c r="A985" s="11"/>
    </row>
    <row r="986" spans="1:1" ht="38.25">
      <c r="A986" s="9" t="s">
        <v>2722</v>
      </c>
    </row>
    <row r="987" spans="1:1">
      <c r="A987" s="9" t="s">
        <v>2723</v>
      </c>
    </row>
    <row r="988" spans="1:1">
      <c r="A988" s="9" t="s">
        <v>2724</v>
      </c>
    </row>
    <row r="989" spans="1:1">
      <c r="A989" s="9" t="s">
        <v>2725</v>
      </c>
    </row>
    <row r="990" spans="1:1">
      <c r="A990" s="9" t="s">
        <v>2726</v>
      </c>
    </row>
    <row r="991" spans="1:1">
      <c r="A991" s="11"/>
    </row>
    <row r="992" spans="1:1" ht="76.5">
      <c r="A992" s="9" t="s">
        <v>2727</v>
      </c>
    </row>
    <row r="993" spans="1:1" ht="25.5">
      <c r="A993" s="9" t="s">
        <v>2728</v>
      </c>
    </row>
    <row r="994" spans="1:1" ht="25.5">
      <c r="A994" s="9" t="s">
        <v>2729</v>
      </c>
    </row>
    <row r="995" spans="1:1" ht="25.5">
      <c r="A995" s="9" t="s">
        <v>2730</v>
      </c>
    </row>
    <row r="996" spans="1:1" ht="25.5">
      <c r="A996" s="9" t="s">
        <v>2731</v>
      </c>
    </row>
    <row r="997" spans="1:1">
      <c r="A997" s="11"/>
    </row>
    <row r="998" spans="1:1" ht="76.5">
      <c r="A998" s="9" t="s">
        <v>2732</v>
      </c>
    </row>
    <row r="999" spans="1:1" ht="25.5">
      <c r="A999" s="9" t="s">
        <v>2733</v>
      </c>
    </row>
    <row r="1000" spans="1:1" ht="25.5">
      <c r="A1000" s="9" t="s">
        <v>2734</v>
      </c>
    </row>
    <row r="1001" spans="1:1" ht="25.5">
      <c r="A1001" s="9" t="s">
        <v>2735</v>
      </c>
    </row>
    <row r="1002" spans="1:1" ht="25.5">
      <c r="A1002" s="9" t="s">
        <v>2736</v>
      </c>
    </row>
    <row r="1003" spans="1:1">
      <c r="A1003" s="11"/>
    </row>
    <row r="1004" spans="1:1" ht="114.75">
      <c r="A1004" s="9" t="s">
        <v>2737</v>
      </c>
    </row>
    <row r="1005" spans="1:1">
      <c r="A1005" s="9" t="s">
        <v>2738</v>
      </c>
    </row>
    <row r="1006" spans="1:1">
      <c r="A1006" s="9" t="s">
        <v>2739</v>
      </c>
    </row>
    <row r="1007" spans="1:1">
      <c r="A1007" s="9" t="s">
        <v>2740</v>
      </c>
    </row>
    <row r="1008" spans="1:1">
      <c r="A1008" s="9" t="s">
        <v>2741</v>
      </c>
    </row>
    <row r="1009" spans="1:1">
      <c r="A1009" s="11"/>
    </row>
    <row r="1010" spans="1:1" ht="63.75">
      <c r="A1010" s="9" t="s">
        <v>2742</v>
      </c>
    </row>
    <row r="1011" spans="1:1">
      <c r="A1011" s="9" t="s">
        <v>2743</v>
      </c>
    </row>
    <row r="1012" spans="1:1">
      <c r="A1012" s="9" t="s">
        <v>2744</v>
      </c>
    </row>
    <row r="1013" spans="1:1">
      <c r="A1013" s="9" t="s">
        <v>2745</v>
      </c>
    </row>
    <row r="1014" spans="1:1">
      <c r="A1014" s="9" t="s">
        <v>2746</v>
      </c>
    </row>
    <row r="1015" spans="1:1">
      <c r="A1015" s="11"/>
    </row>
    <row r="1016" spans="1:1" ht="51">
      <c r="A1016" s="9" t="s">
        <v>2747</v>
      </c>
    </row>
    <row r="1017" spans="1:1" ht="25.5">
      <c r="A1017" s="9" t="s">
        <v>2748</v>
      </c>
    </row>
    <row r="1018" spans="1:1" ht="25.5">
      <c r="A1018" s="9" t="s">
        <v>2749</v>
      </c>
    </row>
    <row r="1019" spans="1:1">
      <c r="A1019" s="9" t="s">
        <v>2750</v>
      </c>
    </row>
    <row r="1020" spans="1:1" ht="25.5">
      <c r="A1020" s="9" t="s">
        <v>2751</v>
      </c>
    </row>
    <row r="1021" spans="1:1">
      <c r="A1021" s="11"/>
    </row>
    <row r="1022" spans="1:1">
      <c r="A1022" s="11"/>
    </row>
    <row r="1023" spans="1:1" ht="51">
      <c r="A1023" s="9" t="s">
        <v>2752</v>
      </c>
    </row>
    <row r="1024" spans="1:1" ht="25.5">
      <c r="A1024" s="9" t="s">
        <v>2753</v>
      </c>
    </row>
    <row r="1025" spans="1:1">
      <c r="A1025" s="9" t="s">
        <v>2754</v>
      </c>
    </row>
    <row r="1026" spans="1:1">
      <c r="A1026" s="9" t="s">
        <v>2755</v>
      </c>
    </row>
    <row r="1027" spans="1:1" ht="25.5">
      <c r="A1027" s="9" t="s">
        <v>2756</v>
      </c>
    </row>
    <row r="1028" spans="1:1">
      <c r="A1028" s="11"/>
    </row>
    <row r="1029" spans="1:1" ht="102">
      <c r="A1029" s="9" t="s">
        <v>2757</v>
      </c>
    </row>
    <row r="1030" spans="1:1">
      <c r="A1030" s="9" t="s">
        <v>2758</v>
      </c>
    </row>
    <row r="1031" spans="1:1">
      <c r="A1031" s="9" t="s">
        <v>2759</v>
      </c>
    </row>
    <row r="1032" spans="1:1">
      <c r="A1032" s="9" t="s">
        <v>2760</v>
      </c>
    </row>
    <row r="1033" spans="1:1">
      <c r="A1033" s="9" t="s">
        <v>2761</v>
      </c>
    </row>
    <row r="1034" spans="1:1">
      <c r="A1034" s="11"/>
    </row>
    <row r="1035" spans="1:1" ht="63.75">
      <c r="A1035" s="9" t="s">
        <v>2762</v>
      </c>
    </row>
    <row r="1036" spans="1:1" ht="25.5">
      <c r="A1036" s="9" t="s">
        <v>2763</v>
      </c>
    </row>
    <row r="1037" spans="1:1">
      <c r="A1037" s="9" t="s">
        <v>2764</v>
      </c>
    </row>
    <row r="1038" spans="1:1">
      <c r="A1038" s="9" t="s">
        <v>2765</v>
      </c>
    </row>
    <row r="1039" spans="1:1" ht="38.25">
      <c r="A1039" s="9" t="s">
        <v>2766</v>
      </c>
    </row>
    <row r="1040" spans="1:1">
      <c r="A1040" s="11"/>
    </row>
    <row r="1041" spans="1:1" ht="102">
      <c r="A1041" s="9" t="s">
        <v>2767</v>
      </c>
    </row>
    <row r="1042" spans="1:1" ht="51">
      <c r="A1042" s="9" t="s">
        <v>2768</v>
      </c>
    </row>
    <row r="1043" spans="1:1" ht="25.5">
      <c r="A1043" s="9" t="s">
        <v>2769</v>
      </c>
    </row>
    <row r="1044" spans="1:1">
      <c r="A1044" s="11"/>
    </row>
    <row r="1045" spans="1:1" ht="89.25">
      <c r="A1045" s="9" t="s">
        <v>2770</v>
      </c>
    </row>
    <row r="1046" spans="1:1" ht="25.5">
      <c r="A1046" s="9" t="s">
        <v>2771</v>
      </c>
    </row>
    <row r="1047" spans="1:1" ht="38.25">
      <c r="A1047" s="9" t="s">
        <v>2772</v>
      </c>
    </row>
    <row r="1048" spans="1:1" ht="25.5">
      <c r="A1048" s="9" t="s">
        <v>2773</v>
      </c>
    </row>
    <row r="1049" spans="1:1">
      <c r="A1049" s="9" t="s">
        <v>2774</v>
      </c>
    </row>
    <row r="1050" spans="1:1">
      <c r="A1050" s="11"/>
    </row>
    <row r="1051" spans="1:1" ht="51">
      <c r="A1051" s="9" t="s">
        <v>2775</v>
      </c>
    </row>
    <row r="1052" spans="1:1" ht="38.25">
      <c r="A1052" s="9" t="s">
        <v>2776</v>
      </c>
    </row>
    <row r="1053" spans="1:1">
      <c r="A1053" s="9" t="s">
        <v>2777</v>
      </c>
    </row>
    <row r="1054" spans="1:1">
      <c r="A1054" s="11"/>
    </row>
    <row r="1055" spans="1:1" ht="76.5">
      <c r="A1055" s="9" t="s">
        <v>2778</v>
      </c>
    </row>
    <row r="1056" spans="1:1" ht="25.5">
      <c r="A1056" s="9" t="s">
        <v>2779</v>
      </c>
    </row>
    <row r="1057" spans="1:1">
      <c r="A1057" s="9" t="s">
        <v>2780</v>
      </c>
    </row>
    <row r="1058" spans="1:1">
      <c r="A1058" s="11"/>
    </row>
    <row r="1059" spans="1:1" ht="63.75">
      <c r="A1059" s="9" t="s">
        <v>2781</v>
      </c>
    </row>
    <row r="1060" spans="1:1" ht="25.5">
      <c r="A1060" s="9" t="s">
        <v>2782</v>
      </c>
    </row>
    <row r="1061" spans="1:1">
      <c r="A1061" s="9" t="s">
        <v>2783</v>
      </c>
    </row>
    <row r="1062" spans="1:1">
      <c r="A1062" s="11"/>
    </row>
    <row r="1063" spans="1:1" ht="63.75">
      <c r="A1063" s="9" t="s">
        <v>2784</v>
      </c>
    </row>
    <row r="1064" spans="1:1" ht="178.5">
      <c r="A1064" s="9" t="s">
        <v>2785</v>
      </c>
    </row>
    <row r="1065" spans="1:1" ht="63.75">
      <c r="A1065" s="9" t="s">
        <v>2786</v>
      </c>
    </row>
    <row r="1066" spans="1:1">
      <c r="A1066" s="11"/>
    </row>
    <row r="1067" spans="1:1" ht="114.75">
      <c r="A1067" s="9" t="s">
        <v>2787</v>
      </c>
    </row>
    <row r="1068" spans="1:1" ht="89.25">
      <c r="A1068" s="9" t="s">
        <v>2788</v>
      </c>
    </row>
    <row r="1069" spans="1:1" ht="38.25">
      <c r="A1069" s="9" t="s">
        <v>2789</v>
      </c>
    </row>
    <row r="1070" spans="1:1">
      <c r="A1070" s="11"/>
    </row>
    <row r="1071" spans="1:1" ht="76.5">
      <c r="A1071" s="9" t="s">
        <v>2790</v>
      </c>
    </row>
    <row r="1072" spans="1:1">
      <c r="A1072" s="9" t="s">
        <v>2791</v>
      </c>
    </row>
    <row r="1073" spans="1:1">
      <c r="A1073" s="9" t="s">
        <v>2792</v>
      </c>
    </row>
    <row r="1074" spans="1:1">
      <c r="A1074" s="9" t="s">
        <v>2793</v>
      </c>
    </row>
    <row r="1075" spans="1:1" ht="25.5">
      <c r="A1075" s="9" t="s">
        <v>2794</v>
      </c>
    </row>
    <row r="1076" spans="1:1">
      <c r="A1076" s="11"/>
    </row>
    <row r="1077" spans="1:1" ht="114.75">
      <c r="A1077" s="9" t="s">
        <v>2795</v>
      </c>
    </row>
    <row r="1078" spans="1:1" ht="25.5">
      <c r="A1078" s="9" t="s">
        <v>2796</v>
      </c>
    </row>
    <row r="1079" spans="1:1">
      <c r="A1079" s="9" t="s">
        <v>2797</v>
      </c>
    </row>
    <row r="1080" spans="1:1">
      <c r="A1080" s="11"/>
    </row>
    <row r="1081" spans="1:1" ht="89.25">
      <c r="A1081" s="9" t="s">
        <v>2798</v>
      </c>
    </row>
    <row r="1082" spans="1:1">
      <c r="A1082" s="9" t="s">
        <v>2799</v>
      </c>
    </row>
    <row r="1083" spans="1:1">
      <c r="A1083" s="9" t="s">
        <v>2800</v>
      </c>
    </row>
    <row r="1084" spans="1:1">
      <c r="A1084" s="9" t="s">
        <v>2801</v>
      </c>
    </row>
    <row r="1085" spans="1:1" ht="25.5">
      <c r="A1085" s="9" t="s">
        <v>2802</v>
      </c>
    </row>
    <row r="1086" spans="1:1">
      <c r="A1086" s="11"/>
    </row>
    <row r="1087" spans="1:1" ht="76.5">
      <c r="A1087" s="9" t="s">
        <v>2803</v>
      </c>
    </row>
    <row r="1088" spans="1:1">
      <c r="A1088" s="9" t="s">
        <v>2804</v>
      </c>
    </row>
    <row r="1089" spans="1:1">
      <c r="A1089" s="9" t="s">
        <v>2805</v>
      </c>
    </row>
    <row r="1090" spans="1:1">
      <c r="A1090" s="9" t="s">
        <v>2806</v>
      </c>
    </row>
    <row r="1091" spans="1:1" ht="25.5">
      <c r="A1091" s="9" t="s">
        <v>2807</v>
      </c>
    </row>
    <row r="1092" spans="1:1">
      <c r="A1092" s="11"/>
    </row>
    <row r="1093" spans="1:1" ht="76.5">
      <c r="A1093" s="9" t="s">
        <v>2808</v>
      </c>
    </row>
    <row r="1094" spans="1:1" ht="25.5">
      <c r="A1094" s="9" t="s">
        <v>2809</v>
      </c>
    </row>
    <row r="1095" spans="1:1" ht="25.5">
      <c r="A1095" s="9" t="s">
        <v>2810</v>
      </c>
    </row>
    <row r="1096" spans="1:1" ht="25.5">
      <c r="A1096" s="9" t="s">
        <v>2811</v>
      </c>
    </row>
    <row r="1097" spans="1:1">
      <c r="A1097" s="9" t="s">
        <v>2812</v>
      </c>
    </row>
    <row r="1098" spans="1:1">
      <c r="A1098" s="11"/>
    </row>
    <row r="1099" spans="1:1" ht="76.5">
      <c r="A1099" s="9" t="s">
        <v>2813</v>
      </c>
    </row>
    <row r="1100" spans="1:1">
      <c r="A1100" s="9" t="s">
        <v>2814</v>
      </c>
    </row>
    <row r="1101" spans="1:1">
      <c r="A1101" s="9" t="s">
        <v>2815</v>
      </c>
    </row>
    <row r="1102" spans="1:1" ht="25.5">
      <c r="A1102" s="9" t="s">
        <v>2816</v>
      </c>
    </row>
    <row r="1103" spans="1:1" ht="25.5">
      <c r="A1103" s="9" t="s">
        <v>2817</v>
      </c>
    </row>
    <row r="1104" spans="1:1">
      <c r="A1104" s="11"/>
    </row>
    <row r="1105" spans="1:1" ht="127.5">
      <c r="A1105" s="9" t="s">
        <v>2818</v>
      </c>
    </row>
    <row r="1106" spans="1:1">
      <c r="A1106" s="9" t="s">
        <v>2819</v>
      </c>
    </row>
    <row r="1107" spans="1:1">
      <c r="A1107" s="9" t="s">
        <v>2820</v>
      </c>
    </row>
    <row r="1108" spans="1:1" ht="25.5">
      <c r="A1108" s="9" t="s">
        <v>2821</v>
      </c>
    </row>
    <row r="1109" spans="1:1">
      <c r="A1109" s="9" t="s">
        <v>2822</v>
      </c>
    </row>
    <row r="1110" spans="1:1">
      <c r="A1110" s="11"/>
    </row>
    <row r="1111" spans="1:1" ht="63.75">
      <c r="A1111" s="9" t="s">
        <v>2823</v>
      </c>
    </row>
    <row r="1112" spans="1:1">
      <c r="A1112" s="9" t="s">
        <v>2824</v>
      </c>
    </row>
    <row r="1113" spans="1:1">
      <c r="A1113" s="9" t="s">
        <v>2825</v>
      </c>
    </row>
    <row r="1114" spans="1:1">
      <c r="A1114" s="9" t="s">
        <v>2826</v>
      </c>
    </row>
    <row r="1115" spans="1:1">
      <c r="A1115" s="9" t="s">
        <v>2827</v>
      </c>
    </row>
    <row r="1116" spans="1:1">
      <c r="A1116" s="11"/>
    </row>
    <row r="1117" spans="1:1" ht="127.5">
      <c r="A1117" s="9" t="s">
        <v>2828</v>
      </c>
    </row>
    <row r="1118" spans="1:1">
      <c r="A1118" s="9" t="s">
        <v>2829</v>
      </c>
    </row>
    <row r="1119" spans="1:1">
      <c r="A1119" s="9" t="s">
        <v>2830</v>
      </c>
    </row>
    <row r="1120" spans="1:1">
      <c r="A1120" s="9" t="s">
        <v>1238</v>
      </c>
    </row>
    <row r="1121" spans="1:1">
      <c r="A1121" s="9" t="s">
        <v>2831</v>
      </c>
    </row>
    <row r="1122" spans="1:1">
      <c r="A1122" s="11"/>
    </row>
    <row r="1123" spans="1:1" ht="63.75">
      <c r="A1123" s="9" t="s">
        <v>2832</v>
      </c>
    </row>
    <row r="1124" spans="1:1">
      <c r="A1124" s="9" t="s">
        <v>2833</v>
      </c>
    </row>
    <row r="1125" spans="1:1" ht="25.5">
      <c r="A1125" s="9" t="s">
        <v>2834</v>
      </c>
    </row>
    <row r="1126" spans="1:1">
      <c r="A1126" s="9" t="s">
        <v>2835</v>
      </c>
    </row>
    <row r="1127" spans="1:1" ht="25.5">
      <c r="A1127" s="9" t="s">
        <v>2836</v>
      </c>
    </row>
    <row r="1128" spans="1:1" ht="63.75">
      <c r="A1128" s="9" t="s">
        <v>2837</v>
      </c>
    </row>
    <row r="1129" spans="1:1">
      <c r="A1129" s="11"/>
    </row>
    <row r="1130" spans="1:1" ht="51">
      <c r="A1130" s="9" t="s">
        <v>2838</v>
      </c>
    </row>
    <row r="1131" spans="1:1">
      <c r="A1131" s="9" t="s">
        <v>2839</v>
      </c>
    </row>
    <row r="1132" spans="1:1">
      <c r="A1132" s="9" t="s">
        <v>1212</v>
      </c>
    </row>
    <row r="1133" spans="1:1">
      <c r="A1133" s="9" t="s">
        <v>2009</v>
      </c>
    </row>
    <row r="1134" spans="1:1" ht="25.5">
      <c r="A1134" s="9" t="s">
        <v>2840</v>
      </c>
    </row>
    <row r="1135" spans="1:1" ht="51">
      <c r="A1135" s="9" t="s">
        <v>2841</v>
      </c>
    </row>
    <row r="1136" spans="1:1">
      <c r="A1136" s="11"/>
    </row>
    <row r="1137" spans="1:1" ht="38.25">
      <c r="A1137" s="9" t="s">
        <v>2842</v>
      </c>
    </row>
    <row r="1138" spans="1:1">
      <c r="A1138" s="9" t="s">
        <v>1211</v>
      </c>
    </row>
    <row r="1139" spans="1:1">
      <c r="A1139" s="9" t="s">
        <v>69</v>
      </c>
    </row>
    <row r="1140" spans="1:1">
      <c r="A1140" s="9" t="s">
        <v>1212</v>
      </c>
    </row>
    <row r="1141" spans="1:1" ht="25.5">
      <c r="A1141" s="9" t="s">
        <v>2843</v>
      </c>
    </row>
    <row r="1142" spans="1:1">
      <c r="A1142" s="11"/>
    </row>
    <row r="1143" spans="1:1" ht="25.5">
      <c r="A1143" s="9" t="s">
        <v>2844</v>
      </c>
    </row>
    <row r="1144" spans="1:1">
      <c r="A1144" s="9" t="s">
        <v>2845</v>
      </c>
    </row>
    <row r="1145" spans="1:1">
      <c r="A1145" s="9" t="s">
        <v>2846</v>
      </c>
    </row>
    <row r="1146" spans="1:1">
      <c r="A1146" s="9" t="s">
        <v>2442</v>
      </c>
    </row>
    <row r="1147" spans="1:1">
      <c r="A1147" s="9" t="s">
        <v>2847</v>
      </c>
    </row>
    <row r="1148" spans="1:1">
      <c r="A1148" s="11"/>
    </row>
    <row r="1149" spans="1:1" ht="89.25">
      <c r="A1149" s="9" t="s">
        <v>2848</v>
      </c>
    </row>
    <row r="1150" spans="1:1">
      <c r="A1150" s="9" t="s">
        <v>2849</v>
      </c>
    </row>
    <row r="1151" spans="1:1">
      <c r="A1151" s="9" t="s">
        <v>2849</v>
      </c>
    </row>
    <row r="1152" spans="1:1">
      <c r="A1152" s="9" t="s">
        <v>2850</v>
      </c>
    </row>
    <row r="1153" spans="1:1">
      <c r="A1153" s="9" t="s">
        <v>2851</v>
      </c>
    </row>
    <row r="1154" spans="1:1">
      <c r="A1154" s="11"/>
    </row>
    <row r="1155" spans="1:1" ht="38.25">
      <c r="A1155" s="9" t="s">
        <v>2852</v>
      </c>
    </row>
    <row r="1156" spans="1:1">
      <c r="A1156" s="9" t="s">
        <v>1132</v>
      </c>
    </row>
    <row r="1157" spans="1:1">
      <c r="A1157" s="9" t="s">
        <v>1133</v>
      </c>
    </row>
    <row r="1158" spans="1:1">
      <c r="A1158" s="9" t="s">
        <v>1134</v>
      </c>
    </row>
    <row r="1159" spans="1:1" ht="25.5">
      <c r="A1159" s="9" t="s">
        <v>2853</v>
      </c>
    </row>
    <row r="1160" spans="1:1">
      <c r="A1160" s="11"/>
    </row>
    <row r="1161" spans="1:1" ht="63.75">
      <c r="A1161" s="9" t="s">
        <v>2854</v>
      </c>
    </row>
    <row r="1162" spans="1:1" ht="25.5">
      <c r="A1162" s="9" t="s">
        <v>2855</v>
      </c>
    </row>
    <row r="1163" spans="1:1" ht="38.25">
      <c r="A1163" s="9" t="s">
        <v>2856</v>
      </c>
    </row>
    <row r="1164" spans="1:1" ht="38.25">
      <c r="A1164" s="9" t="s">
        <v>2857</v>
      </c>
    </row>
    <row r="1165" spans="1:1">
      <c r="A1165" s="9" t="s">
        <v>1784</v>
      </c>
    </row>
    <row r="1166" spans="1:1">
      <c r="A1166" s="11"/>
    </row>
    <row r="1167" spans="1:1" ht="51">
      <c r="A1167" s="9" t="s">
        <v>2858</v>
      </c>
    </row>
    <row r="1168" spans="1:1">
      <c r="A1168" s="9" t="s">
        <v>2859</v>
      </c>
    </row>
    <row r="1169" spans="1:1">
      <c r="A1169" s="9" t="s">
        <v>2860</v>
      </c>
    </row>
    <row r="1170" spans="1:1">
      <c r="A1170" s="9" t="s">
        <v>2861</v>
      </c>
    </row>
    <row r="1171" spans="1:1" ht="25.5">
      <c r="A1171" s="9" t="s">
        <v>2862</v>
      </c>
    </row>
    <row r="1172" spans="1:1">
      <c r="A1172" s="11"/>
    </row>
    <row r="1173" spans="1:1" ht="76.5">
      <c r="A1173" s="9" t="s">
        <v>2863</v>
      </c>
    </row>
    <row r="1174" spans="1:1" ht="38.25">
      <c r="A1174" s="9" t="s">
        <v>2864</v>
      </c>
    </row>
    <row r="1175" spans="1:1">
      <c r="A1175" s="9" t="s">
        <v>2865</v>
      </c>
    </row>
    <row r="1176" spans="1:1">
      <c r="A1176" s="11"/>
    </row>
    <row r="1177" spans="1:1" ht="51">
      <c r="A1177" s="9" t="s">
        <v>2866</v>
      </c>
    </row>
    <row r="1178" spans="1:1" ht="25.5">
      <c r="A1178" s="9" t="s">
        <v>2867</v>
      </c>
    </row>
    <row r="1179" spans="1:1">
      <c r="A1179" s="9" t="s">
        <v>2868</v>
      </c>
    </row>
    <row r="1180" spans="1:1" ht="25.5">
      <c r="A1180" s="9" t="s">
        <v>2869</v>
      </c>
    </row>
    <row r="1181" spans="1:1" ht="25.5">
      <c r="A1181" s="9" t="s">
        <v>2870</v>
      </c>
    </row>
    <row r="1182" spans="1:1">
      <c r="A1182" s="11"/>
    </row>
    <row r="1183" spans="1:1" ht="63.75">
      <c r="A1183" s="9" t="s">
        <v>2871</v>
      </c>
    </row>
    <row r="1184" spans="1:1" ht="25.5">
      <c r="A1184" s="9" t="s">
        <v>2872</v>
      </c>
    </row>
    <row r="1185" spans="1:1" ht="38.25">
      <c r="A1185" s="9" t="s">
        <v>2873</v>
      </c>
    </row>
    <row r="1186" spans="1:1" ht="63.75">
      <c r="A1186" s="9" t="s">
        <v>2874</v>
      </c>
    </row>
    <row r="1187" spans="1:1" ht="25.5">
      <c r="A1187" s="9" t="s">
        <v>2875</v>
      </c>
    </row>
    <row r="1188" spans="1:1">
      <c r="A1188" s="11"/>
    </row>
    <row r="1189" spans="1:1" ht="51">
      <c r="A1189" s="9" t="s">
        <v>2876</v>
      </c>
    </row>
    <row r="1190" spans="1:1">
      <c r="A1190" s="9" t="s">
        <v>2877</v>
      </c>
    </row>
    <row r="1191" spans="1:1" ht="25.5">
      <c r="A1191" s="9" t="s">
        <v>2878</v>
      </c>
    </row>
    <row r="1192" spans="1:1">
      <c r="A1192" s="9" t="s">
        <v>2879</v>
      </c>
    </row>
    <row r="1193" spans="1:1">
      <c r="A1193" s="9" t="s">
        <v>2880</v>
      </c>
    </row>
    <row r="1194" spans="1:1">
      <c r="A1194" s="11"/>
    </row>
    <row r="1195" spans="1:1" ht="63.75">
      <c r="A1195" s="9" t="s">
        <v>2881</v>
      </c>
    </row>
    <row r="1196" spans="1:1">
      <c r="A1196" s="9" t="s">
        <v>2882</v>
      </c>
    </row>
    <row r="1197" spans="1:1">
      <c r="A1197" s="9" t="s">
        <v>2883</v>
      </c>
    </row>
    <row r="1198" spans="1:1">
      <c r="A1198" s="9" t="s">
        <v>2884</v>
      </c>
    </row>
    <row r="1199" spans="1:1">
      <c r="A1199" s="9" t="s">
        <v>2885</v>
      </c>
    </row>
    <row r="1200" spans="1:1">
      <c r="A1200" s="11"/>
    </row>
    <row r="1201" spans="1:1" ht="51">
      <c r="A1201" s="9" t="s">
        <v>2886</v>
      </c>
    </row>
    <row r="1202" spans="1:1">
      <c r="A1202" s="9" t="s">
        <v>2887</v>
      </c>
    </row>
    <row r="1203" spans="1:1">
      <c r="A1203" s="9" t="s">
        <v>1208</v>
      </c>
    </row>
    <row r="1204" spans="1:1">
      <c r="A1204" s="9" t="s">
        <v>2888</v>
      </c>
    </row>
    <row r="1205" spans="1:1">
      <c r="A1205" s="9" t="s">
        <v>2889</v>
      </c>
    </row>
    <row r="1206" spans="1:1">
      <c r="A1206" s="11"/>
    </row>
    <row r="1207" spans="1:1" ht="76.5">
      <c r="A1207" s="9" t="s">
        <v>2890</v>
      </c>
    </row>
    <row r="1208" spans="1:1">
      <c r="A1208" s="9" t="s">
        <v>1815</v>
      </c>
    </row>
    <row r="1209" spans="1:1">
      <c r="A1209" s="9" t="s">
        <v>2891</v>
      </c>
    </row>
    <row r="1210" spans="1:1">
      <c r="A1210" s="9" t="s">
        <v>1814</v>
      </c>
    </row>
    <row r="1211" spans="1:1" ht="76.5">
      <c r="A1211" s="9" t="s">
        <v>2892</v>
      </c>
    </row>
    <row r="1212" spans="1:1">
      <c r="A1212" s="11"/>
    </row>
    <row r="1213" spans="1:1" ht="38.25">
      <c r="A1213" s="9" t="s">
        <v>2893</v>
      </c>
    </row>
    <row r="1214" spans="1:1">
      <c r="A1214" s="9" t="s">
        <v>2894</v>
      </c>
    </row>
    <row r="1215" spans="1:1">
      <c r="A1215" s="9" t="s">
        <v>2895</v>
      </c>
    </row>
    <row r="1216" spans="1:1">
      <c r="A1216" s="9" t="s">
        <v>2896</v>
      </c>
    </row>
    <row r="1217" spans="1:1">
      <c r="A1217" s="9" t="s">
        <v>2897</v>
      </c>
    </row>
    <row r="1218" spans="1:1">
      <c r="A1218" s="11"/>
    </row>
    <row r="1219" spans="1:1" ht="51">
      <c r="A1219" s="9" t="s">
        <v>2898</v>
      </c>
    </row>
    <row r="1220" spans="1:1">
      <c r="A1220" s="9" t="s">
        <v>2899</v>
      </c>
    </row>
    <row r="1221" spans="1:1">
      <c r="A1221" s="9" t="s">
        <v>2900</v>
      </c>
    </row>
    <row r="1222" spans="1:1">
      <c r="A1222" s="9" t="s">
        <v>2901</v>
      </c>
    </row>
    <row r="1223" spans="1:1" ht="38.25">
      <c r="A1223" s="9" t="s">
        <v>2902</v>
      </c>
    </row>
    <row r="1224" spans="1:1">
      <c r="A1224" s="11"/>
    </row>
    <row r="1225" spans="1:1" ht="63.75">
      <c r="A1225" s="9" t="s">
        <v>2903</v>
      </c>
    </row>
    <row r="1226" spans="1:1" ht="51">
      <c r="A1226" s="9" t="s">
        <v>2904</v>
      </c>
    </row>
    <row r="1227" spans="1:1" ht="51">
      <c r="A1227" s="9" t="s">
        <v>2905</v>
      </c>
    </row>
    <row r="1228" spans="1:1" ht="51">
      <c r="A1228" s="9" t="s">
        <v>2906</v>
      </c>
    </row>
    <row r="1229" spans="1:1" ht="25.5">
      <c r="A1229" s="9" t="s">
        <v>2907</v>
      </c>
    </row>
    <row r="1230" spans="1:1">
      <c r="A1230" s="11"/>
    </row>
    <row r="1231" spans="1:1" ht="51">
      <c r="A1231" s="9" t="s">
        <v>2908</v>
      </c>
    </row>
    <row r="1232" spans="1:1">
      <c r="A1232" s="9" t="s">
        <v>2909</v>
      </c>
    </row>
    <row r="1233" spans="1:1">
      <c r="A1233" s="9" t="s">
        <v>2910</v>
      </c>
    </row>
    <row r="1234" spans="1:1">
      <c r="A1234" s="9" t="s">
        <v>2911</v>
      </c>
    </row>
    <row r="1235" spans="1:1" ht="25.5">
      <c r="A1235" s="9" t="s">
        <v>2912</v>
      </c>
    </row>
    <row r="1236" spans="1:1" ht="51">
      <c r="A1236" s="9" t="s">
        <v>2913</v>
      </c>
    </row>
    <row r="1237" spans="1:1">
      <c r="A1237" s="9" t="s">
        <v>2914</v>
      </c>
    </row>
    <row r="1238" spans="1:1">
      <c r="A1238" s="9" t="s">
        <v>2915</v>
      </c>
    </row>
    <row r="1239" spans="1:1">
      <c r="A1239" s="9" t="s">
        <v>2916</v>
      </c>
    </row>
    <row r="1240" spans="1:1" ht="25.5">
      <c r="A1240" s="9" t="s">
        <v>2917</v>
      </c>
    </row>
    <row r="1241" spans="1:1">
      <c r="A1241" s="11"/>
    </row>
    <row r="1242" spans="1:1" ht="76.5">
      <c r="A1242" s="9" t="s">
        <v>2918</v>
      </c>
    </row>
    <row r="1243" spans="1:1" ht="38.25">
      <c r="A1243" s="9" t="s">
        <v>2919</v>
      </c>
    </row>
    <row r="1244" spans="1:1" ht="38.25">
      <c r="A1244" s="9" t="s">
        <v>2919</v>
      </c>
    </row>
    <row r="1245" spans="1:1" ht="38.25">
      <c r="A1245" s="9" t="s">
        <v>2920</v>
      </c>
    </row>
    <row r="1246" spans="1:1">
      <c r="A1246" s="9" t="s">
        <v>2921</v>
      </c>
    </row>
    <row r="1247" spans="1:1">
      <c r="A1247" s="11"/>
    </row>
    <row r="1248" spans="1:1" ht="89.25">
      <c r="A1248" s="9" t="s">
        <v>2922</v>
      </c>
    </row>
    <row r="1249" spans="1:1" ht="25.5">
      <c r="A1249" s="9" t="s">
        <v>2923</v>
      </c>
    </row>
    <row r="1250" spans="1:1" ht="25.5">
      <c r="A1250" s="9" t="s">
        <v>2924</v>
      </c>
    </row>
    <row r="1251" spans="1:1">
      <c r="A1251" s="11"/>
    </row>
    <row r="1252" spans="1:1" ht="76.5">
      <c r="A1252" s="9" t="s">
        <v>2925</v>
      </c>
    </row>
    <row r="1253" spans="1:1">
      <c r="A1253" s="9" t="s">
        <v>2926</v>
      </c>
    </row>
    <row r="1254" spans="1:1">
      <c r="A1254" s="9" t="s">
        <v>2927</v>
      </c>
    </row>
    <row r="1255" spans="1:1">
      <c r="A1255" s="9" t="s">
        <v>2928</v>
      </c>
    </row>
    <row r="1256" spans="1:1">
      <c r="A1256" s="9" t="s">
        <v>1850</v>
      </c>
    </row>
    <row r="1257" spans="1:1">
      <c r="A1257" s="11"/>
    </row>
    <row r="1258" spans="1:1" ht="127.5">
      <c r="A1258" s="9" t="s">
        <v>2929</v>
      </c>
    </row>
    <row r="1259" spans="1:1" ht="25.5">
      <c r="A1259" s="9" t="s">
        <v>2930</v>
      </c>
    </row>
    <row r="1260" spans="1:1" ht="25.5">
      <c r="A1260" s="9" t="s">
        <v>2931</v>
      </c>
    </row>
    <row r="1261" spans="1:1" ht="25.5">
      <c r="A1261" s="9" t="s">
        <v>2932</v>
      </c>
    </row>
    <row r="1262" spans="1:1" ht="25.5">
      <c r="A1262" s="9" t="s">
        <v>2933</v>
      </c>
    </row>
    <row r="1263" spans="1:1">
      <c r="A1263" s="11"/>
    </row>
    <row r="1264" spans="1:1" ht="165.75">
      <c r="A1264" s="9" t="s">
        <v>2934</v>
      </c>
    </row>
    <row r="1265" spans="1:1" ht="63.75">
      <c r="A1265" s="9" t="s">
        <v>2935</v>
      </c>
    </row>
    <row r="1266" spans="1:1" ht="38.25">
      <c r="A1266" s="9" t="s">
        <v>2936</v>
      </c>
    </row>
    <row r="1267" spans="1:1">
      <c r="A1267" s="11"/>
    </row>
    <row r="1268" spans="1:1" ht="89.25">
      <c r="A1268" s="9" t="s">
        <v>2937</v>
      </c>
    </row>
    <row r="1269" spans="1:1" ht="25.5">
      <c r="A1269" s="9" t="s">
        <v>2938</v>
      </c>
    </row>
    <row r="1270" spans="1:1" ht="25.5">
      <c r="A1270" s="9" t="s">
        <v>2939</v>
      </c>
    </row>
    <row r="1271" spans="1:1" ht="25.5">
      <c r="A1271" s="9" t="s">
        <v>2940</v>
      </c>
    </row>
    <row r="1272" spans="1:1" ht="25.5">
      <c r="A1272" s="9" t="s">
        <v>2941</v>
      </c>
    </row>
    <row r="1273" spans="1:1">
      <c r="A1273" s="11"/>
    </row>
    <row r="1274" spans="1:1" ht="63.75">
      <c r="A1274" s="9" t="s">
        <v>2942</v>
      </c>
    </row>
    <row r="1275" spans="1:1" ht="25.5">
      <c r="A1275" s="9" t="s">
        <v>2943</v>
      </c>
    </row>
    <row r="1276" spans="1:1" ht="25.5">
      <c r="A1276" s="9" t="s">
        <v>2944</v>
      </c>
    </row>
    <row r="1277" spans="1:1" ht="25.5">
      <c r="A1277" s="9" t="s">
        <v>2945</v>
      </c>
    </row>
    <row r="1278" spans="1:1" ht="25.5">
      <c r="A1278" s="9" t="s">
        <v>2946</v>
      </c>
    </row>
    <row r="1279" spans="1:1">
      <c r="A1279" s="11"/>
    </row>
    <row r="1280" spans="1:1" ht="89.25">
      <c r="A1280" s="9" t="s">
        <v>2947</v>
      </c>
    </row>
    <row r="1281" spans="1:1" ht="51">
      <c r="A1281" s="9" t="s">
        <v>2948</v>
      </c>
    </row>
    <row r="1282" spans="1:1" ht="153">
      <c r="A1282" s="9" t="s">
        <v>2949</v>
      </c>
    </row>
    <row r="1283" spans="1:1">
      <c r="A1283" s="11"/>
    </row>
    <row r="1284" spans="1:1" ht="89.25">
      <c r="A1284" s="9" t="s">
        <v>2950</v>
      </c>
    </row>
    <row r="1285" spans="1:1">
      <c r="A1285" s="9" t="s">
        <v>2951</v>
      </c>
    </row>
    <row r="1286" spans="1:1">
      <c r="A1286" s="9" t="s">
        <v>2952</v>
      </c>
    </row>
    <row r="1287" spans="1:1">
      <c r="A1287" s="9" t="s">
        <v>2953</v>
      </c>
    </row>
    <row r="1288" spans="1:1">
      <c r="A1288" s="9" t="s">
        <v>2954</v>
      </c>
    </row>
    <row r="1289" spans="1:1">
      <c r="A1289" s="11"/>
    </row>
    <row r="1290" spans="1:1" ht="89.25">
      <c r="A1290" s="9" t="s">
        <v>2955</v>
      </c>
    </row>
    <row r="1291" spans="1:1" ht="25.5">
      <c r="A1291" s="9" t="s">
        <v>2956</v>
      </c>
    </row>
    <row r="1292" spans="1:1" ht="25.5">
      <c r="A1292" s="9" t="s">
        <v>2957</v>
      </c>
    </row>
    <row r="1293" spans="1:1">
      <c r="A1293" s="11"/>
    </row>
    <row r="1294" spans="1:1" ht="89.25">
      <c r="A1294" s="9" t="s">
        <v>2958</v>
      </c>
    </row>
    <row r="1295" spans="1:1" ht="25.5">
      <c r="A1295" s="9" t="s">
        <v>2959</v>
      </c>
    </row>
    <row r="1296" spans="1:1" ht="25.5">
      <c r="A1296" s="9" t="s">
        <v>2960</v>
      </c>
    </row>
    <row r="1297" spans="1:1" ht="25.5">
      <c r="A1297" s="9" t="s">
        <v>2961</v>
      </c>
    </row>
    <row r="1298" spans="1:1" ht="51">
      <c r="A1298" s="9" t="s">
        <v>2962</v>
      </c>
    </row>
    <row r="1299" spans="1:1">
      <c r="A1299" s="11"/>
    </row>
    <row r="1300" spans="1:1" ht="89.25">
      <c r="A1300" s="9" t="s">
        <v>2963</v>
      </c>
    </row>
    <row r="1301" spans="1:1" ht="38.25">
      <c r="A1301" s="9" t="s">
        <v>2964</v>
      </c>
    </row>
    <row r="1302" spans="1:1" ht="38.25">
      <c r="A1302" s="9" t="s">
        <v>2965</v>
      </c>
    </row>
    <row r="1303" spans="1:1" ht="25.5">
      <c r="A1303" s="9" t="s">
        <v>2966</v>
      </c>
    </row>
    <row r="1304" spans="1:1">
      <c r="A1304" s="9" t="s">
        <v>1788</v>
      </c>
    </row>
    <row r="1305" spans="1:1">
      <c r="A1305" s="11"/>
    </row>
    <row r="1306" spans="1:1" ht="114.75">
      <c r="A1306" s="9" t="s">
        <v>2967</v>
      </c>
    </row>
    <row r="1307" spans="1:1" ht="25.5">
      <c r="A1307" s="9" t="s">
        <v>2968</v>
      </c>
    </row>
    <row r="1308" spans="1:1" ht="25.5">
      <c r="A1308" s="9" t="s">
        <v>2969</v>
      </c>
    </row>
    <row r="1309" spans="1:1" ht="25.5">
      <c r="A1309" s="9" t="s">
        <v>2970</v>
      </c>
    </row>
    <row r="1310" spans="1:1">
      <c r="A1310" s="9" t="s">
        <v>1789</v>
      </c>
    </row>
    <row r="1311" spans="1:1">
      <c r="A1311" s="11"/>
    </row>
    <row r="1312" spans="1:1" ht="114.75">
      <c r="A1312" s="9" t="s">
        <v>2971</v>
      </c>
    </row>
    <row r="1313" spans="1:1">
      <c r="A1313" s="9" t="s">
        <v>2972</v>
      </c>
    </row>
    <row r="1314" spans="1:1">
      <c r="A1314" s="9" t="s">
        <v>2973</v>
      </c>
    </row>
    <row r="1315" spans="1:1">
      <c r="A1315" s="9" t="s">
        <v>2974</v>
      </c>
    </row>
    <row r="1316" spans="1:1">
      <c r="A1316" s="9" t="s">
        <v>1789</v>
      </c>
    </row>
    <row r="1317" spans="1:1">
      <c r="A1317" s="11"/>
    </row>
    <row r="1318" spans="1:1" ht="102">
      <c r="A1318" s="9" t="s">
        <v>2975</v>
      </c>
    </row>
    <row r="1319" spans="1:1" ht="25.5">
      <c r="A1319" s="9" t="s">
        <v>2976</v>
      </c>
    </row>
    <row r="1320" spans="1:1" ht="25.5">
      <c r="A1320" s="9" t="s">
        <v>2977</v>
      </c>
    </row>
    <row r="1321" spans="1:1" ht="25.5">
      <c r="A1321" s="9" t="s">
        <v>2978</v>
      </c>
    </row>
    <row r="1322" spans="1:1">
      <c r="A1322" s="9" t="s">
        <v>1788</v>
      </c>
    </row>
    <row r="1323" spans="1:1">
      <c r="A1323" s="11"/>
    </row>
    <row r="1324" spans="1:1" ht="63.75">
      <c r="A1324" s="9" t="s">
        <v>2979</v>
      </c>
    </row>
    <row r="1325" spans="1:1">
      <c r="A1325" s="9" t="s">
        <v>2980</v>
      </c>
    </row>
    <row r="1326" spans="1:1" ht="25.5">
      <c r="A1326" s="9" t="s">
        <v>2981</v>
      </c>
    </row>
    <row r="1327" spans="1:1">
      <c r="A1327" s="9" t="s">
        <v>2982</v>
      </c>
    </row>
    <row r="1328" spans="1:1" ht="25.5">
      <c r="A1328" s="9" t="s">
        <v>2983</v>
      </c>
    </row>
    <row r="1329" spans="1:1">
      <c r="A1329" s="11"/>
    </row>
    <row r="1330" spans="1:1" ht="76.5">
      <c r="A1330" s="9" t="s">
        <v>2984</v>
      </c>
    </row>
    <row r="1331" spans="1:1" ht="38.25">
      <c r="A1331" s="9" t="s">
        <v>2985</v>
      </c>
    </row>
    <row r="1332" spans="1:1">
      <c r="A1332" s="9" t="s">
        <v>2986</v>
      </c>
    </row>
    <row r="1333" spans="1:1">
      <c r="A1333" s="11"/>
    </row>
    <row r="1334" spans="1:1" ht="140.25">
      <c r="A1334" s="9" t="s">
        <v>2987</v>
      </c>
    </row>
    <row r="1335" spans="1:1">
      <c r="A1335" s="9" t="s">
        <v>2988</v>
      </c>
    </row>
    <row r="1336" spans="1:1">
      <c r="A1336" s="9" t="s">
        <v>2989</v>
      </c>
    </row>
    <row r="1337" spans="1:1">
      <c r="A1337" s="9" t="s">
        <v>2990</v>
      </c>
    </row>
    <row r="1338" spans="1:1" ht="51">
      <c r="A1338" s="9" t="s">
        <v>2991</v>
      </c>
    </row>
    <row r="1339" spans="1:1">
      <c r="A1339" s="11"/>
    </row>
    <row r="1340" spans="1:1" ht="89.25">
      <c r="A1340" s="9" t="s">
        <v>2992</v>
      </c>
    </row>
    <row r="1341" spans="1:1">
      <c r="A1341" s="9" t="s">
        <v>2993</v>
      </c>
    </row>
    <row r="1342" spans="1:1">
      <c r="A1342" s="9" t="s">
        <v>2994</v>
      </c>
    </row>
    <row r="1343" spans="1:1">
      <c r="A1343" s="9" t="s">
        <v>2995</v>
      </c>
    </row>
    <row r="1344" spans="1:1">
      <c r="A1344" s="9" t="s">
        <v>2996</v>
      </c>
    </row>
    <row r="1345" spans="1:1">
      <c r="A1345" s="11"/>
    </row>
    <row r="1346" spans="1:1" ht="51">
      <c r="A1346" s="9" t="s">
        <v>2997</v>
      </c>
    </row>
    <row r="1347" spans="1:1">
      <c r="A1347" s="9" t="s">
        <v>2998</v>
      </c>
    </row>
    <row r="1348" spans="1:1">
      <c r="A1348" s="9" t="s">
        <v>2999</v>
      </c>
    </row>
    <row r="1349" spans="1:1">
      <c r="A1349" s="9" t="s">
        <v>3000</v>
      </c>
    </row>
    <row r="1350" spans="1:1" ht="76.5">
      <c r="A1350" s="9" t="s">
        <v>3001</v>
      </c>
    </row>
    <row r="1351" spans="1:1">
      <c r="A1351" s="11"/>
    </row>
    <row r="1352" spans="1:1" ht="51">
      <c r="A1352" s="9" t="s">
        <v>3002</v>
      </c>
    </row>
    <row r="1353" spans="1:1">
      <c r="A1353" s="9" t="s">
        <v>3003</v>
      </c>
    </row>
    <row r="1354" spans="1:1">
      <c r="A1354" s="9" t="s">
        <v>3004</v>
      </c>
    </row>
    <row r="1355" spans="1:1">
      <c r="A1355" s="9" t="s">
        <v>3005</v>
      </c>
    </row>
    <row r="1356" spans="1:1" ht="38.25">
      <c r="A1356" s="9" t="s">
        <v>3006</v>
      </c>
    </row>
    <row r="1357" spans="1:1">
      <c r="A1357" s="11"/>
    </row>
    <row r="1358" spans="1:1" ht="153">
      <c r="A1358" s="9" t="s">
        <v>3007</v>
      </c>
    </row>
    <row r="1359" spans="1:1" ht="25.5">
      <c r="A1359" s="9" t="s">
        <v>3008</v>
      </c>
    </row>
    <row r="1360" spans="1:1">
      <c r="A1360" s="9" t="s">
        <v>1790</v>
      </c>
    </row>
    <row r="1361" spans="1:1">
      <c r="A1361" s="11"/>
    </row>
    <row r="1362" spans="1:1" ht="51">
      <c r="A1362" s="9" t="s">
        <v>3009</v>
      </c>
    </row>
    <row r="1363" spans="1:1" ht="38.25">
      <c r="A1363" s="9" t="s">
        <v>3010</v>
      </c>
    </row>
    <row r="1364" spans="1:1">
      <c r="A1364" s="9" t="s">
        <v>3011</v>
      </c>
    </row>
    <row r="1365" spans="1:1">
      <c r="A1365" s="11"/>
    </row>
    <row r="1366" spans="1:1" ht="38.25">
      <c r="A1366" s="9" t="s">
        <v>3012</v>
      </c>
    </row>
    <row r="1367" spans="1:1" ht="38.25">
      <c r="A1367" s="9" t="s">
        <v>3013</v>
      </c>
    </row>
    <row r="1368" spans="1:1">
      <c r="A1368" s="9" t="s">
        <v>3014</v>
      </c>
    </row>
    <row r="1369" spans="1:1">
      <c r="A1369" s="11"/>
    </row>
    <row r="1370" spans="1:1" ht="38.25">
      <c r="A1370" s="9" t="s">
        <v>3015</v>
      </c>
    </row>
    <row r="1371" spans="1:1" ht="25.5">
      <c r="A1371" s="9" t="s">
        <v>3016</v>
      </c>
    </row>
    <row r="1372" spans="1:1">
      <c r="A1372" s="9" t="s">
        <v>3017</v>
      </c>
    </row>
    <row r="1373" spans="1:1">
      <c r="A1373" s="11"/>
    </row>
    <row r="1374" spans="1:1" ht="51">
      <c r="A1374" s="9" t="s">
        <v>3018</v>
      </c>
    </row>
    <row r="1375" spans="1:1" ht="25.5">
      <c r="A1375" s="9" t="s">
        <v>3019</v>
      </c>
    </row>
    <row r="1376" spans="1:1">
      <c r="A1376" s="9" t="s">
        <v>3020</v>
      </c>
    </row>
    <row r="1377" spans="1:1">
      <c r="A1377" s="11"/>
    </row>
    <row r="1378" spans="1:1" ht="38.25">
      <c r="A1378" s="9" t="s">
        <v>3021</v>
      </c>
    </row>
    <row r="1379" spans="1:1" ht="38.25">
      <c r="A1379" s="9" t="s">
        <v>3022</v>
      </c>
    </row>
    <row r="1380" spans="1:1" ht="25.5">
      <c r="A1380" s="9" t="s">
        <v>3023</v>
      </c>
    </row>
    <row r="1381" spans="1:1">
      <c r="A1381" s="11"/>
    </row>
    <row r="1382" spans="1:1" ht="51">
      <c r="A1382" s="9" t="s">
        <v>3024</v>
      </c>
    </row>
    <row r="1383" spans="1:1">
      <c r="A1383" s="9" t="s">
        <v>3025</v>
      </c>
    </row>
    <row r="1384" spans="1:1">
      <c r="A1384" s="9" t="s">
        <v>3026</v>
      </c>
    </row>
    <row r="1385" spans="1:1">
      <c r="A1385" s="9" t="s">
        <v>3027</v>
      </c>
    </row>
    <row r="1386" spans="1:1" ht="38.25">
      <c r="A1386" s="9" t="s">
        <v>3028</v>
      </c>
    </row>
    <row r="1387" spans="1:1">
      <c r="A1387" s="11"/>
    </row>
    <row r="1388" spans="1:1" ht="51">
      <c r="A1388" s="9" t="s">
        <v>3029</v>
      </c>
    </row>
    <row r="1389" spans="1:1">
      <c r="A1389" s="9" t="s">
        <v>1285</v>
      </c>
    </row>
    <row r="1390" spans="1:1">
      <c r="A1390" s="9" t="s">
        <v>852</v>
      </c>
    </row>
    <row r="1391" spans="1:1">
      <c r="A1391" s="9" t="s">
        <v>3030</v>
      </c>
    </row>
    <row r="1392" spans="1:1" ht="51">
      <c r="A1392" s="9" t="s">
        <v>3031</v>
      </c>
    </row>
    <row r="1393" spans="1:1">
      <c r="A1393" s="11"/>
    </row>
    <row r="1394" spans="1:1" ht="63.75">
      <c r="A1394" s="9" t="s">
        <v>3032</v>
      </c>
    </row>
    <row r="1395" spans="1:1" ht="51">
      <c r="A1395" s="9" t="s">
        <v>3033</v>
      </c>
    </row>
    <row r="1396" spans="1:1" ht="25.5">
      <c r="A1396" s="9" t="s">
        <v>3034</v>
      </c>
    </row>
    <row r="1397" spans="1:1">
      <c r="A1397" s="11"/>
    </row>
    <row r="1398" spans="1:1" ht="178.5">
      <c r="A1398" s="9" t="s">
        <v>3035</v>
      </c>
    </row>
    <row r="1399" spans="1:1" ht="38.25">
      <c r="A1399" s="9" t="s">
        <v>3036</v>
      </c>
    </row>
    <row r="1400" spans="1:1" ht="63.75">
      <c r="A1400" s="9" t="s">
        <v>3037</v>
      </c>
    </row>
    <row r="1401" spans="1:1" ht="76.5">
      <c r="A1401" s="9" t="s">
        <v>3038</v>
      </c>
    </row>
    <row r="1402" spans="1:1">
      <c r="A1402" s="9" t="s">
        <v>1898</v>
      </c>
    </row>
    <row r="1403" spans="1:1">
      <c r="A1403" s="11"/>
    </row>
    <row r="1404" spans="1:1" ht="127.5">
      <c r="A1404" s="9" t="s">
        <v>3039</v>
      </c>
    </row>
    <row r="1405" spans="1:1">
      <c r="A1405" s="11"/>
    </row>
    <row r="1406" spans="1:1" ht="102">
      <c r="A1406" s="9" t="s">
        <v>3040</v>
      </c>
    </row>
    <row r="1407" spans="1:1" ht="25.5">
      <c r="A1407" s="9" t="s">
        <v>3041</v>
      </c>
    </row>
    <row r="1408" spans="1:1">
      <c r="A1408" s="9" t="s">
        <v>3042</v>
      </c>
    </row>
    <row r="1409" spans="1:1" ht="25.5">
      <c r="A1409" s="9" t="s">
        <v>3043</v>
      </c>
    </row>
    <row r="1410" spans="1:1">
      <c r="A1410" s="9" t="s">
        <v>3044</v>
      </c>
    </row>
    <row r="1411" spans="1:1">
      <c r="A1411" s="11"/>
    </row>
    <row r="1412" spans="1:1" ht="127.5">
      <c r="A1412" s="9" t="s">
        <v>3045</v>
      </c>
    </row>
    <row r="1413" spans="1:1">
      <c r="A1413" s="9" t="s">
        <v>3046</v>
      </c>
    </row>
    <row r="1414" spans="1:1">
      <c r="A1414" s="9" t="s">
        <v>3047</v>
      </c>
    </row>
    <row r="1415" spans="1:1">
      <c r="A1415" s="9" t="s">
        <v>3048</v>
      </c>
    </row>
    <row r="1416" spans="1:1" ht="25.5">
      <c r="A1416" s="9" t="s">
        <v>3049</v>
      </c>
    </row>
    <row r="1417" spans="1:1">
      <c r="A1417" s="11"/>
    </row>
    <row r="1418" spans="1:1" ht="153">
      <c r="A1418" s="9" t="s">
        <v>3050</v>
      </c>
    </row>
    <row r="1419" spans="1:1">
      <c r="A1419" s="9" t="s">
        <v>3051</v>
      </c>
    </row>
    <row r="1420" spans="1:1">
      <c r="A1420" s="9" t="s">
        <v>3052</v>
      </c>
    </row>
    <row r="1421" spans="1:1" ht="25.5">
      <c r="A1421" s="9" t="s">
        <v>3053</v>
      </c>
    </row>
    <row r="1422" spans="1:1" ht="25.5">
      <c r="A1422" s="9" t="s">
        <v>3054</v>
      </c>
    </row>
    <row r="1423" spans="1:1">
      <c r="A1423" s="11"/>
    </row>
    <row r="1424" spans="1:1" ht="102">
      <c r="A1424" s="9" t="s">
        <v>3055</v>
      </c>
    </row>
    <row r="1425" spans="1:1">
      <c r="A1425" s="9" t="s">
        <v>3056</v>
      </c>
    </row>
    <row r="1426" spans="1:1" ht="25.5">
      <c r="A1426" s="9" t="s">
        <v>3057</v>
      </c>
    </row>
    <row r="1427" spans="1:1" ht="25.5">
      <c r="A1427" s="9" t="s">
        <v>3058</v>
      </c>
    </row>
    <row r="1428" spans="1:1" ht="25.5">
      <c r="A1428" s="9" t="s">
        <v>3059</v>
      </c>
    </row>
    <row r="1429" spans="1:1">
      <c r="A1429" s="11"/>
    </row>
    <row r="1430" spans="1:1" ht="76.5">
      <c r="A1430" s="9" t="s">
        <v>3060</v>
      </c>
    </row>
    <row r="1431" spans="1:1" ht="38.25">
      <c r="A1431" s="9" t="s">
        <v>3061</v>
      </c>
    </row>
    <row r="1432" spans="1:1">
      <c r="A1432" s="9" t="s">
        <v>3062</v>
      </c>
    </row>
    <row r="1433" spans="1:1">
      <c r="A1433" s="9" t="s">
        <v>3063</v>
      </c>
    </row>
    <row r="1434" spans="1:1">
      <c r="A1434" s="9" t="s">
        <v>3064</v>
      </c>
    </row>
    <row r="1435" spans="1:1" ht="25.5">
      <c r="A1435" s="9" t="s">
        <v>3065</v>
      </c>
    </row>
    <row r="1436" spans="1:1">
      <c r="A1436" s="11"/>
    </row>
    <row r="1437" spans="1:1" ht="76.5">
      <c r="A1437" s="9" t="s">
        <v>3066</v>
      </c>
    </row>
    <row r="1438" spans="1:1">
      <c r="A1438" s="9" t="s">
        <v>3067</v>
      </c>
    </row>
    <row r="1439" spans="1:1">
      <c r="A1439" s="9" t="s">
        <v>3068</v>
      </c>
    </row>
    <row r="1440" spans="1:1">
      <c r="A1440" s="9" t="s">
        <v>3069</v>
      </c>
    </row>
    <row r="1441" spans="1:1">
      <c r="A1441" s="9" t="s">
        <v>2070</v>
      </c>
    </row>
    <row r="1442" spans="1:1">
      <c r="A1442" s="11"/>
    </row>
    <row r="1443" spans="1:1" ht="76.5">
      <c r="A1443" s="9" t="s">
        <v>3070</v>
      </c>
    </row>
    <row r="1444" spans="1:1" ht="25.5">
      <c r="A1444" s="9" t="s">
        <v>3071</v>
      </c>
    </row>
    <row r="1445" spans="1:1" ht="25.5">
      <c r="A1445" s="9" t="s">
        <v>3072</v>
      </c>
    </row>
    <row r="1446" spans="1:1" ht="25.5">
      <c r="A1446" s="9" t="s">
        <v>3073</v>
      </c>
    </row>
    <row r="1447" spans="1:1">
      <c r="A1447" s="9" t="s">
        <v>3074</v>
      </c>
    </row>
    <row r="1448" spans="1:1">
      <c r="A1448" s="11"/>
    </row>
    <row r="1449" spans="1:1" ht="51">
      <c r="A1449" s="9" t="s">
        <v>3075</v>
      </c>
    </row>
    <row r="1450" spans="1:1" ht="25.5">
      <c r="A1450" s="9" t="s">
        <v>3076</v>
      </c>
    </row>
    <row r="1451" spans="1:1">
      <c r="A1451" s="9" t="s">
        <v>3077</v>
      </c>
    </row>
    <row r="1452" spans="1:1">
      <c r="A1452" s="11"/>
    </row>
    <row r="1453" spans="1:1" ht="89.25">
      <c r="A1453" s="9" t="s">
        <v>3078</v>
      </c>
    </row>
    <row r="1454" spans="1:1" ht="25.5">
      <c r="A1454" s="9" t="s">
        <v>3079</v>
      </c>
    </row>
    <row r="1455" spans="1:1" ht="25.5">
      <c r="A1455" s="9" t="s">
        <v>3080</v>
      </c>
    </row>
    <row r="1456" spans="1:1" ht="25.5">
      <c r="A1456" s="9" t="s">
        <v>3081</v>
      </c>
    </row>
    <row r="1457" spans="1:1" ht="38.25">
      <c r="A1457" s="9" t="s">
        <v>3082</v>
      </c>
    </row>
    <row r="1458" spans="1:1">
      <c r="A1458" s="11"/>
    </row>
    <row r="1459" spans="1:1" ht="127.5">
      <c r="A1459" s="9" t="s">
        <v>3083</v>
      </c>
    </row>
    <row r="1460" spans="1:1">
      <c r="A1460" s="9" t="s">
        <v>1656</v>
      </c>
    </row>
    <row r="1461" spans="1:1">
      <c r="A1461" s="9" t="s">
        <v>1657</v>
      </c>
    </row>
    <row r="1462" spans="1:1">
      <c r="A1462" s="9" t="s">
        <v>1658</v>
      </c>
    </row>
    <row r="1463" spans="1:1">
      <c r="A1463" s="9" t="s">
        <v>3084</v>
      </c>
    </row>
    <row r="1464" spans="1:1">
      <c r="A1464" s="11"/>
    </row>
    <row r="1465" spans="1:1" ht="51">
      <c r="A1465" s="9" t="s">
        <v>3085</v>
      </c>
    </row>
    <row r="1466" spans="1:1" ht="63.75">
      <c r="A1466" s="9" t="s">
        <v>3086</v>
      </c>
    </row>
    <row r="1467" spans="1:1" ht="25.5">
      <c r="A1467" s="9" t="s">
        <v>3087</v>
      </c>
    </row>
    <row r="1468" spans="1:1">
      <c r="A1468" s="11"/>
    </row>
    <row r="1469" spans="1:1" ht="51">
      <c r="A1469" s="9" t="s">
        <v>3088</v>
      </c>
    </row>
    <row r="1470" spans="1:1" ht="25.5">
      <c r="A1470" s="9" t="s">
        <v>3089</v>
      </c>
    </row>
    <row r="1471" spans="1:1" ht="25.5">
      <c r="A1471" s="9" t="s">
        <v>3090</v>
      </c>
    </row>
    <row r="1472" spans="1:1">
      <c r="A1472" s="11"/>
    </row>
    <row r="1473" spans="1:1" ht="38.25">
      <c r="A1473" s="9" t="s">
        <v>3091</v>
      </c>
    </row>
    <row r="1474" spans="1:1" ht="38.25">
      <c r="A1474" s="9" t="s">
        <v>3092</v>
      </c>
    </row>
    <row r="1475" spans="1:1">
      <c r="A1475" s="9" t="s">
        <v>3093</v>
      </c>
    </row>
    <row r="1476" spans="1:1">
      <c r="A1476" s="9" t="s">
        <v>3094</v>
      </c>
    </row>
    <row r="1477" spans="1:1">
      <c r="A1477" s="9" t="s">
        <v>3095</v>
      </c>
    </row>
    <row r="1478" spans="1:1" ht="25.5">
      <c r="A1478" s="9" t="s">
        <v>3096</v>
      </c>
    </row>
    <row r="1479" spans="1:1">
      <c r="A1479" s="11"/>
    </row>
    <row r="1480" spans="1:1" ht="63.75">
      <c r="A1480" s="9" t="s">
        <v>3097</v>
      </c>
    </row>
    <row r="1481" spans="1:1" ht="38.25">
      <c r="A1481" s="9" t="s">
        <v>3098</v>
      </c>
    </row>
    <row r="1482" spans="1:1" ht="25.5">
      <c r="A1482" s="9" t="s">
        <v>3099</v>
      </c>
    </row>
    <row r="1483" spans="1:1">
      <c r="A1483" s="11"/>
    </row>
    <row r="1484" spans="1:1" ht="89.25">
      <c r="A1484" s="9" t="s">
        <v>3100</v>
      </c>
    </row>
    <row r="1485" spans="1:1" ht="38.25">
      <c r="A1485" s="9" t="s">
        <v>3101</v>
      </c>
    </row>
    <row r="1486" spans="1:1" ht="25.5">
      <c r="A1486" s="9" t="s">
        <v>3102</v>
      </c>
    </row>
    <row r="1487" spans="1:1">
      <c r="A1487" s="11"/>
    </row>
    <row r="1488" spans="1:1" ht="102">
      <c r="A1488" s="9" t="s">
        <v>3103</v>
      </c>
    </row>
    <row r="1489" spans="1:1" ht="63.75">
      <c r="A1489" s="9" t="s">
        <v>3104</v>
      </c>
    </row>
    <row r="1490" spans="1:1" ht="38.25">
      <c r="A1490" s="9" t="s">
        <v>3105</v>
      </c>
    </row>
    <row r="1491" spans="1:1">
      <c r="A1491" s="11"/>
    </row>
    <row r="1492" spans="1:1" ht="63.75">
      <c r="A1492" s="9" t="s">
        <v>3106</v>
      </c>
    </row>
    <row r="1493" spans="1:1" ht="25.5">
      <c r="A1493" s="9" t="s">
        <v>3107</v>
      </c>
    </row>
    <row r="1494" spans="1:1" ht="25.5">
      <c r="A1494" s="9" t="s">
        <v>3108</v>
      </c>
    </row>
    <row r="1495" spans="1:1">
      <c r="A1495" s="11"/>
    </row>
    <row r="1496" spans="1:1" ht="127.5">
      <c r="A1496" s="9" t="s">
        <v>3109</v>
      </c>
    </row>
    <row r="1497" spans="1:1" ht="51">
      <c r="A1497" s="9" t="s">
        <v>3110</v>
      </c>
    </row>
    <row r="1498" spans="1:1" ht="25.5">
      <c r="A1498" s="9" t="s">
        <v>3111</v>
      </c>
    </row>
    <row r="1499" spans="1:1">
      <c r="A1499" s="11"/>
    </row>
    <row r="1500" spans="1:1" ht="51">
      <c r="A1500" s="9" t="s">
        <v>3112</v>
      </c>
    </row>
    <row r="1501" spans="1:1" ht="63.75">
      <c r="A1501" s="9" t="s">
        <v>3113</v>
      </c>
    </row>
    <row r="1502" spans="1:1" ht="25.5">
      <c r="A1502" s="9" t="s">
        <v>3114</v>
      </c>
    </row>
    <row r="1503" spans="1:1">
      <c r="A1503" s="11"/>
    </row>
    <row r="1504" spans="1:1" ht="51">
      <c r="A1504" s="9" t="s">
        <v>3112</v>
      </c>
    </row>
    <row r="1505" spans="1:1" ht="38.25">
      <c r="A1505" s="9" t="s">
        <v>3115</v>
      </c>
    </row>
    <row r="1506" spans="1:1" ht="25.5">
      <c r="A1506" s="9" t="s">
        <v>3116</v>
      </c>
    </row>
    <row r="1507" spans="1:1">
      <c r="A1507" s="11"/>
    </row>
    <row r="1508" spans="1:1" ht="51">
      <c r="A1508" s="9" t="s">
        <v>3117</v>
      </c>
    </row>
    <row r="1509" spans="1:1" ht="38.25">
      <c r="A1509" s="9" t="s">
        <v>3118</v>
      </c>
    </row>
    <row r="1510" spans="1:1">
      <c r="A1510" s="9" t="s">
        <v>3119</v>
      </c>
    </row>
    <row r="1511" spans="1:1">
      <c r="A1511" s="11"/>
    </row>
    <row r="1512" spans="1:1" ht="63.75">
      <c r="A1512" s="9" t="s">
        <v>3120</v>
      </c>
    </row>
    <row r="1513" spans="1:1">
      <c r="A1513" s="9" t="s">
        <v>3121</v>
      </c>
    </row>
    <row r="1514" spans="1:1">
      <c r="A1514" s="9" t="s">
        <v>3122</v>
      </c>
    </row>
    <row r="1515" spans="1:1">
      <c r="A1515" s="9" t="s">
        <v>3123</v>
      </c>
    </row>
    <row r="1516" spans="1:1" ht="25.5">
      <c r="A1516" s="9" t="s">
        <v>3124</v>
      </c>
    </row>
    <row r="1517" spans="1:1">
      <c r="A1517" s="11"/>
    </row>
    <row r="1518" spans="1:1" ht="114.75">
      <c r="A1518" s="9" t="s">
        <v>3125</v>
      </c>
    </row>
    <row r="1519" spans="1:1">
      <c r="A1519" s="9" t="s">
        <v>3126</v>
      </c>
    </row>
    <row r="1520" spans="1:1">
      <c r="A1520" s="9" t="s">
        <v>3127</v>
      </c>
    </row>
    <row r="1521" spans="1:1">
      <c r="A1521" s="9" t="s">
        <v>3128</v>
      </c>
    </row>
    <row r="1522" spans="1:1">
      <c r="A1522" s="9" t="s">
        <v>3129</v>
      </c>
    </row>
    <row r="1523" spans="1:1">
      <c r="A1523" s="11"/>
    </row>
    <row r="1524" spans="1:1" ht="51">
      <c r="A1524" s="9" t="s">
        <v>3130</v>
      </c>
    </row>
    <row r="1525" spans="1:1">
      <c r="A1525" s="9" t="s">
        <v>3131</v>
      </c>
    </row>
    <row r="1526" spans="1:1">
      <c r="A1526" s="9" t="s">
        <v>3132</v>
      </c>
    </row>
    <row r="1527" spans="1:1">
      <c r="A1527" s="9" t="s">
        <v>3133</v>
      </c>
    </row>
    <row r="1528" spans="1:1" ht="25.5">
      <c r="A1528" s="9" t="s">
        <v>3134</v>
      </c>
    </row>
    <row r="1529" spans="1:1">
      <c r="A1529" s="11"/>
    </row>
    <row r="1530" spans="1:1" ht="63.75">
      <c r="A1530" s="9" t="s">
        <v>3135</v>
      </c>
    </row>
    <row r="1531" spans="1:1">
      <c r="A1531" s="9" t="s">
        <v>3136</v>
      </c>
    </row>
    <row r="1532" spans="1:1">
      <c r="A1532" s="9" t="s">
        <v>2846</v>
      </c>
    </row>
    <row r="1533" spans="1:1">
      <c r="A1533" s="9" t="s">
        <v>2442</v>
      </c>
    </row>
    <row r="1534" spans="1:1" ht="25.5">
      <c r="A1534" s="9" t="s">
        <v>3137</v>
      </c>
    </row>
    <row r="1535" spans="1:1">
      <c r="A1535" s="11"/>
    </row>
    <row r="1536" spans="1:1" ht="127.5">
      <c r="A1536" s="9" t="s">
        <v>3138</v>
      </c>
    </row>
    <row r="1537" spans="1:1">
      <c r="A1537" s="9" t="s">
        <v>3139</v>
      </c>
    </row>
    <row r="1538" spans="1:1" ht="25.5">
      <c r="A1538" s="9" t="s">
        <v>3140</v>
      </c>
    </row>
    <row r="1539" spans="1:1" ht="25.5">
      <c r="A1539" s="9" t="s">
        <v>3141</v>
      </c>
    </row>
    <row r="1540" spans="1:1" ht="25.5">
      <c r="A1540" s="9" t="s">
        <v>3142</v>
      </c>
    </row>
    <row r="1541" spans="1:1">
      <c r="A1541" s="11"/>
    </row>
    <row r="1542" spans="1:1" ht="63.75">
      <c r="A1542" s="9" t="s">
        <v>3143</v>
      </c>
    </row>
    <row r="1543" spans="1:1">
      <c r="A1543" s="9" t="s">
        <v>3144</v>
      </c>
    </row>
    <row r="1544" spans="1:1" ht="25.5">
      <c r="A1544" s="9" t="s">
        <v>3145</v>
      </c>
    </row>
    <row r="1545" spans="1:1" ht="25.5">
      <c r="A1545" s="9" t="s">
        <v>3146</v>
      </c>
    </row>
    <row r="1546" spans="1:1" ht="25.5">
      <c r="A1546" s="9" t="s">
        <v>3147</v>
      </c>
    </row>
    <row r="1547" spans="1:1">
      <c r="A1547" s="11"/>
    </row>
    <row r="1548" spans="1:1" ht="89.25">
      <c r="A1548" s="9" t="s">
        <v>3148</v>
      </c>
    </row>
    <row r="1549" spans="1:1">
      <c r="A1549" s="9" t="s">
        <v>3149</v>
      </c>
    </row>
    <row r="1550" spans="1:1">
      <c r="A1550" s="9" t="s">
        <v>3150</v>
      </c>
    </row>
    <row r="1551" spans="1:1">
      <c r="A1551" s="9" t="s">
        <v>3151</v>
      </c>
    </row>
    <row r="1552" spans="1:1" ht="25.5">
      <c r="A1552" s="9" t="s">
        <v>3152</v>
      </c>
    </row>
    <row r="1553" spans="1:1">
      <c r="A1553" s="11"/>
    </row>
    <row r="1554" spans="1:1" ht="127.5">
      <c r="A1554" s="9" t="s">
        <v>3153</v>
      </c>
    </row>
    <row r="1555" spans="1:1">
      <c r="A1555" s="9" t="s">
        <v>3154</v>
      </c>
    </row>
    <row r="1556" spans="1:1">
      <c r="A1556" s="9" t="s">
        <v>3155</v>
      </c>
    </row>
    <row r="1557" spans="1:1" ht="25.5">
      <c r="A1557" s="9" t="s">
        <v>3156</v>
      </c>
    </row>
    <row r="1558" spans="1:1" ht="25.5">
      <c r="A1558" s="9" t="s">
        <v>3157</v>
      </c>
    </row>
    <row r="1559" spans="1:1">
      <c r="A1559" s="11"/>
    </row>
    <row r="1560" spans="1:1" ht="51">
      <c r="A1560" s="9" t="s">
        <v>3158</v>
      </c>
    </row>
    <row r="1561" spans="1:1" ht="89.25">
      <c r="A1561" s="9" t="s">
        <v>3159</v>
      </c>
    </row>
    <row r="1562" spans="1:1" ht="25.5">
      <c r="A1562" s="9" t="s">
        <v>3160</v>
      </c>
    </row>
    <row r="1563" spans="1:1">
      <c r="A1563" s="11"/>
    </row>
    <row r="1564" spans="1:1" ht="63.75">
      <c r="A1564" s="9" t="s">
        <v>3161</v>
      </c>
    </row>
    <row r="1565" spans="1:1" ht="140.25">
      <c r="A1565" s="9" t="s">
        <v>3162</v>
      </c>
    </row>
    <row r="1566" spans="1:1" ht="63.75">
      <c r="A1566" s="9" t="s">
        <v>3163</v>
      </c>
    </row>
    <row r="1567" spans="1:1">
      <c r="A1567" s="11"/>
    </row>
    <row r="1568" spans="1:1" ht="127.5">
      <c r="A1568" s="9" t="s">
        <v>3164</v>
      </c>
    </row>
    <row r="1569" spans="1:1" ht="25.5">
      <c r="A1569" s="9" t="s">
        <v>3165</v>
      </c>
    </row>
    <row r="1570" spans="1:1">
      <c r="A1570" s="9" t="s">
        <v>3166</v>
      </c>
    </row>
    <row r="1571" spans="1:1">
      <c r="A1571" s="11"/>
    </row>
    <row r="1572" spans="1:1" ht="63.75">
      <c r="A1572" s="9" t="s">
        <v>3167</v>
      </c>
    </row>
    <row r="1573" spans="1:1" ht="38.25">
      <c r="A1573" s="9" t="s">
        <v>3168</v>
      </c>
    </row>
    <row r="1574" spans="1:1" ht="25.5">
      <c r="A1574" s="9" t="s">
        <v>3169</v>
      </c>
    </row>
    <row r="1575" spans="1:1">
      <c r="A1575" s="11"/>
    </row>
    <row r="1576" spans="1:1" ht="38.25">
      <c r="A1576" s="9" t="s">
        <v>3170</v>
      </c>
    </row>
    <row r="1577" spans="1:1" ht="178.5">
      <c r="A1577" s="9" t="s">
        <v>3171</v>
      </c>
    </row>
    <row r="1578" spans="1:1" ht="63.75">
      <c r="A1578" s="9" t="s">
        <v>3172</v>
      </c>
    </row>
    <row r="1579" spans="1:1" ht="63.75">
      <c r="A1579" s="9" t="s">
        <v>3173</v>
      </c>
    </row>
    <row r="1580" spans="1:1">
      <c r="A1580" s="11"/>
    </row>
    <row r="1581" spans="1:1" ht="89.25">
      <c r="A1581" s="9" t="s">
        <v>3174</v>
      </c>
    </row>
    <row r="1582" spans="1:1" ht="114.75">
      <c r="A1582" s="9" t="s">
        <v>3175</v>
      </c>
    </row>
    <row r="1583" spans="1:1" ht="51">
      <c r="A1583" s="9" t="s">
        <v>3176</v>
      </c>
    </row>
    <row r="1584" spans="1:1">
      <c r="A1584" s="11"/>
    </row>
    <row r="1585" spans="1:1" ht="127.5">
      <c r="A1585" s="9" t="s">
        <v>3177</v>
      </c>
    </row>
    <row r="1586" spans="1:1" ht="25.5">
      <c r="A1586" s="9" t="s">
        <v>3178</v>
      </c>
    </row>
    <row r="1587" spans="1:1">
      <c r="A1587" s="9" t="s">
        <v>3179</v>
      </c>
    </row>
    <row r="1588" spans="1:1">
      <c r="A1588" s="11"/>
    </row>
    <row r="1589" spans="1:1" ht="102">
      <c r="A1589" s="9" t="s">
        <v>3180</v>
      </c>
    </row>
    <row r="1590" spans="1:1">
      <c r="A1590" s="9" t="s">
        <v>3181</v>
      </c>
    </row>
    <row r="1591" spans="1:1" ht="25.5">
      <c r="A1591" s="9" t="s">
        <v>3182</v>
      </c>
    </row>
    <row r="1592" spans="1:1" ht="76.5">
      <c r="A1592" s="9" t="s">
        <v>3183</v>
      </c>
    </row>
    <row r="1593" spans="1:1">
      <c r="A1593" s="11"/>
    </row>
    <row r="1594" spans="1:1" ht="63.75">
      <c r="A1594" s="9" t="s">
        <v>3184</v>
      </c>
    </row>
    <row r="1595" spans="1:1" ht="38.25">
      <c r="A1595" s="9" t="s">
        <v>3185</v>
      </c>
    </row>
    <row r="1596" spans="1:1" ht="25.5">
      <c r="A1596" s="9" t="s">
        <v>3186</v>
      </c>
    </row>
    <row r="1597" spans="1:1">
      <c r="A1597" s="11"/>
    </row>
    <row r="1598" spans="1:1" ht="51">
      <c r="A1598" s="9" t="s">
        <v>3187</v>
      </c>
    </row>
    <row r="1599" spans="1:1" ht="25.5">
      <c r="A1599" s="9" t="s">
        <v>3188</v>
      </c>
    </row>
    <row r="1600" spans="1:1">
      <c r="A1600" s="9" t="s">
        <v>3189</v>
      </c>
    </row>
    <row r="1601" spans="1:1">
      <c r="A1601" s="11"/>
    </row>
    <row r="1602" spans="1:1" ht="165.75">
      <c r="A1602" s="9" t="s">
        <v>3190</v>
      </c>
    </row>
    <row r="1603" spans="1:1" ht="51">
      <c r="A1603" s="9" t="s">
        <v>3191</v>
      </c>
    </row>
    <row r="1604" spans="1:1" ht="25.5">
      <c r="A1604" s="9" t="s">
        <v>3192</v>
      </c>
    </row>
    <row r="1605" spans="1:1">
      <c r="A1605" s="11"/>
    </row>
    <row r="1606" spans="1:1" ht="102">
      <c r="A1606" s="9" t="s">
        <v>3193</v>
      </c>
    </row>
    <row r="1607" spans="1:1">
      <c r="A1607" s="9" t="s">
        <v>3194</v>
      </c>
    </row>
    <row r="1608" spans="1:1">
      <c r="A1608" s="9" t="s">
        <v>3195</v>
      </c>
    </row>
    <row r="1609" spans="1:1">
      <c r="A1609" s="9" t="s">
        <v>3196</v>
      </c>
    </row>
    <row r="1610" spans="1:1" ht="25.5">
      <c r="A1610" s="9" t="s">
        <v>3197</v>
      </c>
    </row>
    <row r="1611" spans="1:1">
      <c r="A1611" s="11"/>
    </row>
    <row r="1612" spans="1:1" ht="140.25">
      <c r="A1612" s="9" t="s">
        <v>3198</v>
      </c>
    </row>
    <row r="1613" spans="1:1" ht="63.75">
      <c r="A1613" s="9" t="s">
        <v>3199</v>
      </c>
    </row>
    <row r="1614" spans="1:1" ht="25.5">
      <c r="A1614" s="9" t="s">
        <v>3200</v>
      </c>
    </row>
    <row r="1615" spans="1:1">
      <c r="A1615" s="11"/>
    </row>
    <row r="1616" spans="1:1" ht="89.25">
      <c r="A1616" s="9" t="s">
        <v>3201</v>
      </c>
    </row>
    <row r="1617" spans="1:1" ht="38.25">
      <c r="A1617" s="9" t="s">
        <v>3202</v>
      </c>
    </row>
    <row r="1618" spans="1:1">
      <c r="A1618" s="9" t="s">
        <v>3203</v>
      </c>
    </row>
    <row r="1619" spans="1:1">
      <c r="A1619" s="11"/>
    </row>
    <row r="1620" spans="1:1" ht="51">
      <c r="A1620" s="9" t="s">
        <v>3204</v>
      </c>
    </row>
    <row r="1621" spans="1:1">
      <c r="A1621" s="9" t="s">
        <v>555</v>
      </c>
    </row>
    <row r="1622" spans="1:1">
      <c r="A1622" s="9" t="s">
        <v>852</v>
      </c>
    </row>
    <row r="1623" spans="1:1">
      <c r="A1623" s="9" t="s">
        <v>1812</v>
      </c>
    </row>
    <row r="1624" spans="1:1">
      <c r="A1624" s="9" t="s">
        <v>3205</v>
      </c>
    </row>
    <row r="1625" spans="1:1">
      <c r="A1625" s="11"/>
    </row>
    <row r="1626" spans="1:1" ht="76.5">
      <c r="A1626" s="9" t="s">
        <v>3206</v>
      </c>
    </row>
    <row r="1627" spans="1:1">
      <c r="A1627" s="9" t="s">
        <v>3207</v>
      </c>
    </row>
    <row r="1628" spans="1:1">
      <c r="A1628" s="9" t="s">
        <v>3208</v>
      </c>
    </row>
    <row r="1629" spans="1:1">
      <c r="A1629" s="9" t="s">
        <v>56</v>
      </c>
    </row>
    <row r="1630" spans="1:1">
      <c r="A1630" s="11"/>
    </row>
    <row r="1631" spans="1:1" ht="63.75">
      <c r="A1631" s="9" t="s">
        <v>3209</v>
      </c>
    </row>
    <row r="1632" spans="1:1">
      <c r="A1632" s="9" t="s">
        <v>1305</v>
      </c>
    </row>
    <row r="1633" spans="1:1">
      <c r="A1633" s="9" t="s">
        <v>3210</v>
      </c>
    </row>
    <row r="1634" spans="1:1">
      <c r="A1634" s="9" t="s">
        <v>3211</v>
      </c>
    </row>
    <row r="1635" spans="1:1" ht="25.5">
      <c r="A1635" s="9" t="s">
        <v>3212</v>
      </c>
    </row>
    <row r="1636" spans="1:1">
      <c r="A1636" s="11"/>
    </row>
    <row r="1637" spans="1:1" ht="114.75">
      <c r="A1637" s="9" t="s">
        <v>3213</v>
      </c>
    </row>
    <row r="1638" spans="1:1">
      <c r="A1638" s="9" t="s">
        <v>3214</v>
      </c>
    </row>
    <row r="1639" spans="1:1">
      <c r="A1639" s="9" t="s">
        <v>3215</v>
      </c>
    </row>
    <row r="1640" spans="1:1">
      <c r="A1640" s="9" t="s">
        <v>3216</v>
      </c>
    </row>
    <row r="1641" spans="1:1" ht="25.5">
      <c r="A1641" s="9" t="s">
        <v>3217</v>
      </c>
    </row>
    <row r="1642" spans="1:1">
      <c r="A1642" s="11"/>
    </row>
    <row r="1643" spans="1:1" ht="51">
      <c r="A1643" s="9" t="s">
        <v>3218</v>
      </c>
    </row>
    <row r="1644" spans="1:1">
      <c r="A1644" s="9" t="s">
        <v>3219</v>
      </c>
    </row>
    <row r="1645" spans="1:1">
      <c r="A1645" s="9" t="s">
        <v>3220</v>
      </c>
    </row>
    <row r="1646" spans="1:1">
      <c r="A1646" s="9" t="s">
        <v>3221</v>
      </c>
    </row>
    <row r="1647" spans="1:1" ht="25.5">
      <c r="A1647" s="9" t="s">
        <v>3222</v>
      </c>
    </row>
    <row r="1648" spans="1:1">
      <c r="A1648" s="11"/>
    </row>
    <row r="1649" spans="1:1" ht="38.25">
      <c r="A1649" s="9" t="s">
        <v>3223</v>
      </c>
    </row>
    <row r="1650" spans="1:1" ht="63.75">
      <c r="A1650" s="9" t="s">
        <v>3224</v>
      </c>
    </row>
    <row r="1651" spans="1:1" ht="38.25">
      <c r="A1651" s="9" t="s">
        <v>3225</v>
      </c>
    </row>
    <row r="1652" spans="1:1">
      <c r="A1652" s="11"/>
    </row>
    <row r="1653" spans="1:1" ht="51">
      <c r="A1653" s="9" t="s">
        <v>3226</v>
      </c>
    </row>
    <row r="1654" spans="1:1">
      <c r="A1654" s="9" t="s">
        <v>3227</v>
      </c>
    </row>
    <row r="1655" spans="1:1">
      <c r="A1655" s="9" t="s">
        <v>3228</v>
      </c>
    </row>
    <row r="1656" spans="1:1">
      <c r="A1656" s="9" t="s">
        <v>3229</v>
      </c>
    </row>
    <row r="1657" spans="1:1" ht="25.5">
      <c r="A1657" s="9" t="s">
        <v>3230</v>
      </c>
    </row>
    <row r="1658" spans="1:1">
      <c r="A1658" s="11"/>
    </row>
    <row r="1659" spans="1:1" ht="127.5">
      <c r="A1659" s="9" t="s">
        <v>3231</v>
      </c>
    </row>
    <row r="1660" spans="1:1">
      <c r="A1660" s="9" t="s">
        <v>3232</v>
      </c>
    </row>
    <row r="1661" spans="1:1">
      <c r="A1661" s="9" t="s">
        <v>3233</v>
      </c>
    </row>
    <row r="1662" spans="1:1">
      <c r="A1662" s="9" t="s">
        <v>3234</v>
      </c>
    </row>
    <row r="1663" spans="1:1" ht="25.5">
      <c r="A1663" s="9" t="s">
        <v>3235</v>
      </c>
    </row>
    <row r="1664" spans="1:1">
      <c r="A1664" s="11"/>
    </row>
    <row r="1665" spans="1:1" ht="63.75">
      <c r="A1665" s="9" t="s">
        <v>3236</v>
      </c>
    </row>
    <row r="1666" spans="1:1" ht="38.25">
      <c r="A1666" s="9" t="s">
        <v>3237</v>
      </c>
    </row>
    <row r="1667" spans="1:1" ht="25.5">
      <c r="A1667" s="9" t="s">
        <v>3238</v>
      </c>
    </row>
    <row r="1668" spans="1:1">
      <c r="A1668" s="11"/>
    </row>
    <row r="1669" spans="1:1" ht="76.5">
      <c r="A1669" s="9" t="s">
        <v>3239</v>
      </c>
    </row>
    <row r="1670" spans="1:1">
      <c r="A1670" s="9" t="s">
        <v>3240</v>
      </c>
    </row>
    <row r="1671" spans="1:1">
      <c r="A1671" s="9" t="s">
        <v>3241</v>
      </c>
    </row>
    <row r="1672" spans="1:1">
      <c r="A1672" s="9" t="s">
        <v>3242</v>
      </c>
    </row>
    <row r="1673" spans="1:1" ht="114.75">
      <c r="A1673" s="9" t="s">
        <v>3243</v>
      </c>
    </row>
    <row r="1674" spans="1:1">
      <c r="A1674" s="11"/>
    </row>
    <row r="1675" spans="1:1" ht="102">
      <c r="A1675" s="9" t="s">
        <v>3244</v>
      </c>
    </row>
    <row r="1676" spans="1:1">
      <c r="A1676" s="9" t="s">
        <v>3245</v>
      </c>
    </row>
    <row r="1677" spans="1:1">
      <c r="A1677" s="9" t="s">
        <v>3246</v>
      </c>
    </row>
    <row r="1678" spans="1:1">
      <c r="A1678" s="9" t="s">
        <v>3247</v>
      </c>
    </row>
    <row r="1679" spans="1:1">
      <c r="A1679" s="9" t="s">
        <v>3248</v>
      </c>
    </row>
    <row r="1680" spans="1:1">
      <c r="A1680" s="11"/>
    </row>
    <row r="1681" spans="1:1" ht="89.25">
      <c r="A1681" s="9" t="s">
        <v>3249</v>
      </c>
    </row>
    <row r="1682" spans="1:1" ht="25.5">
      <c r="A1682" s="9" t="s">
        <v>3250</v>
      </c>
    </row>
    <row r="1683" spans="1:1" ht="25.5">
      <c r="A1683" s="9" t="s">
        <v>3251</v>
      </c>
    </row>
    <row r="1684" spans="1:1" ht="25.5">
      <c r="A1684" s="9" t="s">
        <v>3252</v>
      </c>
    </row>
    <row r="1685" spans="1:1">
      <c r="A1685" s="9" t="s">
        <v>2563</v>
      </c>
    </row>
    <row r="1686" spans="1:1">
      <c r="A1686" s="11"/>
    </row>
    <row r="1687" spans="1:1" ht="127.5">
      <c r="A1687" s="9" t="s">
        <v>3253</v>
      </c>
    </row>
    <row r="1688" spans="1:1">
      <c r="A1688" s="9" t="s">
        <v>3254</v>
      </c>
    </row>
    <row r="1689" spans="1:1">
      <c r="A1689" s="9" t="s">
        <v>3255</v>
      </c>
    </row>
    <row r="1690" spans="1:1">
      <c r="A1690" s="9" t="s">
        <v>3256</v>
      </c>
    </row>
    <row r="1691" spans="1:1">
      <c r="A1691" s="9" t="s">
        <v>3257</v>
      </c>
    </row>
    <row r="1692" spans="1:1">
      <c r="A1692" s="11"/>
    </row>
    <row r="1693" spans="1:1" ht="76.5">
      <c r="A1693" s="9" t="s">
        <v>3258</v>
      </c>
    </row>
    <row r="1694" spans="1:1">
      <c r="A1694" s="9" t="s">
        <v>555</v>
      </c>
    </row>
    <row r="1695" spans="1:1">
      <c r="A1695" s="9" t="s">
        <v>208</v>
      </c>
    </row>
    <row r="1696" spans="1:1">
      <c r="A1696" s="9" t="s">
        <v>3259</v>
      </c>
    </row>
    <row r="1697" spans="1:1">
      <c r="A1697" s="9" t="s">
        <v>3260</v>
      </c>
    </row>
    <row r="1698" spans="1:1">
      <c r="A1698" s="11"/>
    </row>
    <row r="1699" spans="1:1" ht="127.5">
      <c r="A1699" s="9" t="s">
        <v>3261</v>
      </c>
    </row>
    <row r="1700" spans="1:1">
      <c r="A1700" s="9" t="s">
        <v>3262</v>
      </c>
    </row>
    <row r="1701" spans="1:1">
      <c r="A1701" s="9" t="s">
        <v>3263</v>
      </c>
    </row>
    <row r="1702" spans="1:1">
      <c r="A1702" s="9" t="s">
        <v>3264</v>
      </c>
    </row>
    <row r="1703" spans="1:1">
      <c r="A1703" s="9" t="s">
        <v>2664</v>
      </c>
    </row>
    <row r="1704" spans="1:1">
      <c r="A1704" s="11"/>
    </row>
    <row r="1705" spans="1:1" ht="63.75">
      <c r="A1705" s="9" t="s">
        <v>3265</v>
      </c>
    </row>
    <row r="1706" spans="1:1">
      <c r="A1706" s="9" t="s">
        <v>3266</v>
      </c>
    </row>
    <row r="1707" spans="1:1" ht="25.5">
      <c r="A1707" s="9" t="s">
        <v>3267</v>
      </c>
    </row>
    <row r="1708" spans="1:1">
      <c r="A1708" s="9" t="s">
        <v>3268</v>
      </c>
    </row>
    <row r="1709" spans="1:1">
      <c r="A1709" s="9" t="s">
        <v>1807</v>
      </c>
    </row>
    <row r="1710" spans="1:1">
      <c r="A1710" s="11"/>
    </row>
    <row r="1711" spans="1:1" ht="89.25">
      <c r="A1711" s="9" t="s">
        <v>3269</v>
      </c>
    </row>
    <row r="1712" spans="1:1" ht="25.5">
      <c r="A1712" s="9" t="s">
        <v>3270</v>
      </c>
    </row>
    <row r="1713" spans="1:1">
      <c r="A1713" s="9" t="s">
        <v>3271</v>
      </c>
    </row>
    <row r="1714" spans="1:1" ht="25.5">
      <c r="A1714" s="9" t="s">
        <v>3272</v>
      </c>
    </row>
    <row r="1715" spans="1:1">
      <c r="A1715" s="9" t="s">
        <v>3273</v>
      </c>
    </row>
    <row r="1716" spans="1:1">
      <c r="A1716" s="11"/>
    </row>
    <row r="1717" spans="1:1" ht="63.75">
      <c r="A1717" s="9" t="s">
        <v>3274</v>
      </c>
    </row>
    <row r="1718" spans="1:1">
      <c r="A1718" s="9" t="s">
        <v>3275</v>
      </c>
    </row>
    <row r="1719" spans="1:1">
      <c r="A1719" s="9" t="s">
        <v>3276</v>
      </c>
    </row>
    <row r="1720" spans="1:1">
      <c r="A1720" s="9" t="s">
        <v>3277</v>
      </c>
    </row>
    <row r="1721" spans="1:1" ht="63.75">
      <c r="A1721" s="9" t="s">
        <v>3278</v>
      </c>
    </row>
    <row r="1722" spans="1:1">
      <c r="A1722" s="11"/>
    </row>
    <row r="1723" spans="1:1" ht="38.25">
      <c r="A1723" s="9" t="s">
        <v>3279</v>
      </c>
    </row>
    <row r="1724" spans="1:1" ht="25.5">
      <c r="A1724" s="9" t="s">
        <v>3280</v>
      </c>
    </row>
    <row r="1725" spans="1:1" ht="127.5">
      <c r="A1725" s="9" t="s">
        <v>3281</v>
      </c>
    </row>
    <row r="1726" spans="1:1">
      <c r="A1726" s="11"/>
    </row>
    <row r="1727" spans="1:1" ht="102">
      <c r="A1727" s="9" t="s">
        <v>3282</v>
      </c>
    </row>
    <row r="1728" spans="1:1">
      <c r="A1728" s="9" t="s">
        <v>3283</v>
      </c>
    </row>
    <row r="1729" spans="1:1">
      <c r="A1729" s="9" t="s">
        <v>3284</v>
      </c>
    </row>
    <row r="1730" spans="1:1" ht="25.5">
      <c r="A1730" s="9" t="s">
        <v>3285</v>
      </c>
    </row>
    <row r="1731" spans="1:1">
      <c r="A1731" s="9" t="s">
        <v>3286</v>
      </c>
    </row>
    <row r="1732" spans="1:1">
      <c r="A1732" s="11"/>
    </row>
    <row r="1733" spans="1:1" ht="89.25">
      <c r="A1733" s="9" t="s">
        <v>3287</v>
      </c>
    </row>
    <row r="1734" spans="1:1" ht="63.75">
      <c r="A1734" s="9" t="s">
        <v>3288</v>
      </c>
    </row>
    <row r="1735" spans="1:1" ht="178.5">
      <c r="A1735" s="9" t="s">
        <v>3289</v>
      </c>
    </row>
    <row r="1736" spans="1:1">
      <c r="A1736" s="11"/>
    </row>
    <row r="1737" spans="1:1" ht="51">
      <c r="A1737" s="9" t="s">
        <v>3290</v>
      </c>
    </row>
    <row r="1738" spans="1:1">
      <c r="A1738" s="9" t="s">
        <v>3291</v>
      </c>
    </row>
    <row r="1739" spans="1:1">
      <c r="A1739" s="9" t="s">
        <v>259</v>
      </c>
    </row>
    <row r="1740" spans="1:1">
      <c r="A1740" s="9" t="s">
        <v>3292</v>
      </c>
    </row>
    <row r="1741" spans="1:1" ht="89.25">
      <c r="A1741" s="9" t="s">
        <v>3293</v>
      </c>
    </row>
    <row r="1742" spans="1:1">
      <c r="A1742" s="11"/>
    </row>
    <row r="1743" spans="1:1" ht="127.5">
      <c r="A1743" s="9" t="s">
        <v>3294</v>
      </c>
    </row>
    <row r="1744" spans="1:1" ht="51">
      <c r="A1744" s="9" t="s">
        <v>3295</v>
      </c>
    </row>
    <row r="1745" spans="1:1" ht="25.5">
      <c r="A1745" s="9" t="s">
        <v>3296</v>
      </c>
    </row>
    <row r="1746" spans="1:1">
      <c r="A1746" s="11"/>
    </row>
    <row r="1747" spans="1:1" ht="102">
      <c r="A1747" s="9" t="s">
        <v>3297</v>
      </c>
    </row>
    <row r="1748" spans="1:1">
      <c r="A1748" s="9" t="s">
        <v>3298</v>
      </c>
    </row>
    <row r="1749" spans="1:1">
      <c r="A1749" s="9" t="s">
        <v>2127</v>
      </c>
    </row>
    <row r="1750" spans="1:1">
      <c r="A1750" s="9" t="s">
        <v>2126</v>
      </c>
    </row>
    <row r="1751" spans="1:1">
      <c r="A1751" s="9" t="s">
        <v>3299</v>
      </c>
    </row>
    <row r="1752" spans="1:1">
      <c r="A1752" s="11"/>
    </row>
    <row r="1753" spans="1:1" ht="63.75">
      <c r="A1753" s="9" t="s">
        <v>3300</v>
      </c>
    </row>
    <row r="1754" spans="1:1" ht="25.5">
      <c r="A1754" s="9" t="s">
        <v>3301</v>
      </c>
    </row>
    <row r="1755" spans="1:1">
      <c r="A1755" s="9" t="s">
        <v>3302</v>
      </c>
    </row>
    <row r="1756" spans="1:1">
      <c r="A1756" s="9" t="s">
        <v>3303</v>
      </c>
    </row>
    <row r="1757" spans="1:1" ht="25.5">
      <c r="A1757" s="9" t="s">
        <v>3304</v>
      </c>
    </row>
    <row r="1758" spans="1:1">
      <c r="A1758" s="11"/>
    </row>
    <row r="1759" spans="1:1" ht="76.5">
      <c r="A1759" s="9" t="s">
        <v>3305</v>
      </c>
    </row>
    <row r="1760" spans="1:1">
      <c r="A1760" s="9" t="s">
        <v>3306</v>
      </c>
    </row>
    <row r="1761" spans="1:1">
      <c r="A1761" s="9" t="s">
        <v>3307</v>
      </c>
    </row>
    <row r="1762" spans="1:1">
      <c r="A1762" s="9" t="s">
        <v>3308</v>
      </c>
    </row>
    <row r="1763" spans="1:1">
      <c r="A1763" s="9" t="s">
        <v>3309</v>
      </c>
    </row>
    <row r="1764" spans="1:1">
      <c r="A1764" s="11"/>
    </row>
    <row r="1765" spans="1:1" ht="89.25">
      <c r="A1765" s="9" t="s">
        <v>3310</v>
      </c>
    </row>
    <row r="1766" spans="1:1">
      <c r="A1766" s="9" t="s">
        <v>2725</v>
      </c>
    </row>
    <row r="1767" spans="1:1">
      <c r="A1767" s="9" t="s">
        <v>3311</v>
      </c>
    </row>
    <row r="1768" spans="1:1">
      <c r="A1768" s="9" t="s">
        <v>2723</v>
      </c>
    </row>
    <row r="1769" spans="1:1" ht="25.5">
      <c r="A1769" s="9" t="s">
        <v>3312</v>
      </c>
    </row>
    <row r="1770" spans="1:1">
      <c r="A1770" s="11"/>
    </row>
    <row r="1771" spans="1:1" ht="51">
      <c r="A1771" s="9" t="s">
        <v>3313</v>
      </c>
    </row>
    <row r="1772" spans="1:1" ht="76.5">
      <c r="A1772" s="9" t="s">
        <v>3314</v>
      </c>
    </row>
    <row r="1773" spans="1:1" ht="25.5">
      <c r="A1773" s="9" t="s">
        <v>3315</v>
      </c>
    </row>
    <row r="1774" spans="1:1">
      <c r="A1774" s="11"/>
    </row>
    <row r="1775" spans="1:1" ht="102">
      <c r="A1775" s="9" t="s">
        <v>3316</v>
      </c>
    </row>
    <row r="1776" spans="1:1" ht="38.25">
      <c r="A1776" s="9" t="s">
        <v>3317</v>
      </c>
    </row>
    <row r="1777" spans="1:1" ht="25.5">
      <c r="A1777" s="9" t="s">
        <v>3318</v>
      </c>
    </row>
    <row r="1778" spans="1:1">
      <c r="A1778" s="11"/>
    </row>
    <row r="1779" spans="1:1" ht="102">
      <c r="A1779" s="9" t="s">
        <v>3319</v>
      </c>
    </row>
    <row r="1780" spans="1:1" ht="51">
      <c r="A1780" s="9" t="s">
        <v>3320</v>
      </c>
    </row>
    <row r="1781" spans="1:1" ht="25.5">
      <c r="A1781" s="9" t="s">
        <v>3321</v>
      </c>
    </row>
    <row r="1782" spans="1:1">
      <c r="A1782" s="11"/>
    </row>
    <row r="1783" spans="1:1" ht="51">
      <c r="A1783" s="9" t="s">
        <v>3322</v>
      </c>
    </row>
    <row r="1784" spans="1:1" ht="127.5">
      <c r="A1784" s="9" t="s">
        <v>3323</v>
      </c>
    </row>
    <row r="1785" spans="1:1" ht="51">
      <c r="A1785" s="9" t="s">
        <v>3324</v>
      </c>
    </row>
    <row r="1786" spans="1:1">
      <c r="A1786" s="11"/>
    </row>
    <row r="1787" spans="1:1" ht="38.25">
      <c r="A1787" s="9" t="s">
        <v>3325</v>
      </c>
    </row>
    <row r="1788" spans="1:1" ht="38.25">
      <c r="A1788" s="9" t="s">
        <v>3326</v>
      </c>
    </row>
    <row r="1789" spans="1:1">
      <c r="A1789" s="9" t="s">
        <v>3327</v>
      </c>
    </row>
    <row r="1790" spans="1:1">
      <c r="A1790" s="11"/>
    </row>
    <row r="1791" spans="1:1" ht="89.25">
      <c r="A1791" s="9" t="s">
        <v>3328</v>
      </c>
    </row>
    <row r="1792" spans="1:1" ht="38.25">
      <c r="A1792" s="9" t="s">
        <v>3329</v>
      </c>
    </row>
    <row r="1793" spans="1:1">
      <c r="A1793" s="9" t="s">
        <v>3330</v>
      </c>
    </row>
    <row r="1794" spans="1:1">
      <c r="A1794" s="11"/>
    </row>
    <row r="1795" spans="1:1" ht="76.5">
      <c r="A1795" s="9" t="s">
        <v>3331</v>
      </c>
    </row>
    <row r="1796" spans="1:1" ht="38.25">
      <c r="A1796" s="9" t="s">
        <v>3332</v>
      </c>
    </row>
    <row r="1797" spans="1:1" ht="38.25">
      <c r="A1797" s="9" t="s">
        <v>3333</v>
      </c>
    </row>
    <row r="1798" spans="1:1" ht="38.25">
      <c r="A1798" s="9" t="s">
        <v>3334</v>
      </c>
    </row>
    <row r="1799" spans="1:1">
      <c r="A1799" s="9" t="s">
        <v>3335</v>
      </c>
    </row>
    <row r="1800" spans="1:1">
      <c r="A1800" s="11"/>
    </row>
    <row r="1801" spans="1:1" ht="153">
      <c r="A1801" s="9" t="s">
        <v>3336</v>
      </c>
    </row>
    <row r="1802" spans="1:1" ht="25.5">
      <c r="A1802" s="9" t="s">
        <v>3337</v>
      </c>
    </row>
    <row r="1803" spans="1:1" ht="38.25">
      <c r="A1803" s="9" t="s">
        <v>3338</v>
      </c>
    </row>
    <row r="1804" spans="1:1" ht="25.5">
      <c r="A1804" s="9" t="s">
        <v>3339</v>
      </c>
    </row>
    <row r="1805" spans="1:1" ht="89.25">
      <c r="A1805" s="9" t="s">
        <v>3340</v>
      </c>
    </row>
    <row r="1806" spans="1:1">
      <c r="A1806" s="11"/>
    </row>
    <row r="1807" spans="1:1" ht="165.75">
      <c r="A1807" s="9" t="s">
        <v>3341</v>
      </c>
    </row>
    <row r="1808" spans="1:1" ht="25.5">
      <c r="A1808" s="9" t="s">
        <v>3342</v>
      </c>
    </row>
    <row r="1809" spans="1:1">
      <c r="A1809" s="11"/>
    </row>
    <row r="1810" spans="1:1" ht="76.5">
      <c r="A1810" s="9" t="s">
        <v>3343</v>
      </c>
    </row>
    <row r="1811" spans="1:1" ht="38.25">
      <c r="A1811" s="9" t="s">
        <v>3344</v>
      </c>
    </row>
    <row r="1812" spans="1:1" ht="38.25">
      <c r="A1812" s="9" t="s">
        <v>3345</v>
      </c>
    </row>
    <row r="1813" spans="1:1">
      <c r="A1813" s="11"/>
    </row>
    <row r="1814" spans="1:1" ht="76.5">
      <c r="A1814" s="9" t="s">
        <v>3346</v>
      </c>
    </row>
    <row r="1815" spans="1:1">
      <c r="A1815" s="9" t="s">
        <v>3347</v>
      </c>
    </row>
    <row r="1816" spans="1:1">
      <c r="A1816" s="9" t="s">
        <v>3348</v>
      </c>
    </row>
    <row r="1817" spans="1:1">
      <c r="A1817" s="9" t="s">
        <v>3349</v>
      </c>
    </row>
    <row r="1818" spans="1:1" ht="25.5">
      <c r="A1818" s="9" t="s">
        <v>3350</v>
      </c>
    </row>
    <row r="1819" spans="1:1">
      <c r="A1819" s="11"/>
    </row>
    <row r="1820" spans="1:1" ht="76.5">
      <c r="A1820" s="9" t="s">
        <v>3351</v>
      </c>
    </row>
    <row r="1821" spans="1:1" ht="38.25">
      <c r="A1821" s="9" t="s">
        <v>3352</v>
      </c>
    </row>
    <row r="1822" spans="1:1">
      <c r="A1822" s="9" t="s">
        <v>3353</v>
      </c>
    </row>
    <row r="1823" spans="1:1">
      <c r="A1823" s="11"/>
    </row>
    <row r="1824" spans="1:1" ht="76.5">
      <c r="A1824" s="9" t="s">
        <v>3354</v>
      </c>
    </row>
    <row r="1825" spans="1:1" ht="38.25">
      <c r="A1825" s="9" t="s">
        <v>3355</v>
      </c>
    </row>
    <row r="1826" spans="1:1">
      <c r="A1826" s="9" t="s">
        <v>3356</v>
      </c>
    </row>
    <row r="1827" spans="1:1">
      <c r="A1827" s="11"/>
    </row>
    <row r="1828" spans="1:1" ht="63.75">
      <c r="A1828" s="9" t="s">
        <v>3357</v>
      </c>
    </row>
    <row r="1829" spans="1:1" ht="38.25">
      <c r="A1829" s="9" t="s">
        <v>3358</v>
      </c>
    </row>
    <row r="1830" spans="1:1" ht="25.5">
      <c r="A1830" s="9" t="s">
        <v>3359</v>
      </c>
    </row>
    <row r="1831" spans="1:1" ht="25.5">
      <c r="A1831" s="9" t="s">
        <v>3360</v>
      </c>
    </row>
    <row r="1832" spans="1:1">
      <c r="A1832" s="9" t="s">
        <v>3361</v>
      </c>
    </row>
    <row r="1833" spans="1:1">
      <c r="A1833" s="11"/>
    </row>
    <row r="1834" spans="1:1" ht="76.5">
      <c r="A1834" s="9" t="s">
        <v>3362</v>
      </c>
    </row>
    <row r="1835" spans="1:1">
      <c r="A1835" s="9" t="s">
        <v>3363</v>
      </c>
    </row>
    <row r="1836" spans="1:1">
      <c r="A1836" s="9" t="s">
        <v>3364</v>
      </c>
    </row>
    <row r="1837" spans="1:1">
      <c r="A1837" s="9" t="s">
        <v>3365</v>
      </c>
    </row>
    <row r="1838" spans="1:1">
      <c r="A1838" s="9" t="s">
        <v>3366</v>
      </c>
    </row>
    <row r="1839" spans="1:1">
      <c r="A1839" s="11"/>
    </row>
    <row r="1840" spans="1:1" ht="63.75">
      <c r="A1840" s="9" t="s">
        <v>3367</v>
      </c>
    </row>
    <row r="1841" spans="1:1" ht="25.5">
      <c r="A1841" s="9" t="s">
        <v>3368</v>
      </c>
    </row>
    <row r="1842" spans="1:1">
      <c r="A1842" s="9" t="s">
        <v>3369</v>
      </c>
    </row>
    <row r="1843" spans="1:1">
      <c r="A1843" s="11"/>
    </row>
    <row r="1844" spans="1:1" ht="127.5">
      <c r="A1844" s="9" t="s">
        <v>3370</v>
      </c>
    </row>
    <row r="1845" spans="1:1">
      <c r="A1845" s="9" t="s">
        <v>1322</v>
      </c>
    </row>
    <row r="1846" spans="1:1">
      <c r="A1846" s="9" t="s">
        <v>2162</v>
      </c>
    </row>
    <row r="1847" spans="1:1" ht="25.5">
      <c r="A1847" s="9" t="s">
        <v>1214</v>
      </c>
    </row>
    <row r="1848" spans="1:1">
      <c r="A1848" s="9" t="s">
        <v>3371</v>
      </c>
    </row>
    <row r="1849" spans="1:1">
      <c r="A1849" s="11"/>
    </row>
    <row r="1850" spans="1:1" ht="63.75">
      <c r="A1850" s="9" t="s">
        <v>3372</v>
      </c>
    </row>
    <row r="1851" spans="1:1">
      <c r="A1851" s="9" t="s">
        <v>853</v>
      </c>
    </row>
    <row r="1852" spans="1:1">
      <c r="A1852" s="9" t="s">
        <v>208</v>
      </c>
    </row>
    <row r="1853" spans="1:1">
      <c r="A1853" s="9" t="s">
        <v>93</v>
      </c>
    </row>
    <row r="1854" spans="1:1">
      <c r="A1854" s="9" t="s">
        <v>3371</v>
      </c>
    </row>
    <row r="1855" spans="1:1">
      <c r="A1855" s="11"/>
    </row>
    <row r="1856" spans="1:1" ht="51">
      <c r="A1856" s="9" t="s">
        <v>3373</v>
      </c>
    </row>
    <row r="1857" spans="1:1">
      <c r="A1857" s="9" t="s">
        <v>1899</v>
      </c>
    </row>
    <row r="1858" spans="1:1">
      <c r="A1858" s="9" t="s">
        <v>3374</v>
      </c>
    </row>
    <row r="1859" spans="1:1">
      <c r="A1859" s="9" t="s">
        <v>2611</v>
      </c>
    </row>
    <row r="1860" spans="1:1">
      <c r="A1860" s="9" t="s">
        <v>3375</v>
      </c>
    </row>
    <row r="1861" spans="1:1">
      <c r="A1861" s="11"/>
    </row>
    <row r="1862" spans="1:1" ht="38.25">
      <c r="A1862" s="9" t="s">
        <v>3376</v>
      </c>
    </row>
    <row r="1863" spans="1:1">
      <c r="A1863" s="9" t="s">
        <v>3377</v>
      </c>
    </row>
    <row r="1864" spans="1:1">
      <c r="A1864" s="9" t="s">
        <v>3378</v>
      </c>
    </row>
    <row r="1865" spans="1:1">
      <c r="A1865" s="9" t="s">
        <v>141</v>
      </c>
    </row>
    <row r="1866" spans="1:1">
      <c r="A1866" s="9" t="s">
        <v>3379</v>
      </c>
    </row>
    <row r="1867" spans="1:1">
      <c r="A1867" s="11"/>
    </row>
    <row r="1868" spans="1:1" ht="76.5">
      <c r="A1868" s="9" t="s">
        <v>3380</v>
      </c>
    </row>
    <row r="1869" spans="1:1">
      <c r="A1869" s="9" t="s">
        <v>3381</v>
      </c>
    </row>
    <row r="1870" spans="1:1">
      <c r="A1870" s="9" t="s">
        <v>3382</v>
      </c>
    </row>
    <row r="1871" spans="1:1">
      <c r="A1871" s="9" t="s">
        <v>3383</v>
      </c>
    </row>
    <row r="1872" spans="1:1" ht="25.5">
      <c r="A1872" s="9" t="s">
        <v>3384</v>
      </c>
    </row>
    <row r="1873" spans="1:1">
      <c r="A1873" s="11"/>
    </row>
    <row r="1874" spans="1:1" ht="38.25">
      <c r="A1874" s="9" t="s">
        <v>3385</v>
      </c>
    </row>
    <row r="1875" spans="1:1">
      <c r="A1875" s="9" t="s">
        <v>3386</v>
      </c>
    </row>
    <row r="1876" spans="1:1">
      <c r="A1876" s="9" t="s">
        <v>3387</v>
      </c>
    </row>
    <row r="1877" spans="1:1">
      <c r="A1877" s="9" t="s">
        <v>3388</v>
      </c>
    </row>
    <row r="1878" spans="1:1">
      <c r="A1878" s="9" t="s">
        <v>3371</v>
      </c>
    </row>
    <row r="1879" spans="1:1">
      <c r="A1879" s="11"/>
    </row>
    <row r="1880" spans="1:1" ht="102">
      <c r="A1880" s="9" t="s">
        <v>3389</v>
      </c>
    </row>
    <row r="1881" spans="1:1">
      <c r="A1881" s="9" t="s">
        <v>3390</v>
      </c>
    </row>
    <row r="1882" spans="1:1">
      <c r="A1882" s="9" t="s">
        <v>3391</v>
      </c>
    </row>
    <row r="1883" spans="1:1">
      <c r="A1883" s="9" t="s">
        <v>3392</v>
      </c>
    </row>
    <row r="1884" spans="1:1" ht="25.5">
      <c r="A1884" s="9" t="s">
        <v>3393</v>
      </c>
    </row>
    <row r="1885" spans="1:1">
      <c r="A1885" s="11"/>
    </row>
    <row r="1886" spans="1:1" ht="63.75">
      <c r="A1886" s="9" t="s">
        <v>3394</v>
      </c>
    </row>
    <row r="1887" spans="1:1">
      <c r="A1887" s="9" t="s">
        <v>3395</v>
      </c>
    </row>
    <row r="1888" spans="1:1">
      <c r="A1888" s="9" t="s">
        <v>3396</v>
      </c>
    </row>
    <row r="1889" spans="1:1">
      <c r="A1889" s="9" t="s">
        <v>87</v>
      </c>
    </row>
    <row r="1890" spans="1:1" ht="25.5">
      <c r="A1890" s="9" t="s">
        <v>3397</v>
      </c>
    </row>
    <row r="1891" spans="1:1">
      <c r="A1891" s="11"/>
    </row>
    <row r="1892" spans="1:1" ht="102">
      <c r="A1892" s="9" t="s">
        <v>3398</v>
      </c>
    </row>
    <row r="1893" spans="1:1" ht="38.25">
      <c r="A1893" s="9" t="s">
        <v>3399</v>
      </c>
    </row>
    <row r="1894" spans="1:1">
      <c r="A1894" s="9" t="s">
        <v>3400</v>
      </c>
    </row>
    <row r="1895" spans="1:1">
      <c r="A1895" s="11"/>
    </row>
    <row r="1896" spans="1:1" ht="63.75">
      <c r="A1896" s="9" t="s">
        <v>3401</v>
      </c>
    </row>
    <row r="1897" spans="1:1">
      <c r="A1897" s="9" t="s">
        <v>3402</v>
      </c>
    </row>
    <row r="1898" spans="1:1">
      <c r="A1898" s="9" t="s">
        <v>3403</v>
      </c>
    </row>
    <row r="1899" spans="1:1">
      <c r="A1899" s="9" t="s">
        <v>3404</v>
      </c>
    </row>
    <row r="1900" spans="1:1" ht="25.5">
      <c r="A1900" s="9" t="s">
        <v>3405</v>
      </c>
    </row>
    <row r="1901" spans="1:1">
      <c r="A1901" s="11"/>
    </row>
    <row r="1902" spans="1:1" ht="102">
      <c r="A1902" s="9" t="s">
        <v>3406</v>
      </c>
    </row>
    <row r="1903" spans="1:1" ht="63.75">
      <c r="A1903" s="9" t="s">
        <v>3407</v>
      </c>
    </row>
    <row r="1904" spans="1:1" ht="25.5">
      <c r="A1904" s="9" t="s">
        <v>3408</v>
      </c>
    </row>
    <row r="1905" spans="1:1">
      <c r="A1905" s="11"/>
    </row>
    <row r="1906" spans="1:1" ht="165.75">
      <c r="A1906" s="9" t="s">
        <v>3409</v>
      </c>
    </row>
    <row r="1907" spans="1:1" ht="63.75">
      <c r="A1907" s="9" t="s">
        <v>3410</v>
      </c>
    </row>
    <row r="1908" spans="1:1" ht="25.5">
      <c r="A1908" s="9" t="s">
        <v>3411</v>
      </c>
    </row>
    <row r="1909" spans="1:1">
      <c r="A1909" s="11"/>
    </row>
    <row r="1910" spans="1:1" ht="63.75">
      <c r="A1910" s="9" t="s">
        <v>3412</v>
      </c>
    </row>
    <row r="1911" spans="1:1">
      <c r="A1911" s="9" t="s">
        <v>852</v>
      </c>
    </row>
    <row r="1912" spans="1:1">
      <c r="A1912" s="9" t="s">
        <v>393</v>
      </c>
    </row>
    <row r="1913" spans="1:1">
      <c r="A1913" s="9" t="s">
        <v>555</v>
      </c>
    </row>
    <row r="1914" spans="1:1">
      <c r="A1914" s="9" t="s">
        <v>3413</v>
      </c>
    </row>
    <row r="1915" spans="1:1">
      <c r="A1915" s="11"/>
    </row>
    <row r="1916" spans="1:1" ht="89.25">
      <c r="A1916" s="9" t="s">
        <v>3414</v>
      </c>
    </row>
    <row r="1917" spans="1:1" ht="38.25">
      <c r="A1917" s="9" t="s">
        <v>3415</v>
      </c>
    </row>
    <row r="1918" spans="1:1" ht="51">
      <c r="A1918" s="9" t="s">
        <v>3416</v>
      </c>
    </row>
    <row r="1919" spans="1:1">
      <c r="A1919" s="11"/>
    </row>
    <row r="1920" spans="1:1" ht="89.25">
      <c r="A1920" s="9" t="s">
        <v>3417</v>
      </c>
    </row>
    <row r="1921" spans="1:1">
      <c r="A1921" s="9" t="s">
        <v>441</v>
      </c>
    </row>
    <row r="1922" spans="1:1">
      <c r="A1922" s="9" t="s">
        <v>207</v>
      </c>
    </row>
    <row r="1923" spans="1:1">
      <c r="A1923" s="9" t="s">
        <v>555</v>
      </c>
    </row>
    <row r="1924" spans="1:1">
      <c r="A1924" s="9" t="s">
        <v>3273</v>
      </c>
    </row>
    <row r="1925" spans="1:1">
      <c r="A1925" s="11"/>
    </row>
    <row r="1926" spans="1:1" ht="51">
      <c r="A1926" s="9" t="s">
        <v>3418</v>
      </c>
    </row>
    <row r="1927" spans="1:1">
      <c r="A1927" s="9" t="s">
        <v>3419</v>
      </c>
    </row>
    <row r="1928" spans="1:1" ht="25.5">
      <c r="A1928" s="9" t="s">
        <v>3420</v>
      </c>
    </row>
    <row r="1929" spans="1:1" ht="25.5">
      <c r="A1929" s="9" t="s">
        <v>3421</v>
      </c>
    </row>
    <row r="1930" spans="1:1" ht="25.5">
      <c r="A1930" s="9" t="s">
        <v>3422</v>
      </c>
    </row>
    <row r="1931" spans="1:1">
      <c r="A1931" s="11"/>
    </row>
    <row r="1932" spans="1:1" ht="63.75">
      <c r="A1932" s="9" t="s">
        <v>3423</v>
      </c>
    </row>
    <row r="1933" spans="1:1">
      <c r="A1933" s="9" t="s">
        <v>3424</v>
      </c>
    </row>
    <row r="1934" spans="1:1">
      <c r="A1934" s="9" t="s">
        <v>3425</v>
      </c>
    </row>
    <row r="1935" spans="1:1">
      <c r="A1935" s="9" t="s">
        <v>3426</v>
      </c>
    </row>
    <row r="1936" spans="1:1" ht="25.5">
      <c r="A1936" s="9" t="s">
        <v>3427</v>
      </c>
    </row>
    <row r="1937" spans="1:1">
      <c r="A1937" s="11"/>
    </row>
    <row r="1938" spans="1:1" ht="51">
      <c r="A1938" s="9" t="s">
        <v>3428</v>
      </c>
    </row>
    <row r="1939" spans="1:1" ht="38.25">
      <c r="A1939" s="9" t="s">
        <v>3429</v>
      </c>
    </row>
    <row r="1940" spans="1:1">
      <c r="A1940" s="9" t="s">
        <v>3430</v>
      </c>
    </row>
    <row r="1941" spans="1:1">
      <c r="A1941" s="11"/>
    </row>
    <row r="1942" spans="1:1" ht="63.75">
      <c r="A1942" s="9" t="s">
        <v>3431</v>
      </c>
    </row>
    <row r="1943" spans="1:1" ht="38.25">
      <c r="A1943" s="9" t="s">
        <v>3432</v>
      </c>
    </row>
    <row r="1944" spans="1:1" ht="306">
      <c r="A1944" s="9" t="s">
        <v>3433</v>
      </c>
    </row>
    <row r="1945" spans="1:1">
      <c r="A1945" s="11"/>
    </row>
    <row r="1946" spans="1:1" ht="140.25">
      <c r="A1946" s="9" t="s">
        <v>3434</v>
      </c>
    </row>
    <row r="1947" spans="1:1">
      <c r="A1947" s="9" t="s">
        <v>3435</v>
      </c>
    </row>
    <row r="1948" spans="1:1">
      <c r="A1948" s="9" t="s">
        <v>3436</v>
      </c>
    </row>
    <row r="1949" spans="1:1">
      <c r="A1949" s="9" t="s">
        <v>2494</v>
      </c>
    </row>
    <row r="1950" spans="1:1" ht="25.5">
      <c r="A1950" s="9" t="s">
        <v>3437</v>
      </c>
    </row>
    <row r="1951" spans="1:1">
      <c r="A1951" s="11"/>
    </row>
    <row r="1952" spans="1:1" ht="63.75">
      <c r="A1952" s="9" t="s">
        <v>3438</v>
      </c>
    </row>
    <row r="1953" spans="1:1" ht="38.25">
      <c r="A1953" s="9" t="s">
        <v>3439</v>
      </c>
    </row>
    <row r="1954" spans="1:1">
      <c r="A1954" s="9" t="s">
        <v>3440</v>
      </c>
    </row>
    <row r="1955" spans="1:1">
      <c r="A1955" s="11"/>
    </row>
    <row r="1956" spans="1:1" ht="63.75">
      <c r="A1956" s="9" t="s">
        <v>3441</v>
      </c>
    </row>
    <row r="1957" spans="1:1">
      <c r="A1957" s="9" t="s">
        <v>3442</v>
      </c>
    </row>
    <row r="1958" spans="1:1" ht="38.25">
      <c r="A1958" s="9" t="s">
        <v>3443</v>
      </c>
    </row>
    <row r="1959" spans="1:1" ht="25.5">
      <c r="A1959" s="9" t="s">
        <v>3444</v>
      </c>
    </row>
    <row r="1960" spans="1:1">
      <c r="A1960" s="11"/>
    </row>
    <row r="1961" spans="1:1" ht="102">
      <c r="A1961" s="9" t="s">
        <v>3445</v>
      </c>
    </row>
    <row r="1962" spans="1:1" ht="25.5">
      <c r="A1962" s="9" t="s">
        <v>3446</v>
      </c>
    </row>
    <row r="1963" spans="1:1" ht="25.5">
      <c r="A1963" s="9" t="s">
        <v>3447</v>
      </c>
    </row>
    <row r="1964" spans="1:1" ht="25.5">
      <c r="A1964" s="9" t="s">
        <v>3448</v>
      </c>
    </row>
    <row r="1965" spans="1:1">
      <c r="A1965" s="9" t="s">
        <v>2774</v>
      </c>
    </row>
    <row r="1966" spans="1:1">
      <c r="A1966" s="11"/>
    </row>
    <row r="1967" spans="1:1" ht="89.25">
      <c r="A1967" s="9" t="s">
        <v>3449</v>
      </c>
    </row>
    <row r="1968" spans="1:1" ht="25.5">
      <c r="A1968" s="9" t="s">
        <v>3450</v>
      </c>
    </row>
    <row r="1969" spans="1:1">
      <c r="A1969" s="9" t="s">
        <v>3440</v>
      </c>
    </row>
    <row r="1970" spans="1:1">
      <c r="A1970" s="11"/>
    </row>
    <row r="1971" spans="1:1" ht="51">
      <c r="A1971" s="9" t="s">
        <v>3451</v>
      </c>
    </row>
    <row r="1972" spans="1:1" ht="51">
      <c r="A1972" s="9" t="s">
        <v>3452</v>
      </c>
    </row>
    <row r="1973" spans="1:1" ht="25.5">
      <c r="A1973" s="9" t="s">
        <v>3453</v>
      </c>
    </row>
    <row r="1974" spans="1:1">
      <c r="A1974" s="11"/>
    </row>
    <row r="1975" spans="1:1" ht="382.5">
      <c r="A1975" s="9" t="s">
        <v>3454</v>
      </c>
    </row>
    <row r="1976" spans="1:1">
      <c r="A1976" s="11"/>
    </row>
    <row r="1977" spans="1:1" ht="51">
      <c r="A1977" s="9" t="s">
        <v>3455</v>
      </c>
    </row>
    <row r="1978" spans="1:1" ht="25.5">
      <c r="A1978" s="9" t="s">
        <v>3456</v>
      </c>
    </row>
    <row r="1979" spans="1:1">
      <c r="A1979" s="9" t="s">
        <v>3457</v>
      </c>
    </row>
    <row r="1980" spans="1:1">
      <c r="A1980" s="11"/>
    </row>
    <row r="1981" spans="1:1" ht="51">
      <c r="A1981" s="9" t="s">
        <v>3458</v>
      </c>
    </row>
    <row r="1982" spans="1:1">
      <c r="A1982" s="9" t="s">
        <v>3459</v>
      </c>
    </row>
    <row r="1983" spans="1:1">
      <c r="A1983" s="9" t="s">
        <v>3460</v>
      </c>
    </row>
    <row r="1984" spans="1:1">
      <c r="A1984" s="9" t="s">
        <v>3461</v>
      </c>
    </row>
    <row r="1985" spans="1:1" ht="25.5">
      <c r="A1985" s="9" t="s">
        <v>3462</v>
      </c>
    </row>
    <row r="1986" spans="1:1">
      <c r="A1986" s="11"/>
    </row>
    <row r="1987" spans="1:1" ht="114.75">
      <c r="A1987" s="9" t="s">
        <v>3463</v>
      </c>
    </row>
    <row r="1988" spans="1:1" ht="38.25">
      <c r="A1988" s="9" t="s">
        <v>3464</v>
      </c>
    </row>
    <row r="1989" spans="1:1" ht="25.5">
      <c r="A1989" s="9" t="s">
        <v>3465</v>
      </c>
    </row>
    <row r="1990" spans="1:1">
      <c r="A1990" s="11"/>
    </row>
    <row r="1991" spans="1:1" ht="63.75">
      <c r="A1991" s="9" t="s">
        <v>3466</v>
      </c>
    </row>
    <row r="1992" spans="1:1" ht="25.5">
      <c r="A1992" s="9" t="s">
        <v>3467</v>
      </c>
    </row>
    <row r="1993" spans="1:1">
      <c r="A1993" s="9" t="s">
        <v>3468</v>
      </c>
    </row>
    <row r="1994" spans="1:1">
      <c r="A1994" s="11"/>
    </row>
    <row r="1995" spans="1:1" ht="51">
      <c r="A1995" s="9" t="s">
        <v>1689</v>
      </c>
    </row>
    <row r="1996" spans="1:1" ht="25.5">
      <c r="A1996" s="9" t="s">
        <v>3469</v>
      </c>
    </row>
    <row r="1997" spans="1:1">
      <c r="A1997" s="9" t="s">
        <v>3470</v>
      </c>
    </row>
    <row r="1998" spans="1:1">
      <c r="A1998" s="11"/>
    </row>
    <row r="1999" spans="1:1" ht="153">
      <c r="A1999" s="9" t="s">
        <v>3471</v>
      </c>
    </row>
    <row r="2000" spans="1:1" ht="38.25">
      <c r="A2000" s="9" t="s">
        <v>3472</v>
      </c>
    </row>
    <row r="2001" spans="1:1">
      <c r="A2001" s="9" t="s">
        <v>3473</v>
      </c>
    </row>
    <row r="2002" spans="1:1">
      <c r="A2002" s="11"/>
    </row>
    <row r="2003" spans="1:1" ht="51">
      <c r="A2003" s="9" t="s">
        <v>3474</v>
      </c>
    </row>
    <row r="2004" spans="1:1" ht="63.75">
      <c r="A2004" s="9" t="s">
        <v>3475</v>
      </c>
    </row>
    <row r="2005" spans="1:1" ht="25.5">
      <c r="A2005" s="9" t="s">
        <v>3476</v>
      </c>
    </row>
    <row r="2006" spans="1:1">
      <c r="A2006" s="11"/>
    </row>
    <row r="2007" spans="1:1" ht="51">
      <c r="A2007" s="9" t="s">
        <v>3477</v>
      </c>
    </row>
    <row r="2008" spans="1:1">
      <c r="A2008" s="9" t="s">
        <v>2502</v>
      </c>
    </row>
    <row r="2009" spans="1:1">
      <c r="A2009" s="9" t="s">
        <v>842</v>
      </c>
    </row>
    <row r="2010" spans="1:1">
      <c r="A2010" s="9" t="s">
        <v>1693</v>
      </c>
    </row>
    <row r="2011" spans="1:1">
      <c r="A2011" s="9" t="s">
        <v>1807</v>
      </c>
    </row>
    <row r="2012" spans="1:1">
      <c r="A2012" s="11"/>
    </row>
    <row r="2013" spans="1:1" ht="63.75">
      <c r="A2013" s="9" t="s">
        <v>3478</v>
      </c>
    </row>
    <row r="2014" spans="1:1" ht="25.5">
      <c r="A2014" s="9" t="s">
        <v>3479</v>
      </c>
    </row>
    <row r="2015" spans="1:1" ht="25.5">
      <c r="A2015" s="9" t="s">
        <v>3480</v>
      </c>
    </row>
    <row r="2016" spans="1:1" ht="25.5">
      <c r="A2016" s="9" t="s">
        <v>3481</v>
      </c>
    </row>
    <row r="2017" spans="1:1" ht="38.25">
      <c r="A2017" s="9" t="s">
        <v>3482</v>
      </c>
    </row>
    <row r="2018" spans="1:1">
      <c r="A2018" s="11"/>
    </row>
    <row r="2019" spans="1:1" ht="76.5">
      <c r="A2019" s="9" t="s">
        <v>3483</v>
      </c>
    </row>
    <row r="2020" spans="1:1" ht="25.5">
      <c r="A2020" s="9" t="s">
        <v>3484</v>
      </c>
    </row>
    <row r="2021" spans="1:1">
      <c r="A2021" s="9" t="s">
        <v>3485</v>
      </c>
    </row>
    <row r="2022" spans="1:1" ht="25.5">
      <c r="A2022" s="9" t="s">
        <v>3486</v>
      </c>
    </row>
    <row r="2023" spans="1:1" ht="25.5">
      <c r="A2023" s="9" t="s">
        <v>3487</v>
      </c>
    </row>
    <row r="2024" spans="1:1">
      <c r="A2024" s="11"/>
    </row>
    <row r="2025" spans="1:1" ht="51">
      <c r="A2025" s="9" t="s">
        <v>3488</v>
      </c>
    </row>
    <row r="2026" spans="1:1" ht="25.5">
      <c r="A2026" s="9" t="s">
        <v>3421</v>
      </c>
    </row>
    <row r="2027" spans="1:1" ht="25.5">
      <c r="A2027" s="9" t="s">
        <v>3489</v>
      </c>
    </row>
    <row r="2028" spans="1:1">
      <c r="A2028" s="9" t="s">
        <v>2494</v>
      </c>
    </row>
    <row r="2029" spans="1:1" ht="25.5">
      <c r="A2029" s="9" t="s">
        <v>3490</v>
      </c>
    </row>
    <row r="2030" spans="1:1">
      <c r="A2030" s="11"/>
    </row>
    <row r="2031" spans="1:1" ht="51">
      <c r="A2031" s="9" t="s">
        <v>3491</v>
      </c>
    </row>
    <row r="2032" spans="1:1">
      <c r="A2032" s="9" t="s">
        <v>3492</v>
      </c>
    </row>
    <row r="2033" spans="1:1">
      <c r="A2033" s="9" t="s">
        <v>3493</v>
      </c>
    </row>
    <row r="2034" spans="1:1">
      <c r="A2034" s="9" t="s">
        <v>3494</v>
      </c>
    </row>
    <row r="2035" spans="1:1">
      <c r="A2035" s="9" t="s">
        <v>3495</v>
      </c>
    </row>
    <row r="2036" spans="1:1">
      <c r="A2036" s="11"/>
    </row>
    <row r="2037" spans="1:1" ht="76.5">
      <c r="A2037" s="9" t="s">
        <v>3496</v>
      </c>
    </row>
    <row r="2038" spans="1:1" ht="25.5">
      <c r="A2038" s="9" t="s">
        <v>3497</v>
      </c>
    </row>
    <row r="2039" spans="1:1" ht="25.5">
      <c r="A2039" s="9" t="s">
        <v>3498</v>
      </c>
    </row>
    <row r="2040" spans="1:1" ht="25.5">
      <c r="A2040" s="9" t="s">
        <v>3499</v>
      </c>
    </row>
    <row r="2041" spans="1:1">
      <c r="A2041" s="11"/>
    </row>
    <row r="2042" spans="1:1" ht="63.75">
      <c r="A2042" s="9" t="s">
        <v>3500</v>
      </c>
    </row>
    <row r="2043" spans="1:1">
      <c r="A2043" s="9" t="s">
        <v>3501</v>
      </c>
    </row>
    <row r="2044" spans="1:1">
      <c r="A2044" s="9" t="s">
        <v>3502</v>
      </c>
    </row>
    <row r="2045" spans="1:1">
      <c r="A2045" s="9" t="s">
        <v>3503</v>
      </c>
    </row>
    <row r="2046" spans="1:1" ht="25.5">
      <c r="A2046" s="9" t="s">
        <v>3504</v>
      </c>
    </row>
    <row r="2047" spans="1:1">
      <c r="A2047" s="11"/>
    </row>
    <row r="2048" spans="1:1" ht="114.75">
      <c r="A2048" s="9" t="s">
        <v>3505</v>
      </c>
    </row>
    <row r="2049" spans="1:1">
      <c r="A2049" s="9" t="s">
        <v>3506</v>
      </c>
    </row>
    <row r="2050" spans="1:1">
      <c r="A2050" s="9" t="s">
        <v>3507</v>
      </c>
    </row>
    <row r="2051" spans="1:1">
      <c r="A2051" s="9" t="s">
        <v>3508</v>
      </c>
    </row>
    <row r="2052" spans="1:1">
      <c r="A2052" s="9" t="s">
        <v>3509</v>
      </c>
    </row>
    <row r="2053" spans="1:1">
      <c r="A2053" s="11"/>
    </row>
    <row r="2054" spans="1:1" ht="63.75">
      <c r="A2054" s="9" t="s">
        <v>3510</v>
      </c>
    </row>
    <row r="2055" spans="1:1">
      <c r="A2055" s="9" t="s">
        <v>3511</v>
      </c>
    </row>
    <row r="2056" spans="1:1">
      <c r="A2056" s="9" t="s">
        <v>3512</v>
      </c>
    </row>
    <row r="2057" spans="1:1">
      <c r="A2057" s="9" t="s">
        <v>3513</v>
      </c>
    </row>
    <row r="2058" spans="1:1">
      <c r="A2058" s="9" t="s">
        <v>3514</v>
      </c>
    </row>
    <row r="2059" spans="1:1">
      <c r="A2059" s="11"/>
    </row>
    <row r="2060" spans="1:1" ht="102">
      <c r="A2060" s="9" t="s">
        <v>3515</v>
      </c>
    </row>
    <row r="2061" spans="1:1">
      <c r="A2061" s="9" t="s">
        <v>3516</v>
      </c>
    </row>
    <row r="2062" spans="1:1">
      <c r="A2062" s="9" t="s">
        <v>3517</v>
      </c>
    </row>
    <row r="2063" spans="1:1">
      <c r="A2063" s="9" t="s">
        <v>3518</v>
      </c>
    </row>
    <row r="2064" spans="1:1" ht="25.5">
      <c r="A2064" s="9" t="s">
        <v>3519</v>
      </c>
    </row>
    <row r="2065" spans="1:1">
      <c r="A2065" s="11"/>
    </row>
    <row r="2066" spans="1:1" ht="89.25">
      <c r="A2066" s="9" t="s">
        <v>3520</v>
      </c>
    </row>
    <row r="2067" spans="1:1">
      <c r="A2067" s="9" t="s">
        <v>3521</v>
      </c>
    </row>
    <row r="2068" spans="1:1">
      <c r="A2068" s="9" t="s">
        <v>3522</v>
      </c>
    </row>
    <row r="2069" spans="1:1">
      <c r="A2069" s="9" t="s">
        <v>3523</v>
      </c>
    </row>
    <row r="2070" spans="1:1" ht="25.5">
      <c r="A2070" s="9" t="s">
        <v>3524</v>
      </c>
    </row>
    <row r="2071" spans="1:1">
      <c r="A2071" s="11"/>
    </row>
    <row r="2072" spans="1:1" ht="76.5">
      <c r="A2072" s="9" t="s">
        <v>3525</v>
      </c>
    </row>
    <row r="2073" spans="1:1">
      <c r="A2073" s="9" t="s">
        <v>3526</v>
      </c>
    </row>
    <row r="2074" spans="1:1">
      <c r="A2074" s="9" t="s">
        <v>3527</v>
      </c>
    </row>
    <row r="2075" spans="1:1">
      <c r="A2075" s="9" t="s">
        <v>3528</v>
      </c>
    </row>
    <row r="2076" spans="1:1">
      <c r="A2076" s="9" t="s">
        <v>3529</v>
      </c>
    </row>
    <row r="2077" spans="1:1">
      <c r="A2077" s="11"/>
    </row>
    <row r="2078" spans="1:1" ht="63.75">
      <c r="A2078" s="9" t="s">
        <v>3530</v>
      </c>
    </row>
    <row r="2079" spans="1:1" ht="38.25">
      <c r="A2079" s="9" t="s">
        <v>3531</v>
      </c>
    </row>
    <row r="2080" spans="1:1">
      <c r="A2080" s="9" t="s">
        <v>3532</v>
      </c>
    </row>
    <row r="2081" spans="1:1">
      <c r="A2081" s="9" t="s">
        <v>3533</v>
      </c>
    </row>
    <row r="2082" spans="1:1">
      <c r="A2082" s="9" t="s">
        <v>3534</v>
      </c>
    </row>
    <row r="2083" spans="1:1">
      <c r="A2083" s="9" t="s">
        <v>3535</v>
      </c>
    </row>
    <row r="2084" spans="1:1">
      <c r="A2084" s="11"/>
    </row>
    <row r="2085" spans="1:1" ht="63.75">
      <c r="A2085" s="9" t="s">
        <v>3536</v>
      </c>
    </row>
    <row r="2086" spans="1:1" ht="25.5">
      <c r="A2086" s="9" t="s">
        <v>3537</v>
      </c>
    </row>
    <row r="2087" spans="1:1" ht="25.5">
      <c r="A2087" s="9" t="s">
        <v>3538</v>
      </c>
    </row>
    <row r="2088" spans="1:1" ht="25.5">
      <c r="A2088" s="9" t="s">
        <v>3539</v>
      </c>
    </row>
    <row r="2089" spans="1:1" ht="25.5">
      <c r="A2089" s="9" t="s">
        <v>3540</v>
      </c>
    </row>
    <row r="2090" spans="1:1">
      <c r="A2090" s="11"/>
    </row>
    <row r="2091" spans="1:1" ht="89.25">
      <c r="A2091" s="9" t="s">
        <v>3541</v>
      </c>
    </row>
    <row r="2092" spans="1:1">
      <c r="A2092" s="9" t="s">
        <v>3542</v>
      </c>
    </row>
    <row r="2093" spans="1:1">
      <c r="A2093" s="9" t="s">
        <v>3543</v>
      </c>
    </row>
    <row r="2094" spans="1:1">
      <c r="A2094" s="9" t="s">
        <v>3544</v>
      </c>
    </row>
    <row r="2095" spans="1:1">
      <c r="A2095" s="9" t="s">
        <v>3545</v>
      </c>
    </row>
    <row r="2096" spans="1:1">
      <c r="A2096" s="11"/>
    </row>
    <row r="2097" spans="1:1" ht="38.25">
      <c r="A2097" s="9" t="s">
        <v>3546</v>
      </c>
    </row>
    <row r="2098" spans="1:1">
      <c r="A2098" s="9" t="s">
        <v>3547</v>
      </c>
    </row>
    <row r="2099" spans="1:1">
      <c r="A2099" s="9" t="s">
        <v>3548</v>
      </c>
    </row>
    <row r="2100" spans="1:1">
      <c r="A2100" s="9" t="s">
        <v>3549</v>
      </c>
    </row>
    <row r="2101" spans="1:1">
      <c r="A2101" s="9" t="s">
        <v>3550</v>
      </c>
    </row>
    <row r="2102" spans="1:1">
      <c r="A2102" s="11"/>
    </row>
    <row r="2103" spans="1:1" ht="51">
      <c r="A2103" s="9" t="s">
        <v>3551</v>
      </c>
    </row>
    <row r="2104" spans="1:1">
      <c r="A2104" s="9" t="s">
        <v>3552</v>
      </c>
    </row>
    <row r="2105" spans="1:1">
      <c r="A2105" s="9" t="s">
        <v>3553</v>
      </c>
    </row>
    <row r="2106" spans="1:1">
      <c r="A2106" s="9" t="s">
        <v>3554</v>
      </c>
    </row>
    <row r="2107" spans="1:1" ht="25.5">
      <c r="A2107" s="9" t="s">
        <v>3555</v>
      </c>
    </row>
    <row r="2108" spans="1:1">
      <c r="A2108" s="11"/>
    </row>
    <row r="2109" spans="1:1" ht="76.5">
      <c r="A2109" s="9" t="s">
        <v>3556</v>
      </c>
    </row>
    <row r="2110" spans="1:1">
      <c r="A2110" s="9" t="s">
        <v>3557</v>
      </c>
    </row>
    <row r="2111" spans="1:1">
      <c r="A2111" s="9" t="s">
        <v>2672</v>
      </c>
    </row>
    <row r="2112" spans="1:1">
      <c r="A2112" s="9" t="s">
        <v>1328</v>
      </c>
    </row>
    <row r="2113" spans="1:1" ht="25.5">
      <c r="A2113" s="9" t="s">
        <v>3558</v>
      </c>
    </row>
    <row r="2114" spans="1:1">
      <c r="A2114" s="11"/>
    </row>
    <row r="2115" spans="1:1" ht="51">
      <c r="A2115" s="9" t="s">
        <v>3559</v>
      </c>
    </row>
    <row r="2116" spans="1:1">
      <c r="A2116" s="9">
        <v>23</v>
      </c>
    </row>
    <row r="2117" spans="1:1">
      <c r="A2117" s="9">
        <v>25</v>
      </c>
    </row>
    <row r="2118" spans="1:1">
      <c r="A2118" s="9">
        <v>21</v>
      </c>
    </row>
    <row r="2119" spans="1:1">
      <c r="A2119" s="9" t="s">
        <v>3560</v>
      </c>
    </row>
    <row r="2120" spans="1:1">
      <c r="A2120" s="11"/>
    </row>
    <row r="2121" spans="1:1" ht="51">
      <c r="A2121" s="9" t="s">
        <v>3561</v>
      </c>
    </row>
    <row r="2122" spans="1:1">
      <c r="A2122" s="9" t="s">
        <v>3562</v>
      </c>
    </row>
    <row r="2123" spans="1:1">
      <c r="A2123" s="9" t="s">
        <v>3563</v>
      </c>
    </row>
    <row r="2124" spans="1:1">
      <c r="A2124" s="9" t="s">
        <v>3564</v>
      </c>
    </row>
    <row r="2125" spans="1:1" ht="25.5">
      <c r="A2125" s="9" t="s">
        <v>3565</v>
      </c>
    </row>
    <row r="2126" spans="1:1">
      <c r="A2126" s="11"/>
    </row>
    <row r="2127" spans="1:1" ht="76.5">
      <c r="A2127" s="9" t="s">
        <v>3566</v>
      </c>
    </row>
    <row r="2128" spans="1:1">
      <c r="A2128" s="9" t="s">
        <v>3567</v>
      </c>
    </row>
    <row r="2129" spans="1:1">
      <c r="A2129" s="9" t="s">
        <v>936</v>
      </c>
    </row>
    <row r="2130" spans="1:1">
      <c r="A2130" s="9" t="s">
        <v>409</v>
      </c>
    </row>
    <row r="2131" spans="1:1">
      <c r="A2131" s="9" t="s">
        <v>3568</v>
      </c>
    </row>
    <row r="2132" spans="1:1">
      <c r="A2132" s="11"/>
    </row>
    <row r="2133" spans="1:1" ht="63.75">
      <c r="A2133" s="9" t="s">
        <v>3569</v>
      </c>
    </row>
    <row r="2134" spans="1:1">
      <c r="A2134" s="9" t="s">
        <v>3570</v>
      </c>
    </row>
    <row r="2135" spans="1:1" ht="25.5">
      <c r="A2135" s="9" t="s">
        <v>3571</v>
      </c>
    </row>
    <row r="2136" spans="1:1" ht="25.5">
      <c r="A2136" s="9" t="s">
        <v>3572</v>
      </c>
    </row>
    <row r="2137" spans="1:1" ht="25.5">
      <c r="A2137" s="9" t="s">
        <v>3573</v>
      </c>
    </row>
    <row r="2138" spans="1:1" ht="25.5">
      <c r="A2138" s="9" t="s">
        <v>3574</v>
      </c>
    </row>
    <row r="2139" spans="1:1">
      <c r="A2139" s="11"/>
    </row>
    <row r="2140" spans="1:1" ht="178.5">
      <c r="A2140" s="9" t="s">
        <v>3575</v>
      </c>
    </row>
    <row r="2141" spans="1:1">
      <c r="A2141" s="9" t="s">
        <v>3576</v>
      </c>
    </row>
    <row r="2142" spans="1:1">
      <c r="A2142" s="9" t="s">
        <v>3577</v>
      </c>
    </row>
    <row r="2143" spans="1:1">
      <c r="A2143" s="9" t="s">
        <v>3578</v>
      </c>
    </row>
    <row r="2144" spans="1:1" ht="25.5">
      <c r="A2144" s="9" t="s">
        <v>3579</v>
      </c>
    </row>
    <row r="2145" spans="1:1">
      <c r="A2145" s="11"/>
    </row>
    <row r="2146" spans="1:1" ht="89.25">
      <c r="A2146" s="9" t="s">
        <v>3580</v>
      </c>
    </row>
    <row r="2147" spans="1:1">
      <c r="A2147" s="9" t="s">
        <v>3581</v>
      </c>
    </row>
    <row r="2148" spans="1:1">
      <c r="A2148" s="9" t="s">
        <v>3582</v>
      </c>
    </row>
    <row r="2149" spans="1:1">
      <c r="A2149" s="9" t="s">
        <v>3583</v>
      </c>
    </row>
    <row r="2150" spans="1:1" ht="63.75">
      <c r="A2150" s="9" t="s">
        <v>3584</v>
      </c>
    </row>
    <row r="2151" spans="1:1">
      <c r="A2151" s="11"/>
    </row>
    <row r="2152" spans="1:1" ht="63.75">
      <c r="A2152" s="9" t="s">
        <v>3585</v>
      </c>
    </row>
    <row r="2153" spans="1:1">
      <c r="A2153" s="9" t="s">
        <v>3586</v>
      </c>
    </row>
    <row r="2154" spans="1:1">
      <c r="A2154" s="9" t="s">
        <v>1607</v>
      </c>
    </row>
    <row r="2155" spans="1:1">
      <c r="A2155" s="9" t="s">
        <v>1608</v>
      </c>
    </row>
    <row r="2156" spans="1:1">
      <c r="A2156" s="9" t="s">
        <v>3587</v>
      </c>
    </row>
    <row r="2157" spans="1:1">
      <c r="A2157" s="11"/>
    </row>
    <row r="2158" spans="1:1" ht="127.5">
      <c r="A2158" s="9" t="s">
        <v>3588</v>
      </c>
    </row>
    <row r="2159" spans="1:1" ht="76.5">
      <c r="A2159" s="9" t="s">
        <v>3589</v>
      </c>
    </row>
    <row r="2160" spans="1:1">
      <c r="A2160" s="11"/>
    </row>
    <row r="2161" spans="1:1" ht="153">
      <c r="A2161" s="9" t="s">
        <v>3590</v>
      </c>
    </row>
    <row r="2162" spans="1:1">
      <c r="A2162" s="9" t="s">
        <v>3591</v>
      </c>
    </row>
    <row r="2163" spans="1:1">
      <c r="A2163" s="9" t="s">
        <v>3592</v>
      </c>
    </row>
    <row r="2164" spans="1:1">
      <c r="A2164" s="9" t="s">
        <v>3593</v>
      </c>
    </row>
    <row r="2165" spans="1:1" ht="25.5">
      <c r="A2165" s="9" t="s">
        <v>3594</v>
      </c>
    </row>
    <row r="2166" spans="1:1">
      <c r="A2166" s="11"/>
    </row>
    <row r="2167" spans="1:1" ht="127.5">
      <c r="A2167" s="9" t="s">
        <v>3595</v>
      </c>
    </row>
    <row r="2168" spans="1:1" ht="25.5">
      <c r="A2168" s="9" t="s">
        <v>3596</v>
      </c>
    </row>
    <row r="2169" spans="1:1">
      <c r="A2169" s="9" t="s">
        <v>3597</v>
      </c>
    </row>
    <row r="2170" spans="1:1">
      <c r="A2170" s="9" t="s">
        <v>3598</v>
      </c>
    </row>
    <row r="2171" spans="1:1" ht="25.5">
      <c r="A2171" s="9" t="s">
        <v>3599</v>
      </c>
    </row>
    <row r="2172" spans="1:1">
      <c r="A2172" s="11"/>
    </row>
    <row r="2173" spans="1:1" ht="63.75">
      <c r="A2173" s="9" t="s">
        <v>3600</v>
      </c>
    </row>
    <row r="2174" spans="1:1">
      <c r="A2174" s="9" t="s">
        <v>3601</v>
      </c>
    </row>
    <row r="2175" spans="1:1">
      <c r="A2175" s="9" t="s">
        <v>3602</v>
      </c>
    </row>
    <row r="2176" spans="1:1">
      <c r="A2176" s="9" t="s">
        <v>306</v>
      </c>
    </row>
    <row r="2177" spans="1:1">
      <c r="A2177" s="9" t="s">
        <v>3603</v>
      </c>
    </row>
    <row r="2178" spans="1:1">
      <c r="A2178" s="11"/>
    </row>
    <row r="2179" spans="1:1" ht="76.5">
      <c r="A2179" s="9" t="s">
        <v>3604</v>
      </c>
    </row>
    <row r="2180" spans="1:1">
      <c r="A2180" s="9" t="s">
        <v>3605</v>
      </c>
    </row>
    <row r="2181" spans="1:1">
      <c r="A2181" s="9" t="s">
        <v>3606</v>
      </c>
    </row>
    <row r="2182" spans="1:1" ht="25.5">
      <c r="A2182" s="9" t="s">
        <v>3607</v>
      </c>
    </row>
    <row r="2183" spans="1:1" ht="38.25">
      <c r="A2183" s="9" t="s">
        <v>3608</v>
      </c>
    </row>
    <row r="2184" spans="1:1">
      <c r="A2184" s="11"/>
    </row>
    <row r="2185" spans="1:1" ht="89.25">
      <c r="A2185" s="9" t="s">
        <v>3609</v>
      </c>
    </row>
    <row r="2186" spans="1:1">
      <c r="A2186" s="9" t="s">
        <v>3610</v>
      </c>
    </row>
    <row r="2187" spans="1:1">
      <c r="A2187" s="9" t="s">
        <v>3611</v>
      </c>
    </row>
    <row r="2188" spans="1:1">
      <c r="A2188" s="9" t="s">
        <v>3612</v>
      </c>
    </row>
    <row r="2189" spans="1:1" ht="51">
      <c r="A2189" s="9" t="s">
        <v>3613</v>
      </c>
    </row>
    <row r="2190" spans="1:1">
      <c r="A2190" s="11"/>
    </row>
    <row r="2191" spans="1:1" ht="102">
      <c r="A2191" s="9" t="s">
        <v>3614</v>
      </c>
    </row>
    <row r="2192" spans="1:1">
      <c r="A2192" s="9" t="s">
        <v>3615</v>
      </c>
    </row>
    <row r="2193" spans="1:1">
      <c r="A2193" s="9" t="s">
        <v>3616</v>
      </c>
    </row>
    <row r="2194" spans="1:1">
      <c r="A2194" s="9" t="s">
        <v>3617</v>
      </c>
    </row>
    <row r="2195" spans="1:1" ht="76.5">
      <c r="A2195" s="9" t="s">
        <v>3618</v>
      </c>
    </row>
    <row r="2196" spans="1:1">
      <c r="A2196" s="11"/>
    </row>
    <row r="2197" spans="1:1" ht="102">
      <c r="A2197" s="9" t="s">
        <v>3619</v>
      </c>
    </row>
    <row r="2198" spans="1:1">
      <c r="A2198" s="9" t="s">
        <v>3620</v>
      </c>
    </row>
    <row r="2199" spans="1:1">
      <c r="A2199" s="9" t="s">
        <v>3621</v>
      </c>
    </row>
    <row r="2200" spans="1:1">
      <c r="A2200" s="9" t="s">
        <v>1888</v>
      </c>
    </row>
    <row r="2201" spans="1:1" ht="25.5">
      <c r="A2201" s="9" t="s">
        <v>3622</v>
      </c>
    </row>
    <row r="2202" spans="1:1">
      <c r="A2202" s="11"/>
    </row>
    <row r="2203" spans="1:1" ht="102">
      <c r="A2203" s="9" t="s">
        <v>3623</v>
      </c>
    </row>
    <row r="2204" spans="1:1">
      <c r="A2204" s="9" t="s">
        <v>3624</v>
      </c>
    </row>
    <row r="2205" spans="1:1" ht="25.5">
      <c r="A2205" s="9" t="s">
        <v>3625</v>
      </c>
    </row>
    <row r="2206" spans="1:1">
      <c r="A2206" s="9" t="s">
        <v>3626</v>
      </c>
    </row>
    <row r="2207" spans="1:1" ht="76.5">
      <c r="A2207" s="9" t="s">
        <v>3627</v>
      </c>
    </row>
    <row r="2208" spans="1:1">
      <c r="A2208" s="11"/>
    </row>
    <row r="2209" spans="1:1" ht="140.25">
      <c r="A2209" s="9" t="s">
        <v>3628</v>
      </c>
    </row>
    <row r="2210" spans="1:1">
      <c r="A2210" s="9" t="s">
        <v>3629</v>
      </c>
    </row>
    <row r="2211" spans="1:1">
      <c r="A2211" s="9" t="s">
        <v>3630</v>
      </c>
    </row>
    <row r="2212" spans="1:1">
      <c r="A2212" s="9" t="s">
        <v>3631</v>
      </c>
    </row>
    <row r="2213" spans="1:1" ht="25.5">
      <c r="A2213" s="9" t="s">
        <v>3632</v>
      </c>
    </row>
    <row r="2214" spans="1:1">
      <c r="A2214" s="11"/>
    </row>
    <row r="2215" spans="1:1" ht="76.5">
      <c r="A2215" s="9" t="s">
        <v>3633</v>
      </c>
    </row>
    <row r="2216" spans="1:1">
      <c r="A2216" s="9" t="s">
        <v>3634</v>
      </c>
    </row>
    <row r="2217" spans="1:1">
      <c r="A2217" s="9" t="s">
        <v>3635</v>
      </c>
    </row>
    <row r="2218" spans="1:1">
      <c r="A2218" s="9" t="s">
        <v>3636</v>
      </c>
    </row>
    <row r="2219" spans="1:1" ht="25.5">
      <c r="A2219" s="9" t="s">
        <v>3637</v>
      </c>
    </row>
    <row r="2220" spans="1:1">
      <c r="A2220" s="11"/>
    </row>
    <row r="2221" spans="1:1" ht="51">
      <c r="A2221" s="9" t="s">
        <v>3638</v>
      </c>
    </row>
    <row r="2222" spans="1:1">
      <c r="A2222" s="9" t="s">
        <v>3639</v>
      </c>
    </row>
    <row r="2223" spans="1:1">
      <c r="A2223" s="9" t="s">
        <v>3640</v>
      </c>
    </row>
    <row r="2224" spans="1:1">
      <c r="A2224" s="9" t="s">
        <v>128</v>
      </c>
    </row>
    <row r="2225" spans="1:1" ht="25.5">
      <c r="A2225" s="9" t="s">
        <v>3641</v>
      </c>
    </row>
    <row r="2226" spans="1:1">
      <c r="A2226" s="11"/>
    </row>
    <row r="2227" spans="1:1" ht="76.5">
      <c r="A2227" s="9" t="s">
        <v>3642</v>
      </c>
    </row>
    <row r="2228" spans="1:1">
      <c r="A2228" s="9" t="s">
        <v>3643</v>
      </c>
    </row>
    <row r="2229" spans="1:1">
      <c r="A2229" s="9" t="s">
        <v>3644</v>
      </c>
    </row>
    <row r="2230" spans="1:1">
      <c r="A2230" s="9" t="s">
        <v>3645</v>
      </c>
    </row>
    <row r="2231" spans="1:1" ht="25.5">
      <c r="A2231" s="9" t="s">
        <v>3646</v>
      </c>
    </row>
    <row r="2232" spans="1:1">
      <c r="A2232" s="11"/>
    </row>
    <row r="2233" spans="1:1" ht="114.75">
      <c r="A2233" s="9" t="s">
        <v>3647</v>
      </c>
    </row>
    <row r="2234" spans="1:1">
      <c r="A2234" s="9" t="s">
        <v>3648</v>
      </c>
    </row>
    <row r="2235" spans="1:1">
      <c r="A2235" s="9" t="s">
        <v>3649</v>
      </c>
    </row>
    <row r="2236" spans="1:1">
      <c r="A2236" s="9" t="s">
        <v>3650</v>
      </c>
    </row>
    <row r="2237" spans="1:1" ht="25.5">
      <c r="A2237" s="9" t="s">
        <v>3651</v>
      </c>
    </row>
    <row r="2238" spans="1:1">
      <c r="A2238" s="11"/>
    </row>
    <row r="2239" spans="1:1" ht="63.75">
      <c r="A2239" s="9" t="s">
        <v>3652</v>
      </c>
    </row>
    <row r="2240" spans="1:1">
      <c r="A2240" s="9" t="s">
        <v>3653</v>
      </c>
    </row>
    <row r="2241" spans="1:1">
      <c r="A2241" s="9" t="s">
        <v>3654</v>
      </c>
    </row>
    <row r="2242" spans="1:1">
      <c r="A2242" s="9" t="s">
        <v>3655</v>
      </c>
    </row>
    <row r="2243" spans="1:1" ht="25.5">
      <c r="A2243" s="9" t="s">
        <v>3656</v>
      </c>
    </row>
    <row r="2244" spans="1:1">
      <c r="A2244" s="11"/>
    </row>
    <row r="2245" spans="1:1" ht="63.75">
      <c r="A2245" s="9" t="s">
        <v>3657</v>
      </c>
    </row>
    <row r="2246" spans="1:1">
      <c r="A2246" s="9" t="s">
        <v>3658</v>
      </c>
    </row>
    <row r="2247" spans="1:1">
      <c r="A2247" s="9" t="s">
        <v>3659</v>
      </c>
    </row>
    <row r="2248" spans="1:1">
      <c r="A2248" s="9" t="s">
        <v>3660</v>
      </c>
    </row>
    <row r="2249" spans="1:1" ht="25.5">
      <c r="A2249" s="9" t="s">
        <v>3661</v>
      </c>
    </row>
    <row r="2250" spans="1:1">
      <c r="A2250" s="11"/>
    </row>
    <row r="2251" spans="1:1" ht="102">
      <c r="A2251" s="9" t="s">
        <v>3662</v>
      </c>
    </row>
    <row r="2252" spans="1:1" ht="25.5">
      <c r="A2252" s="9" t="s">
        <v>2004</v>
      </c>
    </row>
    <row r="2253" spans="1:1">
      <c r="A2253" s="9" t="s">
        <v>3663</v>
      </c>
    </row>
    <row r="2254" spans="1:1">
      <c r="A2254" s="9" t="s">
        <v>3664</v>
      </c>
    </row>
    <row r="2255" spans="1:1" ht="38.25">
      <c r="A2255" s="9" t="s">
        <v>3665</v>
      </c>
    </row>
    <row r="2256" spans="1:1">
      <c r="A2256" s="11"/>
    </row>
    <row r="2257" spans="1:1" ht="51">
      <c r="A2257" s="9" t="s">
        <v>3666</v>
      </c>
    </row>
    <row r="2258" spans="1:1">
      <c r="A2258" s="9" t="s">
        <v>3667</v>
      </c>
    </row>
    <row r="2259" spans="1:1">
      <c r="A2259" s="9" t="s">
        <v>3668</v>
      </c>
    </row>
    <row r="2260" spans="1:1">
      <c r="A2260" s="9" t="s">
        <v>3669</v>
      </c>
    </row>
    <row r="2261" spans="1:1" ht="25.5">
      <c r="A2261" s="9" t="s">
        <v>3670</v>
      </c>
    </row>
    <row r="2262" spans="1:1">
      <c r="A2262" s="11"/>
    </row>
    <row r="2263" spans="1:1" ht="89.25">
      <c r="A2263" s="9" t="s">
        <v>3671</v>
      </c>
    </row>
    <row r="2264" spans="1:1" ht="25.5">
      <c r="A2264" s="9" t="s">
        <v>3672</v>
      </c>
    </row>
    <row r="2265" spans="1:1" ht="25.5">
      <c r="A2265" s="9" t="s">
        <v>3673</v>
      </c>
    </row>
    <row r="2266" spans="1:1">
      <c r="A2266" s="11"/>
    </row>
    <row r="2267" spans="1:1" ht="89.25">
      <c r="A2267" s="9" t="s">
        <v>3674</v>
      </c>
    </row>
    <row r="2268" spans="1:1">
      <c r="A2268" s="11"/>
    </row>
    <row r="2269" spans="1:1" ht="76.5">
      <c r="A2269" s="9" t="s">
        <v>3675</v>
      </c>
    </row>
    <row r="2270" spans="1:1">
      <c r="A2270" s="9" t="s">
        <v>3676</v>
      </c>
    </row>
    <row r="2271" spans="1:1">
      <c r="A2271" s="11"/>
    </row>
    <row r="2272" spans="1:1" ht="63.75">
      <c r="A2272" s="9" t="s">
        <v>3677</v>
      </c>
    </row>
    <row r="2273" spans="1:1" ht="51">
      <c r="A2273" s="9" t="s">
        <v>3678</v>
      </c>
    </row>
    <row r="2274" spans="1:1" ht="25.5">
      <c r="A2274" s="9" t="s">
        <v>3679</v>
      </c>
    </row>
    <row r="2275" spans="1:1">
      <c r="A2275" s="11"/>
    </row>
    <row r="2276" spans="1:1" ht="102">
      <c r="A2276" s="9" t="s">
        <v>3680</v>
      </c>
    </row>
    <row r="2277" spans="1:1">
      <c r="A2277" s="9" t="s">
        <v>3681</v>
      </c>
    </row>
    <row r="2278" spans="1:1">
      <c r="A2278" s="9" t="s">
        <v>3682</v>
      </c>
    </row>
    <row r="2279" spans="1:1">
      <c r="A2279" s="9" t="s">
        <v>3683</v>
      </c>
    </row>
    <row r="2280" spans="1:1" ht="102">
      <c r="A2280" s="9" t="s">
        <v>3684</v>
      </c>
    </row>
    <row r="2281" spans="1:1">
      <c r="A2281" s="11"/>
    </row>
    <row r="2282" spans="1:1" ht="114.75">
      <c r="A2282" s="9" t="s">
        <v>3685</v>
      </c>
    </row>
    <row r="2283" spans="1:1">
      <c r="A2283" s="9" t="s">
        <v>3686</v>
      </c>
    </row>
    <row r="2284" spans="1:1">
      <c r="A2284" s="9" t="s">
        <v>3687</v>
      </c>
    </row>
    <row r="2285" spans="1:1" ht="25.5">
      <c r="A2285" s="9" t="s">
        <v>3688</v>
      </c>
    </row>
    <row r="2286" spans="1:1" ht="25.5">
      <c r="A2286" s="9" t="s">
        <v>3689</v>
      </c>
    </row>
    <row r="2287" spans="1:1">
      <c r="A2287" s="11"/>
    </row>
    <row r="2288" spans="1:1" ht="89.25">
      <c r="A2288" s="9" t="s">
        <v>3690</v>
      </c>
    </row>
    <row r="2289" spans="1:1" ht="25.5">
      <c r="A2289" s="9" t="s">
        <v>3691</v>
      </c>
    </row>
    <row r="2290" spans="1:1" ht="25.5">
      <c r="A2290" s="9" t="s">
        <v>3692</v>
      </c>
    </row>
    <row r="2291" spans="1:1">
      <c r="A2291" s="9" t="s">
        <v>3693</v>
      </c>
    </row>
    <row r="2292" spans="1:1">
      <c r="A2292" s="9" t="s">
        <v>3694</v>
      </c>
    </row>
    <row r="2293" spans="1:1">
      <c r="A2293" s="11"/>
    </row>
    <row r="2294" spans="1:1" ht="63.75">
      <c r="A2294" s="9" t="s">
        <v>3695</v>
      </c>
    </row>
    <row r="2295" spans="1:1">
      <c r="A2295" s="9" t="s">
        <v>92</v>
      </c>
    </row>
    <row r="2296" spans="1:1">
      <c r="A2296" s="9" t="s">
        <v>1305</v>
      </c>
    </row>
    <row r="2297" spans="1:1">
      <c r="A2297" s="9" t="s">
        <v>918</v>
      </c>
    </row>
    <row r="2298" spans="1:1">
      <c r="A2298" s="9" t="s">
        <v>2618</v>
      </c>
    </row>
    <row r="2299" spans="1:1">
      <c r="A2299" s="11"/>
    </row>
    <row r="2300" spans="1:1" ht="51">
      <c r="A2300" s="9" t="s">
        <v>3696</v>
      </c>
    </row>
    <row r="2301" spans="1:1">
      <c r="A2301" s="9" t="s">
        <v>259</v>
      </c>
    </row>
    <row r="2302" spans="1:1">
      <c r="A2302" s="9" t="s">
        <v>3292</v>
      </c>
    </row>
    <row r="2303" spans="1:1">
      <c r="A2303" s="9" t="s">
        <v>1209</v>
      </c>
    </row>
    <row r="2304" spans="1:1">
      <c r="A2304" s="9" t="s">
        <v>1898</v>
      </c>
    </row>
    <row r="2305" spans="1:1">
      <c r="A2305" s="11"/>
    </row>
    <row r="2306" spans="1:1" ht="140.25">
      <c r="A2306" s="9" t="s">
        <v>3697</v>
      </c>
    </row>
    <row r="2307" spans="1:1" ht="25.5">
      <c r="A2307" s="9" t="s">
        <v>3698</v>
      </c>
    </row>
    <row r="2308" spans="1:1" ht="25.5">
      <c r="A2308" s="9" t="s">
        <v>3699</v>
      </c>
    </row>
    <row r="2309" spans="1:1" ht="25.5">
      <c r="A2309" s="9" t="s">
        <v>3700</v>
      </c>
    </row>
    <row r="2310" spans="1:1">
      <c r="A2310" s="9" t="s">
        <v>2996</v>
      </c>
    </row>
    <row r="2311" spans="1:1">
      <c r="A2311" s="11"/>
    </row>
    <row r="2312" spans="1:1" ht="76.5">
      <c r="A2312" s="9" t="s">
        <v>3701</v>
      </c>
    </row>
    <row r="2313" spans="1:1">
      <c r="A2313" s="9" t="s">
        <v>3702</v>
      </c>
    </row>
    <row r="2314" spans="1:1">
      <c r="A2314" s="9" t="s">
        <v>3703</v>
      </c>
    </row>
    <row r="2315" spans="1:1">
      <c r="A2315" s="9" t="s">
        <v>3704</v>
      </c>
    </row>
    <row r="2316" spans="1:1">
      <c r="A2316" s="9" t="s">
        <v>3361</v>
      </c>
    </row>
    <row r="2317" spans="1:1">
      <c r="A2317" s="11"/>
    </row>
    <row r="2318" spans="1:1" ht="63.75">
      <c r="A2318" s="9" t="s">
        <v>3705</v>
      </c>
    </row>
    <row r="2319" spans="1:1">
      <c r="A2319" s="9" t="s">
        <v>3706</v>
      </c>
    </row>
    <row r="2320" spans="1:1">
      <c r="A2320" s="9" t="s">
        <v>3707</v>
      </c>
    </row>
    <row r="2321" spans="1:1">
      <c r="A2321" s="9" t="s">
        <v>3708</v>
      </c>
    </row>
    <row r="2322" spans="1:1">
      <c r="A2322" s="9" t="s">
        <v>2996</v>
      </c>
    </row>
    <row r="2323" spans="1:1">
      <c r="A2323" s="11"/>
    </row>
    <row r="2324" spans="1:1" ht="63.75">
      <c r="A2324" s="9" t="s">
        <v>3709</v>
      </c>
    </row>
    <row r="2325" spans="1:1" ht="25.5">
      <c r="A2325" s="9" t="s">
        <v>3710</v>
      </c>
    </row>
    <row r="2326" spans="1:1" ht="25.5">
      <c r="A2326" s="9" t="s">
        <v>3711</v>
      </c>
    </row>
    <row r="2327" spans="1:1" ht="25.5">
      <c r="A2327" s="9" t="s">
        <v>3712</v>
      </c>
    </row>
    <row r="2328" spans="1:1">
      <c r="A2328" s="9" t="s">
        <v>3713</v>
      </c>
    </row>
    <row r="2329" spans="1:1">
      <c r="A2329" s="11"/>
    </row>
    <row r="2330" spans="1:1" ht="38.25">
      <c r="A2330" s="9" t="s">
        <v>3714</v>
      </c>
    </row>
    <row r="2331" spans="1:1" ht="38.25">
      <c r="A2331" s="9" t="s">
        <v>3715</v>
      </c>
    </row>
    <row r="2332" spans="1:1" ht="25.5">
      <c r="A2332" s="9" t="s">
        <v>3716</v>
      </c>
    </row>
    <row r="2333" spans="1:1">
      <c r="A2333" s="11"/>
    </row>
    <row r="2334" spans="1:1" ht="63.75">
      <c r="A2334" s="9" t="s">
        <v>3717</v>
      </c>
    </row>
    <row r="2335" spans="1:1">
      <c r="A2335" s="9" t="s">
        <v>580</v>
      </c>
    </row>
    <row r="2336" spans="1:1">
      <c r="A2336" s="9">
        <v>1987</v>
      </c>
    </row>
    <row r="2337" spans="1:1">
      <c r="A2337" s="9" t="s">
        <v>3718</v>
      </c>
    </row>
    <row r="2338" spans="1:1">
      <c r="A2338" s="9" t="s">
        <v>3719</v>
      </c>
    </row>
    <row r="2339" spans="1:1">
      <c r="A2339" s="11"/>
    </row>
    <row r="2340" spans="1:1" ht="51">
      <c r="A2340" s="9" t="s">
        <v>3720</v>
      </c>
    </row>
    <row r="2341" spans="1:1">
      <c r="A2341" s="9" t="s">
        <v>3721</v>
      </c>
    </row>
    <row r="2342" spans="1:1">
      <c r="A2342" s="9" t="s">
        <v>3722</v>
      </c>
    </row>
    <row r="2343" spans="1:1">
      <c r="A2343" s="9" t="s">
        <v>3723</v>
      </c>
    </row>
    <row r="2344" spans="1:1">
      <c r="A2344" s="9" t="s">
        <v>3724</v>
      </c>
    </row>
    <row r="2345" spans="1:1">
      <c r="A2345" s="11"/>
    </row>
    <row r="2346" spans="1:1" ht="51">
      <c r="A2346" s="9" t="s">
        <v>3725</v>
      </c>
    </row>
    <row r="2347" spans="1:1">
      <c r="A2347" s="9" t="s">
        <v>3726</v>
      </c>
    </row>
    <row r="2348" spans="1:1">
      <c r="A2348" s="9" t="s">
        <v>3727</v>
      </c>
    </row>
    <row r="2349" spans="1:1">
      <c r="A2349" s="9" t="s">
        <v>3728</v>
      </c>
    </row>
    <row r="2350" spans="1:1">
      <c r="A2350" s="9" t="s">
        <v>3729</v>
      </c>
    </row>
    <row r="2351" spans="1:1">
      <c r="A2351" s="11"/>
    </row>
    <row r="2352" spans="1:1" ht="102">
      <c r="A2352" s="9" t="s">
        <v>3730</v>
      </c>
    </row>
    <row r="2353" spans="1:1">
      <c r="A2353" s="9">
        <v>0.1</v>
      </c>
    </row>
    <row r="2354" spans="1:1">
      <c r="A2354" s="9">
        <v>0.2</v>
      </c>
    </row>
    <row r="2355" spans="1:1">
      <c r="A2355" s="9">
        <v>0.3</v>
      </c>
    </row>
    <row r="2356" spans="1:1" ht="153">
      <c r="A2356" s="9" t="s">
        <v>3731</v>
      </c>
    </row>
    <row r="2357" spans="1:1">
      <c r="A2357" s="11"/>
    </row>
    <row r="2358" spans="1:1" ht="51">
      <c r="A2358" s="9" t="s">
        <v>3732</v>
      </c>
    </row>
    <row r="2359" spans="1:1" ht="25.5">
      <c r="A2359" s="9" t="s">
        <v>3733</v>
      </c>
    </row>
    <row r="2360" spans="1:1" ht="25.5">
      <c r="A2360" s="9" t="s">
        <v>3734</v>
      </c>
    </row>
    <row r="2361" spans="1:1" ht="25.5">
      <c r="A2361" s="9" t="s">
        <v>3735</v>
      </c>
    </row>
    <row r="2362" spans="1:1" ht="38.25">
      <c r="A2362" s="9" t="s">
        <v>3736</v>
      </c>
    </row>
    <row r="2363" spans="1:1">
      <c r="A2363" s="11"/>
    </row>
    <row r="2364" spans="1:1" ht="51">
      <c r="A2364" s="9" t="s">
        <v>3737</v>
      </c>
    </row>
    <row r="2365" spans="1:1">
      <c r="A2365" s="9" t="s">
        <v>3738</v>
      </c>
    </row>
    <row r="2366" spans="1:1">
      <c r="A2366" s="9" t="s">
        <v>3739</v>
      </c>
    </row>
    <row r="2367" spans="1:1">
      <c r="A2367" s="9" t="s">
        <v>3740</v>
      </c>
    </row>
    <row r="2368" spans="1:1">
      <c r="A2368" s="9" t="s">
        <v>3375</v>
      </c>
    </row>
    <row r="2369" spans="1:1">
      <c r="A2369" s="11"/>
    </row>
    <row r="2370" spans="1:1" ht="76.5">
      <c r="A2370" s="9" t="s">
        <v>3741</v>
      </c>
    </row>
    <row r="2371" spans="1:1" ht="51">
      <c r="A2371" s="9" t="s">
        <v>3742</v>
      </c>
    </row>
    <row r="2372" spans="1:1" ht="25.5">
      <c r="A2372" s="9" t="s">
        <v>3743</v>
      </c>
    </row>
    <row r="2373" spans="1:1">
      <c r="A2373" s="11"/>
    </row>
    <row r="2374" spans="1:1" ht="63.75">
      <c r="A2374" s="9" t="s">
        <v>3744</v>
      </c>
    </row>
    <row r="2375" spans="1:1" ht="102">
      <c r="A2375" s="9" t="s">
        <v>3745</v>
      </c>
    </row>
    <row r="2376" spans="1:1" ht="51">
      <c r="A2376" s="9" t="s">
        <v>3746</v>
      </c>
    </row>
    <row r="2377" spans="1:1">
      <c r="A2377" s="11"/>
    </row>
    <row r="2378" spans="1:1" ht="102">
      <c r="A2378" s="9" t="s">
        <v>3747</v>
      </c>
    </row>
    <row r="2379" spans="1:1">
      <c r="A2379" s="9" t="s">
        <v>3748</v>
      </c>
    </row>
    <row r="2380" spans="1:1">
      <c r="A2380" s="9" t="s">
        <v>3749</v>
      </c>
    </row>
    <row r="2381" spans="1:1" ht="25.5">
      <c r="A2381" s="9" t="s">
        <v>3750</v>
      </c>
    </row>
    <row r="2382" spans="1:1" ht="25.5">
      <c r="A2382" s="9" t="s">
        <v>3751</v>
      </c>
    </row>
    <row r="2383" spans="1:1">
      <c r="A2383" s="11"/>
    </row>
    <row r="2384" spans="1:1" ht="76.5">
      <c r="A2384" s="9" t="s">
        <v>3752</v>
      </c>
    </row>
    <row r="2385" spans="1:1">
      <c r="A2385" s="9" t="s">
        <v>3753</v>
      </c>
    </row>
    <row r="2386" spans="1:1" ht="25.5">
      <c r="A2386" s="9" t="s">
        <v>3754</v>
      </c>
    </row>
    <row r="2387" spans="1:1">
      <c r="A2387" s="9" t="s">
        <v>3435</v>
      </c>
    </row>
    <row r="2388" spans="1:1" ht="25.5">
      <c r="A2388" s="9" t="s">
        <v>3755</v>
      </c>
    </row>
    <row r="2389" spans="1:1">
      <c r="A2389" s="11"/>
    </row>
    <row r="2390" spans="1:1" ht="76.5">
      <c r="A2390" s="9" t="s">
        <v>3756</v>
      </c>
    </row>
    <row r="2391" spans="1:1">
      <c r="A2391" s="9" t="s">
        <v>3757</v>
      </c>
    </row>
    <row r="2392" spans="1:1">
      <c r="A2392" s="9" t="s">
        <v>3758</v>
      </c>
    </row>
    <row r="2393" spans="1:1">
      <c r="A2393" s="9" t="s">
        <v>3759</v>
      </c>
    </row>
    <row r="2394" spans="1:1">
      <c r="A2394" s="9" t="s">
        <v>3760</v>
      </c>
    </row>
    <row r="2395" spans="1:1">
      <c r="A2395" s="11"/>
    </row>
    <row r="2396" spans="1:1" ht="63.75">
      <c r="A2396" s="9" t="s">
        <v>3761</v>
      </c>
    </row>
    <row r="2397" spans="1:1">
      <c r="A2397" s="9">
        <v>1.3756944444444443</v>
      </c>
    </row>
    <row r="2398" spans="1:1">
      <c r="A2398" s="9">
        <v>6.9444444444444447E-4</v>
      </c>
    </row>
    <row r="2399" spans="1:1">
      <c r="A2399" s="9">
        <v>1.4590277777777778</v>
      </c>
    </row>
    <row r="2400" spans="1:1">
      <c r="A2400" s="9" t="s">
        <v>3762</v>
      </c>
    </row>
    <row r="2401" spans="1:1">
      <c r="A2401" s="11"/>
    </row>
    <row r="2402" spans="1:1" ht="89.25">
      <c r="A2402" s="9" t="s">
        <v>3763</v>
      </c>
    </row>
    <row r="2403" spans="1:1">
      <c r="A2403" s="9" t="s">
        <v>3764</v>
      </c>
    </row>
    <row r="2404" spans="1:1">
      <c r="A2404" s="9" t="s">
        <v>3765</v>
      </c>
    </row>
    <row r="2405" spans="1:1">
      <c r="A2405" s="9" t="s">
        <v>3766</v>
      </c>
    </row>
    <row r="2406" spans="1:1">
      <c r="A2406" s="11"/>
    </row>
    <row r="2407" spans="1:1" ht="89.25">
      <c r="A2407" s="9" t="s">
        <v>3767</v>
      </c>
    </row>
    <row r="2408" spans="1:1">
      <c r="A2408" s="9" t="s">
        <v>580</v>
      </c>
    </row>
    <row r="2409" spans="1:1">
      <c r="A2409" s="9" t="s">
        <v>3768</v>
      </c>
    </row>
    <row r="2410" spans="1:1" ht="25.5">
      <c r="A2410" s="9" t="s">
        <v>3769</v>
      </c>
    </row>
    <row r="2411" spans="1:1">
      <c r="A2411" s="11"/>
    </row>
    <row r="2412" spans="1:1" ht="165.75">
      <c r="A2412" s="9" t="s">
        <v>3770</v>
      </c>
    </row>
    <row r="2413" spans="1:1">
      <c r="A2413" s="9" t="s">
        <v>3771</v>
      </c>
    </row>
    <row r="2414" spans="1:1">
      <c r="A2414" s="9" t="s">
        <v>3772</v>
      </c>
    </row>
    <row r="2415" spans="1:1">
      <c r="A2415" s="9" t="s">
        <v>3773</v>
      </c>
    </row>
    <row r="2416" spans="1:1">
      <c r="A2416" s="11"/>
    </row>
    <row r="2417" spans="1:1" ht="76.5">
      <c r="A2417" s="9" t="s">
        <v>3774</v>
      </c>
    </row>
    <row r="2418" spans="1:1" ht="25.5">
      <c r="A2418" s="9" t="s">
        <v>3775</v>
      </c>
    </row>
    <row r="2419" spans="1:1" ht="38.25">
      <c r="A2419" s="9" t="s">
        <v>3776</v>
      </c>
    </row>
    <row r="2420" spans="1:1" ht="25.5">
      <c r="A2420" s="9" t="s">
        <v>3777</v>
      </c>
    </row>
    <row r="2421" spans="1:1">
      <c r="A2421" s="11"/>
    </row>
    <row r="2422" spans="1:1" ht="127.5">
      <c r="A2422" s="9" t="s">
        <v>3778</v>
      </c>
    </row>
    <row r="2423" spans="1:1" ht="25.5">
      <c r="A2423" s="9" t="s">
        <v>3779</v>
      </c>
    </row>
    <row r="2424" spans="1:1" ht="25.5">
      <c r="A2424" s="9" t="s">
        <v>3780</v>
      </c>
    </row>
    <row r="2425" spans="1:1" ht="25.5">
      <c r="A2425" s="9" t="s">
        <v>3781</v>
      </c>
    </row>
    <row r="2426" spans="1:1" ht="38.25">
      <c r="A2426" s="9" t="s">
        <v>3782</v>
      </c>
    </row>
    <row r="2427" spans="1:1">
      <c r="A2427" s="11"/>
    </row>
    <row r="2428" spans="1:1" ht="127.5">
      <c r="A2428" s="9" t="s">
        <v>3783</v>
      </c>
    </row>
    <row r="2429" spans="1:1">
      <c r="A2429" s="9" t="s">
        <v>3784</v>
      </c>
    </row>
    <row r="2430" spans="1:1">
      <c r="A2430" s="9" t="s">
        <v>3785</v>
      </c>
    </row>
    <row r="2431" spans="1:1">
      <c r="A2431" s="9" t="s">
        <v>3786</v>
      </c>
    </row>
    <row r="2432" spans="1:1" ht="38.25">
      <c r="A2432" s="9" t="s">
        <v>3787</v>
      </c>
    </row>
    <row r="2433" spans="1:1">
      <c r="A2433" s="11"/>
    </row>
    <row r="2434" spans="1:1" ht="153">
      <c r="A2434" s="9" t="s">
        <v>3788</v>
      </c>
    </row>
    <row r="2435" spans="1:1">
      <c r="A2435" s="9" t="s">
        <v>3789</v>
      </c>
    </row>
    <row r="2436" spans="1:1">
      <c r="A2436" s="9" t="s">
        <v>3790</v>
      </c>
    </row>
    <row r="2437" spans="1:1" ht="25.5">
      <c r="A2437" s="9" t="s">
        <v>3791</v>
      </c>
    </row>
    <row r="2438" spans="1:1" ht="38.25">
      <c r="A2438" s="9" t="s">
        <v>3792</v>
      </c>
    </row>
    <row r="2439" spans="1:1">
      <c r="A2439" s="11"/>
    </row>
    <row r="2440" spans="1:1" ht="89.25">
      <c r="A2440" s="9" t="s">
        <v>3793</v>
      </c>
    </row>
    <row r="2441" spans="1:1">
      <c r="A2441" s="9" t="s">
        <v>3794</v>
      </c>
    </row>
    <row r="2442" spans="1:1">
      <c r="A2442" s="9" t="s">
        <v>3795</v>
      </c>
    </row>
    <row r="2443" spans="1:1">
      <c r="A2443" s="9" t="s">
        <v>3796</v>
      </c>
    </row>
    <row r="2444" spans="1:1">
      <c r="A2444" s="9" t="s">
        <v>3797</v>
      </c>
    </row>
    <row r="2445" spans="1:1">
      <c r="A2445" s="11"/>
    </row>
    <row r="2446" spans="1:1" ht="76.5">
      <c r="A2446" s="9" t="s">
        <v>3798</v>
      </c>
    </row>
    <row r="2447" spans="1:1">
      <c r="A2447" s="9" t="s">
        <v>3799</v>
      </c>
    </row>
    <row r="2448" spans="1:1">
      <c r="A2448" s="9" t="s">
        <v>3800</v>
      </c>
    </row>
    <row r="2449" spans="1:1">
      <c r="A2449" s="9" t="s">
        <v>3801</v>
      </c>
    </row>
    <row r="2450" spans="1:1">
      <c r="A2450" s="9" t="s">
        <v>3802</v>
      </c>
    </row>
    <row r="2451" spans="1:1">
      <c r="A2451" s="11"/>
    </row>
    <row r="2452" spans="1:1" ht="114.75">
      <c r="A2452" s="9" t="s">
        <v>3803</v>
      </c>
    </row>
    <row r="2453" spans="1:1">
      <c r="A2453" s="9" t="s">
        <v>3804</v>
      </c>
    </row>
    <row r="2454" spans="1:1">
      <c r="A2454" s="9" t="s">
        <v>3805</v>
      </c>
    </row>
    <row r="2455" spans="1:1" ht="25.5">
      <c r="A2455" s="9" t="s">
        <v>3806</v>
      </c>
    </row>
    <row r="2456" spans="1:1" ht="38.25">
      <c r="A2456" s="9" t="s">
        <v>3807</v>
      </c>
    </row>
    <row r="2457" spans="1:1">
      <c r="A2457" s="11"/>
    </row>
    <row r="2458" spans="1:1" ht="114.75">
      <c r="A2458" s="9" t="s">
        <v>3808</v>
      </c>
    </row>
    <row r="2459" spans="1:1">
      <c r="A2459" s="11"/>
    </row>
    <row r="2460" spans="1:1" ht="51">
      <c r="A2460" s="9" t="s">
        <v>3809</v>
      </c>
    </row>
    <row r="2461" spans="1:1">
      <c r="A2461" s="9" t="s">
        <v>3810</v>
      </c>
    </row>
    <row r="2462" spans="1:1">
      <c r="A2462" s="9" t="s">
        <v>3811</v>
      </c>
    </row>
    <row r="2463" spans="1:1">
      <c r="A2463" s="9" t="s">
        <v>3812</v>
      </c>
    </row>
    <row r="2464" spans="1:1">
      <c r="A2464" s="9" t="s">
        <v>3813</v>
      </c>
    </row>
    <row r="2465" spans="1:1">
      <c r="A2465" s="11"/>
    </row>
    <row r="2466" spans="1:1" ht="76.5">
      <c r="A2466" s="9" t="s">
        <v>3814</v>
      </c>
    </row>
    <row r="2467" spans="1:1">
      <c r="A2467" s="9" t="s">
        <v>3815</v>
      </c>
    </row>
    <row r="2468" spans="1:1">
      <c r="A2468" s="9" t="s">
        <v>3816</v>
      </c>
    </row>
    <row r="2469" spans="1:1">
      <c r="A2469" s="9" t="s">
        <v>3817</v>
      </c>
    </row>
    <row r="2470" spans="1:1" ht="76.5">
      <c r="A2470" s="9" t="s">
        <v>3818</v>
      </c>
    </row>
    <row r="2471" spans="1:1">
      <c r="A2471" s="11"/>
    </row>
    <row r="2472" spans="1:1" ht="89.25">
      <c r="A2472" s="9" t="s">
        <v>3819</v>
      </c>
    </row>
    <row r="2473" spans="1:1" ht="38.25">
      <c r="A2473" s="9" t="s">
        <v>3820</v>
      </c>
    </row>
    <row r="2474" spans="1:1">
      <c r="A2474" s="9" t="s">
        <v>3821</v>
      </c>
    </row>
    <row r="2475" spans="1:1">
      <c r="A2475" s="9" t="s">
        <v>3822</v>
      </c>
    </row>
    <row r="2476" spans="1:1">
      <c r="A2476" s="9" t="s">
        <v>3823</v>
      </c>
    </row>
    <row r="2477" spans="1:1" ht="25.5">
      <c r="A2477" s="9" t="s">
        <v>3824</v>
      </c>
    </row>
    <row r="2478" spans="1:1">
      <c r="A2478" s="11"/>
    </row>
    <row r="2479" spans="1:1" ht="114.75">
      <c r="A2479" s="9" t="s">
        <v>3825</v>
      </c>
    </row>
    <row r="2480" spans="1:1">
      <c r="A2480" s="11"/>
    </row>
    <row r="2481" spans="1:1" ht="89.25">
      <c r="A2481" s="9" t="s">
        <v>3826</v>
      </c>
    </row>
    <row r="2482" spans="1:1">
      <c r="A2482" s="9">
        <v>123</v>
      </c>
    </row>
    <row r="2483" spans="1:1">
      <c r="A2483" s="9">
        <v>128</v>
      </c>
    </row>
    <row r="2484" spans="1:1">
      <c r="A2484" s="9">
        <v>131</v>
      </c>
    </row>
    <row r="2485" spans="1:1" ht="25.5">
      <c r="A2485" s="9" t="s">
        <v>3827</v>
      </c>
    </row>
    <row r="2486" spans="1:1">
      <c r="A2486" s="11"/>
    </row>
    <row r="2487" spans="1:1" ht="76.5">
      <c r="A2487" s="9" t="s">
        <v>3828</v>
      </c>
    </row>
    <row r="2488" spans="1:1" ht="25.5">
      <c r="A2488" s="9" t="s">
        <v>3829</v>
      </c>
    </row>
    <row r="2489" spans="1:1" ht="25.5">
      <c r="A2489" s="9" t="s">
        <v>3830</v>
      </c>
    </row>
    <row r="2490" spans="1:1" ht="25.5">
      <c r="A2490" s="9" t="s">
        <v>3831</v>
      </c>
    </row>
    <row r="2491" spans="1:1" ht="25.5">
      <c r="A2491" s="9" t="s">
        <v>3832</v>
      </c>
    </row>
    <row r="2492" spans="1:1">
      <c r="A2492" s="11"/>
    </row>
    <row r="2493" spans="1:1" ht="76.5">
      <c r="A2493" s="9" t="s">
        <v>3833</v>
      </c>
    </row>
    <row r="2494" spans="1:1" ht="51">
      <c r="A2494" s="9" t="s">
        <v>3834</v>
      </c>
    </row>
    <row r="2495" spans="1:1" ht="25.5">
      <c r="A2495" s="9" t="s">
        <v>3835</v>
      </c>
    </row>
    <row r="2496" spans="1:1">
      <c r="A2496" s="11"/>
    </row>
    <row r="2497" spans="1:1" ht="63.75">
      <c r="A2497" s="9" t="s">
        <v>3836</v>
      </c>
    </row>
    <row r="2498" spans="1:1">
      <c r="A2498" s="9" t="s">
        <v>3837</v>
      </c>
    </row>
    <row r="2499" spans="1:1" ht="38.25">
      <c r="A2499" s="9" t="s">
        <v>3838</v>
      </c>
    </row>
    <row r="2500" spans="1:1" ht="38.25">
      <c r="A2500" s="9" t="s">
        <v>3839</v>
      </c>
    </row>
    <row r="2501" spans="1:1" ht="25.5">
      <c r="A2501" s="9" t="s">
        <v>3840</v>
      </c>
    </row>
    <row r="2502" spans="1:1">
      <c r="A2502" s="11"/>
    </row>
    <row r="2503" spans="1:1" ht="63.75">
      <c r="A2503" s="9" t="s">
        <v>3841</v>
      </c>
    </row>
    <row r="2504" spans="1:1" ht="51">
      <c r="A2504" s="9" t="s">
        <v>3842</v>
      </c>
    </row>
    <row r="2505" spans="1:1" ht="25.5">
      <c r="A2505" s="9" t="s">
        <v>3843</v>
      </c>
    </row>
    <row r="2506" spans="1:1">
      <c r="A2506" s="11"/>
    </row>
    <row r="2507" spans="1:1" ht="114.75">
      <c r="A2507" s="9" t="s">
        <v>3844</v>
      </c>
    </row>
    <row r="2508" spans="1:1" ht="25.5">
      <c r="A2508" s="9" t="s">
        <v>3845</v>
      </c>
    </row>
    <row r="2509" spans="1:1" ht="25.5">
      <c r="A2509" s="9" t="s">
        <v>3846</v>
      </c>
    </row>
    <row r="2510" spans="1:1">
      <c r="A2510" s="11"/>
    </row>
    <row r="2511" spans="1:1" ht="76.5">
      <c r="A2511" s="9" t="s">
        <v>3847</v>
      </c>
    </row>
    <row r="2512" spans="1:1">
      <c r="A2512" s="9" t="s">
        <v>3848</v>
      </c>
    </row>
    <row r="2513" spans="1:1">
      <c r="A2513" s="9" t="s">
        <v>3849</v>
      </c>
    </row>
    <row r="2514" spans="1:1" ht="25.5">
      <c r="A2514" s="9" t="s">
        <v>3850</v>
      </c>
    </row>
    <row r="2515" spans="1:1">
      <c r="A2515" s="9" t="s">
        <v>2582</v>
      </c>
    </row>
    <row r="2516" spans="1:1">
      <c r="A2516" s="11"/>
    </row>
    <row r="2517" spans="1:1" ht="38.25">
      <c r="A2517" s="9" t="s">
        <v>3851</v>
      </c>
    </row>
    <row r="2518" spans="1:1">
      <c r="A2518" s="9" t="s">
        <v>3852</v>
      </c>
    </row>
    <row r="2519" spans="1:1">
      <c r="A2519" s="9" t="s">
        <v>3853</v>
      </c>
    </row>
    <row r="2520" spans="1:1">
      <c r="A2520" s="9" t="s">
        <v>3854</v>
      </c>
    </row>
    <row r="2521" spans="1:1" ht="25.5">
      <c r="A2521" s="9" t="s">
        <v>3855</v>
      </c>
    </row>
    <row r="2522" spans="1:1">
      <c r="A2522" s="11"/>
    </row>
    <row r="2523" spans="1:1" ht="178.5">
      <c r="A2523" s="9" t="s">
        <v>3856</v>
      </c>
    </row>
    <row r="2524" spans="1:1" ht="25.5">
      <c r="A2524" s="9" t="s">
        <v>3857</v>
      </c>
    </row>
    <row r="2525" spans="1:1">
      <c r="A2525" s="11"/>
    </row>
    <row r="2526" spans="1:1" ht="153">
      <c r="A2526" s="9" t="s">
        <v>3858</v>
      </c>
    </row>
    <row r="2527" spans="1:1" ht="25.5">
      <c r="A2527" s="9" t="s">
        <v>3859</v>
      </c>
    </row>
    <row r="2528" spans="1:1" ht="25.5">
      <c r="A2528" s="9" t="s">
        <v>3860</v>
      </c>
    </row>
    <row r="2529" spans="1:1" ht="25.5">
      <c r="A2529" s="9" t="s">
        <v>3861</v>
      </c>
    </row>
    <row r="2530" spans="1:1" ht="25.5">
      <c r="A2530" s="9" t="s">
        <v>3862</v>
      </c>
    </row>
    <row r="2531" spans="1:1">
      <c r="A2531" s="11"/>
    </row>
    <row r="2532" spans="1:1" ht="76.5">
      <c r="A2532" s="9" t="s">
        <v>3863</v>
      </c>
    </row>
    <row r="2533" spans="1:1">
      <c r="A2533" s="9" t="s">
        <v>3864</v>
      </c>
    </row>
    <row r="2534" spans="1:1">
      <c r="A2534" s="9" t="s">
        <v>3865</v>
      </c>
    </row>
    <row r="2535" spans="1:1">
      <c r="A2535" s="9" t="s">
        <v>3866</v>
      </c>
    </row>
    <row r="2536" spans="1:1">
      <c r="A2536" s="9" t="s">
        <v>2582</v>
      </c>
    </row>
    <row r="2537" spans="1:1">
      <c r="A2537" s="11"/>
    </row>
    <row r="2538" spans="1:1" ht="38.25">
      <c r="A2538" s="9" t="s">
        <v>3867</v>
      </c>
    </row>
    <row r="2539" spans="1:1" ht="76.5">
      <c r="A2539" s="9" t="s">
        <v>3868</v>
      </c>
    </row>
    <row r="2540" spans="1:1" ht="25.5">
      <c r="A2540" s="9" t="s">
        <v>3869</v>
      </c>
    </row>
    <row r="2541" spans="1:1">
      <c r="A2541" s="11"/>
    </row>
    <row r="2542" spans="1:1" ht="89.25">
      <c r="A2542" s="9" t="s">
        <v>3870</v>
      </c>
    </row>
    <row r="2543" spans="1:1" ht="38.25">
      <c r="A2543" s="9" t="s">
        <v>3871</v>
      </c>
    </row>
    <row r="2544" spans="1:1" ht="25.5">
      <c r="A2544" s="9" t="s">
        <v>3872</v>
      </c>
    </row>
    <row r="2545" spans="1:1">
      <c r="A2545" s="11"/>
    </row>
    <row r="2546" spans="1:1" ht="153">
      <c r="A2546" s="9" t="s">
        <v>3873</v>
      </c>
    </row>
    <row r="2547" spans="1:1" ht="38.25">
      <c r="A2547" s="9" t="s">
        <v>3874</v>
      </c>
    </row>
    <row r="2548" spans="1:1">
      <c r="A2548" s="9" t="s">
        <v>3875</v>
      </c>
    </row>
    <row r="2549" spans="1:1">
      <c r="A2549" s="11"/>
    </row>
    <row r="2550" spans="1:1" ht="51">
      <c r="A2550" s="9" t="s">
        <v>3876</v>
      </c>
    </row>
    <row r="2551" spans="1:1" ht="63.75">
      <c r="A2551" s="9" t="s">
        <v>3877</v>
      </c>
    </row>
    <row r="2552" spans="1:1" ht="38.25">
      <c r="A2552" s="9" t="s">
        <v>3878</v>
      </c>
    </row>
    <row r="2553" spans="1:1">
      <c r="A2553" s="11"/>
    </row>
    <row r="2554" spans="1:1" ht="51">
      <c r="A2554" s="9" t="s">
        <v>3879</v>
      </c>
    </row>
    <row r="2555" spans="1:1" ht="51">
      <c r="A2555" s="9" t="s">
        <v>3880</v>
      </c>
    </row>
    <row r="2556" spans="1:1" ht="25.5">
      <c r="A2556" s="9" t="s">
        <v>3881</v>
      </c>
    </row>
    <row r="2557" spans="1:1">
      <c r="A2557" s="11"/>
    </row>
    <row r="2558" spans="1:1" ht="114.75">
      <c r="A2558" s="9" t="s">
        <v>3882</v>
      </c>
    </row>
    <row r="2559" spans="1:1" ht="51">
      <c r="A2559" s="9" t="s">
        <v>3883</v>
      </c>
    </row>
    <row r="2560" spans="1:1" ht="25.5">
      <c r="A2560" s="9" t="s">
        <v>3884</v>
      </c>
    </row>
    <row r="2561" spans="1:1">
      <c r="A2561" s="11"/>
    </row>
    <row r="2562" spans="1:1" ht="89.25">
      <c r="A2562" s="9" t="s">
        <v>3885</v>
      </c>
    </row>
    <row r="2563" spans="1:1" ht="25.5">
      <c r="A2563" s="9" t="s">
        <v>3886</v>
      </c>
    </row>
    <row r="2564" spans="1:1">
      <c r="A2564" s="9" t="s">
        <v>3887</v>
      </c>
    </row>
    <row r="2565" spans="1:1">
      <c r="A2565" s="11"/>
    </row>
    <row r="2566" spans="1:1" ht="102">
      <c r="A2566" s="9" t="s">
        <v>3888</v>
      </c>
    </row>
    <row r="2567" spans="1:1" ht="51">
      <c r="A2567" s="9" t="s">
        <v>3889</v>
      </c>
    </row>
    <row r="2568" spans="1:1" ht="25.5">
      <c r="A2568" s="9" t="s">
        <v>3890</v>
      </c>
    </row>
    <row r="2569" spans="1:1">
      <c r="A2569" s="11"/>
    </row>
    <row r="2570" spans="1:1" ht="63.75">
      <c r="A2570" s="9" t="s">
        <v>3891</v>
      </c>
    </row>
    <row r="2571" spans="1:1" ht="25.5">
      <c r="A2571" s="9" t="s">
        <v>3892</v>
      </c>
    </row>
    <row r="2572" spans="1:1">
      <c r="A2572" s="9" t="s">
        <v>3893</v>
      </c>
    </row>
    <row r="2573" spans="1:1">
      <c r="A2573" s="11"/>
    </row>
    <row r="2574" spans="1:1" ht="89.25">
      <c r="A2574" s="9" t="s">
        <v>3894</v>
      </c>
    </row>
    <row r="2575" spans="1:1" ht="25.5">
      <c r="A2575" s="9" t="s">
        <v>3895</v>
      </c>
    </row>
    <row r="2576" spans="1:1">
      <c r="A2576" s="9" t="s">
        <v>3896</v>
      </c>
    </row>
    <row r="2577" spans="1:1">
      <c r="A2577" s="11"/>
    </row>
    <row r="2578" spans="1:1" ht="51">
      <c r="A2578" s="9" t="s">
        <v>3897</v>
      </c>
    </row>
    <row r="2579" spans="1:1">
      <c r="A2579" s="9" t="s">
        <v>3898</v>
      </c>
    </row>
    <row r="2580" spans="1:1" ht="25.5">
      <c r="A2580" s="9" t="s">
        <v>3899</v>
      </c>
    </row>
    <row r="2581" spans="1:1" ht="25.5">
      <c r="A2581" s="9" t="s">
        <v>3900</v>
      </c>
    </row>
    <row r="2582" spans="1:1">
      <c r="A2582" s="9" t="s">
        <v>3901</v>
      </c>
    </row>
    <row r="2583" spans="1:1">
      <c r="A2583" s="11"/>
    </row>
    <row r="2584" spans="1:1" ht="63.75">
      <c r="A2584" s="9" t="s">
        <v>3902</v>
      </c>
    </row>
    <row r="2585" spans="1:1" ht="51">
      <c r="A2585" s="9" t="s">
        <v>3903</v>
      </c>
    </row>
    <row r="2586" spans="1:1">
      <c r="A2586" s="9" t="s">
        <v>3904</v>
      </c>
    </row>
    <row r="2587" spans="1:1">
      <c r="A2587" s="11"/>
    </row>
    <row r="2588" spans="1:1" ht="51">
      <c r="A2588" s="9" t="s">
        <v>3905</v>
      </c>
    </row>
    <row r="2589" spans="1:1" ht="25.5">
      <c r="A2589" s="9" t="s">
        <v>3906</v>
      </c>
    </row>
    <row r="2590" spans="1:1">
      <c r="A2590" s="9" t="s">
        <v>3907</v>
      </c>
    </row>
    <row r="2591" spans="1:1">
      <c r="A2591" s="11"/>
    </row>
    <row r="2592" spans="1:1" ht="114.75">
      <c r="A2592" s="9" t="s">
        <v>3908</v>
      </c>
    </row>
    <row r="2593" spans="1:1" ht="204">
      <c r="A2593" s="9" t="s">
        <v>3909</v>
      </c>
    </row>
    <row r="2594" spans="1:1">
      <c r="A2594" s="11"/>
    </row>
    <row r="2595" spans="1:1" ht="38.25">
      <c r="A2595" s="9" t="s">
        <v>3910</v>
      </c>
    </row>
    <row r="2596" spans="1:1" ht="38.25">
      <c r="A2596" s="9" t="s">
        <v>3911</v>
      </c>
    </row>
    <row r="2597" spans="1:1">
      <c r="A2597" s="9" t="s">
        <v>3375</v>
      </c>
    </row>
    <row r="2598" spans="1:1">
      <c r="A2598" s="11"/>
    </row>
    <row r="2599" spans="1:1" ht="76.5">
      <c r="A2599" s="9" t="s">
        <v>3912</v>
      </c>
    </row>
    <row r="2600" spans="1:1" ht="38.25">
      <c r="A2600" s="9" t="s">
        <v>3913</v>
      </c>
    </row>
    <row r="2601" spans="1:1">
      <c r="A2601" s="9" t="s">
        <v>3375</v>
      </c>
    </row>
    <row r="2602" spans="1:1">
      <c r="A2602" s="11"/>
    </row>
    <row r="2603" spans="1:1" ht="63.75">
      <c r="A2603" s="9" t="s">
        <v>3914</v>
      </c>
    </row>
    <row r="2604" spans="1:1" ht="25.5">
      <c r="A2604" s="9" t="s">
        <v>3915</v>
      </c>
    </row>
    <row r="2605" spans="1:1">
      <c r="A2605" s="9" t="s">
        <v>3916</v>
      </c>
    </row>
    <row r="2606" spans="1:1">
      <c r="A2606" s="11"/>
    </row>
    <row r="2607" spans="1:1" ht="51">
      <c r="A2607" s="9" t="s">
        <v>3917</v>
      </c>
    </row>
    <row r="2608" spans="1:1">
      <c r="A2608" s="9" t="s">
        <v>3918</v>
      </c>
    </row>
    <row r="2609" spans="1:1">
      <c r="A2609" s="9" t="s">
        <v>3919</v>
      </c>
    </row>
    <row r="2610" spans="1:1">
      <c r="A2610" s="9" t="s">
        <v>3920</v>
      </c>
    </row>
    <row r="2611" spans="1:1" ht="25.5">
      <c r="A2611" s="9" t="s">
        <v>3921</v>
      </c>
    </row>
    <row r="2612" spans="1:1">
      <c r="A2612" s="11"/>
    </row>
    <row r="2613" spans="1:1" ht="51">
      <c r="A2613" s="9" t="s">
        <v>3922</v>
      </c>
    </row>
    <row r="2614" spans="1:1" ht="25.5">
      <c r="A2614" s="9" t="s">
        <v>3923</v>
      </c>
    </row>
    <row r="2615" spans="1:1" ht="25.5">
      <c r="A2615" s="9" t="s">
        <v>3924</v>
      </c>
    </row>
    <row r="2616" spans="1:1" ht="25.5">
      <c r="A2616" s="9" t="s">
        <v>3925</v>
      </c>
    </row>
    <row r="2617" spans="1:1" ht="38.25">
      <c r="A2617" s="9" t="s">
        <v>3926</v>
      </c>
    </row>
    <row r="2618" spans="1:1">
      <c r="A2618" s="11"/>
    </row>
    <row r="2619" spans="1:1" ht="51">
      <c r="A2619" s="9" t="s">
        <v>3927</v>
      </c>
    </row>
    <row r="2620" spans="1:1">
      <c r="A2620" s="9" t="s">
        <v>3928</v>
      </c>
    </row>
    <row r="2621" spans="1:1">
      <c r="A2621" s="9" t="s">
        <v>3929</v>
      </c>
    </row>
    <row r="2622" spans="1:1">
      <c r="A2622" s="9" t="s">
        <v>3930</v>
      </c>
    </row>
    <row r="2623" spans="1:1">
      <c r="A2623" s="9" t="s">
        <v>3901</v>
      </c>
    </row>
    <row r="2624" spans="1:1">
      <c r="A2624" s="11"/>
    </row>
    <row r="2625" spans="1:1" ht="127.5">
      <c r="A2625" s="9" t="s">
        <v>3931</v>
      </c>
    </row>
    <row r="2626" spans="1:1">
      <c r="A2626" s="9" t="s">
        <v>3932</v>
      </c>
    </row>
    <row r="2627" spans="1:1">
      <c r="A2627" s="9" t="s">
        <v>3933</v>
      </c>
    </row>
    <row r="2628" spans="1:1">
      <c r="A2628" s="9" t="s">
        <v>3934</v>
      </c>
    </row>
    <row r="2629" spans="1:1">
      <c r="A2629" s="9" t="s">
        <v>3901</v>
      </c>
    </row>
    <row r="2630" spans="1:1">
      <c r="A2630" s="11"/>
    </row>
    <row r="2631" spans="1:1" ht="204">
      <c r="A2631" s="9" t="s">
        <v>3935</v>
      </c>
    </row>
    <row r="2632" spans="1:1">
      <c r="A2632" s="9" t="s">
        <v>3936</v>
      </c>
    </row>
    <row r="2633" spans="1:1">
      <c r="A2633" s="9" t="s">
        <v>3937</v>
      </c>
    </row>
    <row r="2634" spans="1:1">
      <c r="A2634" s="9" t="s">
        <v>3938</v>
      </c>
    </row>
    <row r="2635" spans="1:1">
      <c r="A2635" s="9" t="s">
        <v>2537</v>
      </c>
    </row>
    <row r="2636" spans="1:1">
      <c r="A2636" s="11"/>
    </row>
    <row r="2637" spans="1:1" ht="76.5">
      <c r="A2637" s="9" t="s">
        <v>3939</v>
      </c>
    </row>
    <row r="2638" spans="1:1" ht="25.5">
      <c r="A2638" s="9" t="s">
        <v>3940</v>
      </c>
    </row>
    <row r="2639" spans="1:1" ht="25.5">
      <c r="A2639" s="9" t="s">
        <v>3941</v>
      </c>
    </row>
    <row r="2640" spans="1:1" ht="25.5">
      <c r="A2640" s="9" t="s">
        <v>3942</v>
      </c>
    </row>
    <row r="2641" spans="1:1" ht="63.75">
      <c r="A2641" s="9" t="s">
        <v>3943</v>
      </c>
    </row>
    <row r="2642" spans="1:1">
      <c r="A2642" s="11"/>
    </row>
    <row r="2643" spans="1:1" ht="89.25">
      <c r="A2643" s="9" t="s">
        <v>3944</v>
      </c>
    </row>
    <row r="2644" spans="1:1" ht="38.25">
      <c r="A2644" s="9" t="s">
        <v>3945</v>
      </c>
    </row>
    <row r="2645" spans="1:1" ht="25.5">
      <c r="A2645" s="9" t="s">
        <v>3946</v>
      </c>
    </row>
    <row r="2646" spans="1:1" ht="38.25">
      <c r="A2646" s="9" t="s">
        <v>3947</v>
      </c>
    </row>
    <row r="2647" spans="1:1" ht="51">
      <c r="A2647" s="9" t="s">
        <v>3948</v>
      </c>
    </row>
    <row r="2648" spans="1:1">
      <c r="A2648" s="11"/>
    </row>
    <row r="2649" spans="1:1" ht="89.25">
      <c r="A2649" s="9" t="s">
        <v>3949</v>
      </c>
    </row>
    <row r="2650" spans="1:1">
      <c r="A2650" s="9" t="s">
        <v>3950</v>
      </c>
    </row>
    <row r="2651" spans="1:1">
      <c r="A2651" s="9" t="s">
        <v>3951</v>
      </c>
    </row>
    <row r="2652" spans="1:1">
      <c r="A2652" s="9" t="s">
        <v>3952</v>
      </c>
    </row>
    <row r="2653" spans="1:1">
      <c r="A2653" s="9" t="s">
        <v>2582</v>
      </c>
    </row>
    <row r="2654" spans="1:1">
      <c r="A2654" s="11"/>
    </row>
    <row r="2655" spans="1:1" ht="89.25">
      <c r="A2655" s="9" t="s">
        <v>3953</v>
      </c>
    </row>
    <row r="2656" spans="1:1" ht="25.5">
      <c r="A2656" s="9" t="s">
        <v>3954</v>
      </c>
    </row>
    <row r="2657" spans="1:1" ht="25.5">
      <c r="A2657" s="9" t="s">
        <v>3955</v>
      </c>
    </row>
    <row r="2658" spans="1:1">
      <c r="A2658" s="11"/>
    </row>
    <row r="2659" spans="1:1" ht="76.5">
      <c r="A2659" s="9" t="s">
        <v>3956</v>
      </c>
    </row>
    <row r="2660" spans="1:1" ht="38.25">
      <c r="A2660" s="9" t="s">
        <v>3957</v>
      </c>
    </row>
    <row r="2661" spans="1:1" ht="25.5">
      <c r="A2661" s="9" t="s">
        <v>3958</v>
      </c>
    </row>
    <row r="2662" spans="1:1">
      <c r="A2662" s="11"/>
    </row>
    <row r="2663" spans="1:1" ht="63.75">
      <c r="A2663" s="9" t="s">
        <v>3959</v>
      </c>
    </row>
    <row r="2664" spans="1:1">
      <c r="A2664" s="9" t="s">
        <v>3960</v>
      </c>
    </row>
    <row r="2665" spans="1:1">
      <c r="A2665" s="9" t="s">
        <v>3961</v>
      </c>
    </row>
    <row r="2666" spans="1:1">
      <c r="A2666" s="9" t="s">
        <v>3962</v>
      </c>
    </row>
    <row r="2667" spans="1:1">
      <c r="A2667" s="9" t="s">
        <v>2822</v>
      </c>
    </row>
    <row r="2668" spans="1:1">
      <c r="A2668" s="11"/>
    </row>
    <row r="2669" spans="1:1" ht="102">
      <c r="A2669" s="9" t="s">
        <v>3963</v>
      </c>
    </row>
    <row r="2670" spans="1:1">
      <c r="A2670" s="9" t="s">
        <v>3964</v>
      </c>
    </row>
    <row r="2671" spans="1:1">
      <c r="A2671" s="9" t="s">
        <v>3965</v>
      </c>
    </row>
    <row r="2672" spans="1:1">
      <c r="A2672" s="9" t="s">
        <v>3966</v>
      </c>
    </row>
    <row r="2673" spans="1:1">
      <c r="A2673" s="9" t="s">
        <v>3967</v>
      </c>
    </row>
    <row r="2674" spans="1:1">
      <c r="A2674" s="11"/>
    </row>
    <row r="2675" spans="1:1" ht="63.75">
      <c r="A2675" s="9" t="s">
        <v>3968</v>
      </c>
    </row>
    <row r="2676" spans="1:1" ht="51">
      <c r="A2676" s="9" t="s">
        <v>3969</v>
      </c>
    </row>
    <row r="2677" spans="1:1" ht="76.5">
      <c r="A2677" s="9" t="s">
        <v>3970</v>
      </c>
    </row>
    <row r="2678" spans="1:1" ht="51">
      <c r="A2678" s="9" t="s">
        <v>3971</v>
      </c>
    </row>
    <row r="2679" spans="1:1">
      <c r="A2679" s="9" t="s">
        <v>2822</v>
      </c>
    </row>
    <row r="2680" spans="1:1">
      <c r="A2680" s="11"/>
    </row>
    <row r="2681" spans="1:1" ht="153">
      <c r="A2681" s="9" t="s">
        <v>3972</v>
      </c>
    </row>
    <row r="2682" spans="1:1">
      <c r="A2682" s="9" t="s">
        <v>3973</v>
      </c>
    </row>
    <row r="2683" spans="1:1">
      <c r="A2683" s="9" t="s">
        <v>3974</v>
      </c>
    </row>
    <row r="2684" spans="1:1">
      <c r="A2684" s="9" t="s">
        <v>3975</v>
      </c>
    </row>
    <row r="2685" spans="1:1" ht="25.5">
      <c r="A2685" s="9" t="s">
        <v>3976</v>
      </c>
    </row>
    <row r="2686" spans="1:1">
      <c r="A2686" s="11"/>
    </row>
    <row r="2687" spans="1:1" ht="127.5">
      <c r="A2687" s="9" t="s">
        <v>3977</v>
      </c>
    </row>
    <row r="2688" spans="1:1" ht="76.5">
      <c r="A2688" s="9" t="s">
        <v>3978</v>
      </c>
    </row>
    <row r="2689" spans="1:1">
      <c r="A2689" s="11"/>
    </row>
    <row r="2690" spans="1:1" ht="153">
      <c r="A2690" s="9" t="s">
        <v>3979</v>
      </c>
    </row>
    <row r="2691" spans="1:1" ht="25.5">
      <c r="A2691" s="9" t="s">
        <v>3980</v>
      </c>
    </row>
    <row r="2692" spans="1:1">
      <c r="A2692" s="11"/>
    </row>
    <row r="2693" spans="1:1" ht="102">
      <c r="A2693" s="9" t="s">
        <v>3981</v>
      </c>
    </row>
    <row r="2694" spans="1:1" ht="25.5">
      <c r="A2694" s="9" t="s">
        <v>3982</v>
      </c>
    </row>
    <row r="2695" spans="1:1" ht="25.5">
      <c r="A2695" s="9" t="s">
        <v>3983</v>
      </c>
    </row>
    <row r="2696" spans="1:1" ht="25.5">
      <c r="A2696" s="9" t="s">
        <v>3984</v>
      </c>
    </row>
    <row r="2697" spans="1:1" ht="25.5">
      <c r="A2697" s="9" t="s">
        <v>3985</v>
      </c>
    </row>
    <row r="2698" spans="1:1">
      <c r="A2698" s="11"/>
    </row>
    <row r="2699" spans="1:1" ht="76.5">
      <c r="A2699" s="9" t="s">
        <v>3986</v>
      </c>
    </row>
    <row r="2700" spans="1:1" ht="25.5">
      <c r="A2700" s="9" t="s">
        <v>3987</v>
      </c>
    </row>
    <row r="2701" spans="1:1" ht="25.5">
      <c r="A2701" s="9" t="s">
        <v>3988</v>
      </c>
    </row>
    <row r="2702" spans="1:1" ht="25.5">
      <c r="A2702" s="9" t="s">
        <v>3989</v>
      </c>
    </row>
    <row r="2703" spans="1:1" ht="25.5">
      <c r="A2703" s="9" t="s">
        <v>3990</v>
      </c>
    </row>
    <row r="2704" spans="1:1">
      <c r="A2704" s="11"/>
    </row>
    <row r="2705" spans="1:1" ht="63.75">
      <c r="A2705" s="9" t="s">
        <v>3991</v>
      </c>
    </row>
    <row r="2706" spans="1:1" ht="38.25">
      <c r="A2706" s="9" t="s">
        <v>3992</v>
      </c>
    </row>
    <row r="2707" spans="1:1" ht="38.25">
      <c r="A2707" s="9" t="s">
        <v>3993</v>
      </c>
    </row>
    <row r="2708" spans="1:1" ht="38.25">
      <c r="A2708" s="9" t="s">
        <v>3994</v>
      </c>
    </row>
    <row r="2709" spans="1:1" ht="51">
      <c r="A2709" s="9" t="s">
        <v>3995</v>
      </c>
    </row>
    <row r="2710" spans="1:1">
      <c r="A2710" s="11"/>
    </row>
    <row r="2711" spans="1:1" ht="76.5">
      <c r="A2711" s="9" t="s">
        <v>3996</v>
      </c>
    </row>
    <row r="2712" spans="1:1">
      <c r="A2712" s="9" t="s">
        <v>3997</v>
      </c>
    </row>
    <row r="2713" spans="1:1">
      <c r="A2713" s="9" t="s">
        <v>3998</v>
      </c>
    </row>
    <row r="2714" spans="1:1">
      <c r="A2714" s="9" t="s">
        <v>3999</v>
      </c>
    </row>
    <row r="2715" spans="1:1">
      <c r="A2715" s="9" t="s">
        <v>3901</v>
      </c>
    </row>
    <row r="2716" spans="1:1">
      <c r="A2716" s="11"/>
    </row>
    <row r="2717" spans="1:1" ht="38.25">
      <c r="A2717" s="9" t="s">
        <v>4000</v>
      </c>
    </row>
    <row r="2718" spans="1:1">
      <c r="A2718" s="9" t="s">
        <v>128</v>
      </c>
    </row>
    <row r="2719" spans="1:1">
      <c r="A2719" s="9" t="s">
        <v>1241</v>
      </c>
    </row>
    <row r="2720" spans="1:1">
      <c r="A2720" s="9" t="s">
        <v>4001</v>
      </c>
    </row>
    <row r="2721" spans="1:1">
      <c r="A2721" s="9" t="s">
        <v>4002</v>
      </c>
    </row>
    <row r="2722" spans="1:1" ht="409.5">
      <c r="A2722" s="9" t="s">
        <v>4003</v>
      </c>
    </row>
    <row r="2723" spans="1:1">
      <c r="A2723" s="11"/>
    </row>
    <row r="2724" spans="1:1" ht="114.75">
      <c r="A2724" s="9" t="s">
        <v>4004</v>
      </c>
    </row>
    <row r="2725" spans="1:1">
      <c r="A2725" s="9" t="s">
        <v>4005</v>
      </c>
    </row>
    <row r="2726" spans="1:1">
      <c r="A2726" s="9" t="s">
        <v>4006</v>
      </c>
    </row>
    <row r="2727" spans="1:1">
      <c r="A2727" s="9" t="s">
        <v>4007</v>
      </c>
    </row>
    <row r="2728" spans="1:1" ht="25.5">
      <c r="A2728" s="9" t="s">
        <v>4008</v>
      </c>
    </row>
    <row r="2729" spans="1:1">
      <c r="A2729" s="11"/>
    </row>
    <row r="2730" spans="1:1" ht="89.25">
      <c r="A2730" s="9" t="s">
        <v>4009</v>
      </c>
    </row>
    <row r="2731" spans="1:1">
      <c r="A2731" s="9" t="s">
        <v>4010</v>
      </c>
    </row>
    <row r="2732" spans="1:1">
      <c r="A2732" s="9" t="s">
        <v>4011</v>
      </c>
    </row>
    <row r="2733" spans="1:1">
      <c r="A2733" s="9" t="s">
        <v>4012</v>
      </c>
    </row>
    <row r="2734" spans="1:1" ht="25.5">
      <c r="A2734" s="9" t="s">
        <v>4013</v>
      </c>
    </row>
    <row r="2735" spans="1:1">
      <c r="A2735" s="11"/>
    </row>
    <row r="2736" spans="1:1" ht="51">
      <c r="A2736" s="9" t="s">
        <v>4014</v>
      </c>
    </row>
    <row r="2737" spans="1:1" ht="25.5">
      <c r="A2737" s="9" t="s">
        <v>4015</v>
      </c>
    </row>
    <row r="2738" spans="1:1" ht="25.5">
      <c r="A2738" s="9" t="s">
        <v>4016</v>
      </c>
    </row>
    <row r="2739" spans="1:1">
      <c r="A2739" s="11"/>
    </row>
    <row r="2740" spans="1:1" ht="63.75">
      <c r="A2740" s="9" t="s">
        <v>4017</v>
      </c>
    </row>
    <row r="2741" spans="1:1" ht="25.5">
      <c r="A2741" s="9" t="s">
        <v>4018</v>
      </c>
    </row>
    <row r="2742" spans="1:1" ht="25.5">
      <c r="A2742" s="9" t="s">
        <v>4019</v>
      </c>
    </row>
    <row r="2743" spans="1:1">
      <c r="A2743" s="11"/>
    </row>
    <row r="2744" spans="1:1" ht="63.75">
      <c r="A2744" s="9" t="s">
        <v>4020</v>
      </c>
    </row>
    <row r="2745" spans="1:1" ht="25.5">
      <c r="A2745" s="9" t="s">
        <v>4021</v>
      </c>
    </row>
    <row r="2746" spans="1:1" ht="25.5">
      <c r="A2746" s="9" t="s">
        <v>4022</v>
      </c>
    </row>
    <row r="2747" spans="1:1">
      <c r="A2747" s="11"/>
    </row>
    <row r="2748" spans="1:1" ht="140.25">
      <c r="A2748" s="9" t="s">
        <v>4023</v>
      </c>
    </row>
    <row r="2749" spans="1:1" ht="38.25">
      <c r="A2749" s="9" t="s">
        <v>4024</v>
      </c>
    </row>
    <row r="2750" spans="1:1" ht="25.5">
      <c r="A2750" s="9" t="s">
        <v>4025</v>
      </c>
    </row>
    <row r="2751" spans="1:1">
      <c r="A2751" s="11"/>
    </row>
    <row r="2752" spans="1:1" ht="63.75">
      <c r="A2752" s="9" t="s">
        <v>4026</v>
      </c>
    </row>
    <row r="2753" spans="1:1" ht="38.25">
      <c r="A2753" s="9" t="s">
        <v>4027</v>
      </c>
    </row>
    <row r="2754" spans="1:1" ht="25.5">
      <c r="A2754" s="9" t="s">
        <v>4028</v>
      </c>
    </row>
    <row r="2755" spans="1:1">
      <c r="A2755" s="11"/>
    </row>
    <row r="2756" spans="1:1" ht="51">
      <c r="A2756" s="9" t="s">
        <v>4029</v>
      </c>
    </row>
    <row r="2757" spans="1:1" ht="25.5">
      <c r="A2757" s="9" t="s">
        <v>4030</v>
      </c>
    </row>
    <row r="2758" spans="1:1" ht="25.5">
      <c r="A2758" s="9" t="s">
        <v>4031</v>
      </c>
    </row>
    <row r="2759" spans="1:1">
      <c r="A2759" s="11"/>
    </row>
    <row r="2760" spans="1:1" ht="127.5">
      <c r="A2760" s="9" t="s">
        <v>4032</v>
      </c>
    </row>
    <row r="2761" spans="1:1" ht="25.5">
      <c r="A2761" s="9" t="s">
        <v>4033</v>
      </c>
    </row>
    <row r="2762" spans="1:1">
      <c r="A2762" s="9" t="s">
        <v>4034</v>
      </c>
    </row>
    <row r="2763" spans="1:1">
      <c r="A2763" s="11"/>
    </row>
    <row r="2764" spans="1:1" ht="51">
      <c r="A2764" s="9" t="s">
        <v>4035</v>
      </c>
    </row>
    <row r="2765" spans="1:1" ht="38.25">
      <c r="A2765" s="9" t="s">
        <v>4036</v>
      </c>
    </row>
    <row r="2766" spans="1:1">
      <c r="A2766" s="9" t="s">
        <v>4037</v>
      </c>
    </row>
    <row r="2767" spans="1:1">
      <c r="A2767" s="11"/>
    </row>
    <row r="2768" spans="1:1" ht="76.5">
      <c r="A2768" s="9" t="s">
        <v>4038</v>
      </c>
    </row>
    <row r="2769" spans="1:1">
      <c r="A2769" s="9" t="s">
        <v>4039</v>
      </c>
    </row>
    <row r="2770" spans="1:1">
      <c r="A2770" s="9">
        <v>120</v>
      </c>
    </row>
    <row r="2771" spans="1:1">
      <c r="A2771" s="9">
        <v>110</v>
      </c>
    </row>
    <row r="2772" spans="1:1">
      <c r="A2772" s="9">
        <v>100</v>
      </c>
    </row>
    <row r="2773" spans="1:1" ht="63.75">
      <c r="A2773" s="9" t="s">
        <v>4040</v>
      </c>
    </row>
    <row r="2774" spans="1:1">
      <c r="A2774" s="11"/>
    </row>
    <row r="2775" spans="1:1" ht="51">
      <c r="A2775" s="9" t="s">
        <v>4041</v>
      </c>
    </row>
    <row r="2776" spans="1:1">
      <c r="A2776" s="9" t="s">
        <v>2839</v>
      </c>
    </row>
    <row r="2777" spans="1:1">
      <c r="A2777" s="9" t="s">
        <v>4042</v>
      </c>
    </row>
    <row r="2778" spans="1:1">
      <c r="A2778" s="9" t="s">
        <v>4043</v>
      </c>
    </row>
    <row r="2779" spans="1:1" ht="25.5">
      <c r="A2779" s="9" t="s">
        <v>4044</v>
      </c>
    </row>
    <row r="2780" spans="1:1">
      <c r="A2780" s="11"/>
    </row>
    <row r="2781" spans="1:1" ht="63.75">
      <c r="A2781" s="9" t="s">
        <v>4045</v>
      </c>
    </row>
    <row r="2782" spans="1:1">
      <c r="A2782" s="9" t="s">
        <v>4046</v>
      </c>
    </row>
    <row r="2783" spans="1:1">
      <c r="A2783" s="9" t="s">
        <v>4047</v>
      </c>
    </row>
    <row r="2784" spans="1:1">
      <c r="A2784" s="9" t="s">
        <v>4048</v>
      </c>
    </row>
    <row r="2785" spans="1:1" ht="25.5">
      <c r="A2785" s="9" t="s">
        <v>4049</v>
      </c>
    </row>
    <row r="2786" spans="1:1">
      <c r="A2786" s="11"/>
    </row>
    <row r="2787" spans="1:1" ht="63.75">
      <c r="A2787" s="9" t="s">
        <v>4050</v>
      </c>
    </row>
    <row r="2788" spans="1:1" ht="25.5">
      <c r="A2788" s="9" t="s">
        <v>4051</v>
      </c>
    </row>
    <row r="2789" spans="1:1" ht="63.75">
      <c r="A2789" s="9" t="s">
        <v>4052</v>
      </c>
    </row>
    <row r="2790" spans="1:1">
      <c r="A2790" s="11"/>
    </row>
    <row r="2791" spans="1:1" ht="127.5">
      <c r="A2791" s="9" t="s">
        <v>4053</v>
      </c>
    </row>
    <row r="2792" spans="1:1">
      <c r="A2792" s="9" t="s">
        <v>4054</v>
      </c>
    </row>
    <row r="2793" spans="1:1">
      <c r="A2793" s="9" t="s">
        <v>4055</v>
      </c>
    </row>
    <row r="2794" spans="1:1">
      <c r="A2794" s="9" t="s">
        <v>4056</v>
      </c>
    </row>
    <row r="2795" spans="1:1">
      <c r="A2795" s="9" t="s">
        <v>4057</v>
      </c>
    </row>
    <row r="2796" spans="1:1">
      <c r="A2796" s="11"/>
    </row>
    <row r="2797" spans="1:1" ht="89.25">
      <c r="A2797" s="9" t="s">
        <v>4058</v>
      </c>
    </row>
    <row r="2798" spans="1:1">
      <c r="A2798" s="9" t="s">
        <v>4059</v>
      </c>
    </row>
    <row r="2799" spans="1:1">
      <c r="A2799" s="9" t="s">
        <v>4060</v>
      </c>
    </row>
    <row r="2800" spans="1:1">
      <c r="A2800" s="9" t="s">
        <v>4061</v>
      </c>
    </row>
    <row r="2801" spans="1:1">
      <c r="A2801" s="9" t="s">
        <v>1865</v>
      </c>
    </row>
    <row r="2802" spans="1:1">
      <c r="A2802" s="11"/>
    </row>
    <row r="2803" spans="1:1" ht="38.25">
      <c r="A2803" s="9" t="s">
        <v>4062</v>
      </c>
    </row>
    <row r="2804" spans="1:1">
      <c r="A2804" s="9" t="s">
        <v>4063</v>
      </c>
    </row>
    <row r="2805" spans="1:1">
      <c r="A2805" s="9" t="s">
        <v>4064</v>
      </c>
    </row>
    <row r="2806" spans="1:1">
      <c r="A2806" s="9" t="s">
        <v>4065</v>
      </c>
    </row>
    <row r="2807" spans="1:1" ht="25.5">
      <c r="A2807" s="9" t="s">
        <v>4066</v>
      </c>
    </row>
    <row r="2808" spans="1:1">
      <c r="A2808" s="11"/>
    </row>
    <row r="2809" spans="1:1" ht="51">
      <c r="A2809" s="9" t="s">
        <v>4067</v>
      </c>
    </row>
    <row r="2810" spans="1:1">
      <c r="A2810" s="9" t="s">
        <v>3461</v>
      </c>
    </row>
    <row r="2811" spans="1:1">
      <c r="A2811" s="9" t="s">
        <v>3207</v>
      </c>
    </row>
    <row r="2812" spans="1:1">
      <c r="A2812" s="9" t="s">
        <v>3208</v>
      </c>
    </row>
    <row r="2813" spans="1:1">
      <c r="A2813" s="9" t="s">
        <v>2609</v>
      </c>
    </row>
    <row r="2814" spans="1:1">
      <c r="A2814" s="11"/>
    </row>
    <row r="2815" spans="1:1" ht="242.25">
      <c r="A2815" s="9" t="s">
        <v>4068</v>
      </c>
    </row>
    <row r="2816" spans="1:1" ht="25.5">
      <c r="A2816" s="9" t="s">
        <v>4069</v>
      </c>
    </row>
    <row r="2817" spans="1:1" ht="25.5">
      <c r="A2817" s="9" t="s">
        <v>4070</v>
      </c>
    </row>
    <row r="2818" spans="1:1" ht="25.5">
      <c r="A2818" s="9" t="s">
        <v>4071</v>
      </c>
    </row>
    <row r="2819" spans="1:1" ht="38.25">
      <c r="A2819" s="9" t="s">
        <v>4072</v>
      </c>
    </row>
    <row r="2820" spans="1:1">
      <c r="A2820" s="11"/>
    </row>
    <row r="2821" spans="1:1" ht="102">
      <c r="A2821" s="9" t="s">
        <v>4073</v>
      </c>
    </row>
    <row r="2822" spans="1:1">
      <c r="A2822" s="9" t="s">
        <v>4074</v>
      </c>
    </row>
    <row r="2823" spans="1:1">
      <c r="A2823" s="11"/>
    </row>
    <row r="2824" spans="1:1" ht="51">
      <c r="A2824" s="9" t="s">
        <v>4075</v>
      </c>
    </row>
    <row r="2825" spans="1:1" ht="51">
      <c r="A2825" s="9" t="s">
        <v>4076</v>
      </c>
    </row>
    <row r="2826" spans="1:1" ht="25.5">
      <c r="A2826" s="9" t="s">
        <v>4077</v>
      </c>
    </row>
    <row r="2827" spans="1:1">
      <c r="A2827" s="11"/>
    </row>
    <row r="2828" spans="1:1" ht="51">
      <c r="A2828" s="9" t="s">
        <v>4078</v>
      </c>
    </row>
    <row r="2829" spans="1:1" ht="25.5">
      <c r="A2829" s="9" t="s">
        <v>4079</v>
      </c>
    </row>
    <row r="2830" spans="1:1">
      <c r="A2830" s="9" t="s">
        <v>4080</v>
      </c>
    </row>
    <row r="2831" spans="1:1">
      <c r="A2831" s="11"/>
    </row>
    <row r="2832" spans="1:1" ht="76.5">
      <c r="A2832" s="9" t="s">
        <v>4081</v>
      </c>
    </row>
    <row r="2833" spans="1:1" ht="38.25">
      <c r="A2833" s="9" t="s">
        <v>4082</v>
      </c>
    </row>
    <row r="2834" spans="1:1" ht="25.5">
      <c r="A2834" s="9" t="s">
        <v>4083</v>
      </c>
    </row>
    <row r="2835" spans="1:1" ht="89.25">
      <c r="A2835" s="9" t="s">
        <v>4084</v>
      </c>
    </row>
    <row r="2836" spans="1:1">
      <c r="A2836" s="9" t="s">
        <v>4085</v>
      </c>
    </row>
    <row r="2837" spans="1:1" ht="25.5">
      <c r="A2837" s="9" t="s">
        <v>4086</v>
      </c>
    </row>
    <row r="2838" spans="1:1" ht="25.5">
      <c r="A2838" s="9" t="s">
        <v>4087</v>
      </c>
    </row>
    <row r="2839" spans="1:1" ht="38.25">
      <c r="A2839" s="9" t="s">
        <v>4088</v>
      </c>
    </row>
    <row r="2840" spans="1:1">
      <c r="A2840" s="11"/>
    </row>
    <row r="2841" spans="1:1" ht="51">
      <c r="A2841" s="9" t="s">
        <v>4089</v>
      </c>
    </row>
    <row r="2842" spans="1:1">
      <c r="A2842" s="9" t="s">
        <v>395</v>
      </c>
    </row>
    <row r="2843" spans="1:1">
      <c r="A2843" s="9" t="s">
        <v>207</v>
      </c>
    </row>
    <row r="2844" spans="1:1">
      <c r="A2844" s="9" t="s">
        <v>1285</v>
      </c>
    </row>
    <row r="2845" spans="1:1">
      <c r="A2845" s="9" t="s">
        <v>4090</v>
      </c>
    </row>
    <row r="2846" spans="1:1">
      <c r="A2846" s="11"/>
    </row>
    <row r="2847" spans="1:1" ht="204">
      <c r="A2847" s="9" t="s">
        <v>4091</v>
      </c>
    </row>
    <row r="2848" spans="1:1" ht="51">
      <c r="A2848" s="9" t="s">
        <v>4092</v>
      </c>
    </row>
    <row r="2849" spans="1:1" ht="25.5">
      <c r="A2849" s="9" t="s">
        <v>4093</v>
      </c>
    </row>
    <row r="2850" spans="1:1">
      <c r="A2850" s="11"/>
    </row>
    <row r="2851" spans="1:1" ht="114.75">
      <c r="A2851" s="9" t="s">
        <v>4094</v>
      </c>
    </row>
    <row r="2852" spans="1:1">
      <c r="A2852" s="9" t="s">
        <v>395</v>
      </c>
    </row>
    <row r="2853" spans="1:1">
      <c r="A2853" s="9" t="s">
        <v>1023</v>
      </c>
    </row>
    <row r="2854" spans="1:1">
      <c r="A2854" s="9" t="s">
        <v>207</v>
      </c>
    </row>
    <row r="2855" spans="1:1">
      <c r="A2855" s="9" t="s">
        <v>1898</v>
      </c>
    </row>
    <row r="2856" spans="1:1">
      <c r="A2856" s="11"/>
    </row>
    <row r="2857" spans="1:1" ht="76.5">
      <c r="A2857" s="9" t="s">
        <v>4095</v>
      </c>
    </row>
    <row r="2858" spans="1:1" ht="25.5">
      <c r="A2858" s="9" t="s">
        <v>4096</v>
      </c>
    </row>
    <row r="2859" spans="1:1">
      <c r="A2859" s="9" t="s">
        <v>4097</v>
      </c>
    </row>
    <row r="2860" spans="1:1">
      <c r="A2860" s="9" t="s">
        <v>4098</v>
      </c>
    </row>
    <row r="2861" spans="1:1" ht="25.5">
      <c r="A2861" s="9" t="s">
        <v>4099</v>
      </c>
    </row>
    <row r="2862" spans="1:1">
      <c r="A2862" s="11"/>
    </row>
    <row r="2863" spans="1:1" ht="114.75">
      <c r="A2863" s="9" t="s">
        <v>4100</v>
      </c>
    </row>
    <row r="2864" spans="1:1">
      <c r="A2864" s="9" t="s">
        <v>4101</v>
      </c>
    </row>
    <row r="2865" spans="1:1">
      <c r="A2865" s="9" t="s">
        <v>4102</v>
      </c>
    </row>
    <row r="2866" spans="1:1">
      <c r="A2866" s="9" t="s">
        <v>4103</v>
      </c>
    </row>
    <row r="2867" spans="1:1" ht="25.5">
      <c r="A2867" s="9" t="s">
        <v>4104</v>
      </c>
    </row>
    <row r="2868" spans="1:1">
      <c r="A2868" s="11"/>
    </row>
    <row r="2869" spans="1:1" ht="76.5">
      <c r="A2869" s="9" t="s">
        <v>4105</v>
      </c>
    </row>
    <row r="2870" spans="1:1" ht="38.25">
      <c r="A2870" s="9" t="s">
        <v>4106</v>
      </c>
    </row>
    <row r="2871" spans="1:1" ht="38.25">
      <c r="A2871" s="9" t="s">
        <v>4107</v>
      </c>
    </row>
    <row r="2872" spans="1:1" ht="51">
      <c r="A2872" s="9" t="s">
        <v>4108</v>
      </c>
    </row>
    <row r="2873" spans="1:1" ht="51">
      <c r="A2873" s="9" t="s">
        <v>4109</v>
      </c>
    </row>
    <row r="2874" spans="1:1">
      <c r="A2874" s="11"/>
    </row>
    <row r="2875" spans="1:1" ht="89.25">
      <c r="A2875" s="9" t="s">
        <v>4110</v>
      </c>
    </row>
    <row r="2876" spans="1:1">
      <c r="A2876" s="9" t="s">
        <v>1664</v>
      </c>
    </row>
    <row r="2877" spans="1:1" ht="25.5">
      <c r="A2877" s="9" t="s">
        <v>4111</v>
      </c>
    </row>
    <row r="2878" spans="1:1" ht="25.5">
      <c r="A2878" s="9" t="s">
        <v>4112</v>
      </c>
    </row>
    <row r="2879" spans="1:1" ht="25.5">
      <c r="A2879" s="9" t="s">
        <v>4113</v>
      </c>
    </row>
    <row r="2880" spans="1:1">
      <c r="A2880" s="11"/>
    </row>
    <row r="2881" spans="1:1" ht="76.5">
      <c r="A2881" s="9" t="s">
        <v>4114</v>
      </c>
    </row>
    <row r="2882" spans="1:1">
      <c r="A2882" s="9" t="s">
        <v>1664</v>
      </c>
    </row>
    <row r="2883" spans="1:1" ht="25.5">
      <c r="A2883" s="9" t="s">
        <v>4111</v>
      </c>
    </row>
    <row r="2884" spans="1:1" ht="25.5">
      <c r="A2884" s="9" t="s">
        <v>4112</v>
      </c>
    </row>
    <row r="2885" spans="1:1" ht="63.75">
      <c r="A2885" s="9" t="s">
        <v>4115</v>
      </c>
    </row>
    <row r="2886" spans="1:1">
      <c r="A2886" s="11"/>
    </row>
    <row r="2887" spans="1:1" ht="114.75">
      <c r="A2887" s="9" t="s">
        <v>4116</v>
      </c>
    </row>
    <row r="2888" spans="1:1">
      <c r="A2888" s="9" t="s">
        <v>4117</v>
      </c>
    </row>
    <row r="2889" spans="1:1">
      <c r="A2889" s="9" t="s">
        <v>4118</v>
      </c>
    </row>
    <row r="2890" spans="1:1">
      <c r="A2890" s="9" t="s">
        <v>4119</v>
      </c>
    </row>
    <row r="2891" spans="1:1" ht="38.25">
      <c r="A2891" s="9" t="s">
        <v>4120</v>
      </c>
    </row>
    <row r="2892" spans="1:1">
      <c r="A2892" s="11"/>
    </row>
    <row r="2893" spans="1:1" ht="191.25">
      <c r="A2893" s="9" t="s">
        <v>4121</v>
      </c>
    </row>
    <row r="2894" spans="1:1">
      <c r="A2894" s="11"/>
    </row>
    <row r="2895" spans="1:1" ht="127.5">
      <c r="A2895" s="9" t="s">
        <v>4122</v>
      </c>
    </row>
    <row r="2896" spans="1:1">
      <c r="A2896" s="11"/>
    </row>
    <row r="2897" spans="1:1" ht="51">
      <c r="A2897" s="9" t="s">
        <v>4123</v>
      </c>
    </row>
    <row r="2898" spans="1:1">
      <c r="A2898" s="9" t="s">
        <v>4124</v>
      </c>
    </row>
    <row r="2899" spans="1:1">
      <c r="A2899" s="10" t="s">
        <v>4125</v>
      </c>
    </row>
    <row r="2900" spans="1:1">
      <c r="A2900" s="9" t="s">
        <v>4126</v>
      </c>
    </row>
    <row r="2901" spans="1:1">
      <c r="A2901" s="9" t="s">
        <v>1850</v>
      </c>
    </row>
    <row r="2902" spans="1:1">
      <c r="A2902" s="11"/>
    </row>
    <row r="2903" spans="1:1" ht="140.25">
      <c r="A2903" s="9" t="s">
        <v>4127</v>
      </c>
    </row>
    <row r="2904" spans="1:1">
      <c r="A2904" s="9" t="s">
        <v>4128</v>
      </c>
    </row>
    <row r="2905" spans="1:1">
      <c r="A2905" s="9" t="s">
        <v>4129</v>
      </c>
    </row>
    <row r="2906" spans="1:1">
      <c r="A2906" s="9" t="s">
        <v>4130</v>
      </c>
    </row>
    <row r="2907" spans="1:1" ht="25.5">
      <c r="A2907" s="9" t="s">
        <v>4131</v>
      </c>
    </row>
    <row r="2908" spans="1:1">
      <c r="A2908" s="11"/>
    </row>
    <row r="2909" spans="1:1" ht="76.5">
      <c r="A2909" s="9" t="s">
        <v>4132</v>
      </c>
    </row>
    <row r="2910" spans="1:1">
      <c r="A2910" s="9" t="s">
        <v>4133</v>
      </c>
    </row>
    <row r="2911" spans="1:1">
      <c r="A2911" s="9" t="s">
        <v>4134</v>
      </c>
    </row>
    <row r="2912" spans="1:1">
      <c r="A2912" s="9" t="s">
        <v>4135</v>
      </c>
    </row>
    <row r="2913" spans="1:1" ht="25.5">
      <c r="A2913" s="9" t="s">
        <v>4136</v>
      </c>
    </row>
    <row r="2914" spans="1:1">
      <c r="A2914" s="11"/>
    </row>
    <row r="2915" spans="1:1" ht="114.75">
      <c r="A2915" s="9" t="s">
        <v>4137</v>
      </c>
    </row>
    <row r="2916" spans="1:1" ht="25.5">
      <c r="A2916" s="9" t="s">
        <v>4138</v>
      </c>
    </row>
    <row r="2917" spans="1:1" ht="25.5">
      <c r="A2917" s="9" t="s">
        <v>4139</v>
      </c>
    </row>
    <row r="2918" spans="1:1">
      <c r="A2918" s="11"/>
    </row>
    <row r="2919" spans="1:1" ht="140.25">
      <c r="A2919" s="9" t="s">
        <v>4140</v>
      </c>
    </row>
    <row r="2920" spans="1:1">
      <c r="A2920" s="9" t="s">
        <v>4141</v>
      </c>
    </row>
    <row r="2921" spans="1:1">
      <c r="A2921" s="9" t="s">
        <v>4142</v>
      </c>
    </row>
    <row r="2922" spans="1:1">
      <c r="A2922" s="9" t="s">
        <v>4143</v>
      </c>
    </row>
    <row r="2923" spans="1:1" ht="25.5">
      <c r="A2923" s="9" t="s">
        <v>4144</v>
      </c>
    </row>
    <row r="2924" spans="1:1">
      <c r="A2924" s="11"/>
    </row>
    <row r="2925" spans="1:1" ht="89.25">
      <c r="A2925" s="9" t="s">
        <v>4145</v>
      </c>
    </row>
    <row r="2926" spans="1:1" ht="38.25">
      <c r="A2926" s="9" t="s">
        <v>4146</v>
      </c>
    </row>
    <row r="2927" spans="1:1" ht="25.5">
      <c r="A2927" s="9" t="s">
        <v>4147</v>
      </c>
    </row>
    <row r="2928" spans="1:1">
      <c r="A2928" s="11"/>
    </row>
    <row r="2929" spans="1:1" ht="63.75">
      <c r="A2929" s="9" t="s">
        <v>4148</v>
      </c>
    </row>
    <row r="2930" spans="1:1" ht="38.25">
      <c r="A2930" s="9" t="s">
        <v>4149</v>
      </c>
    </row>
    <row r="2931" spans="1:1">
      <c r="A2931" s="9" t="s">
        <v>4150</v>
      </c>
    </row>
    <row r="2932" spans="1:1" ht="51">
      <c r="A2932" s="9" t="s">
        <v>4151</v>
      </c>
    </row>
    <row r="2933" spans="1:1">
      <c r="A2933" s="9" t="s">
        <v>4152</v>
      </c>
    </row>
    <row r="2934" spans="1:1" ht="25.5">
      <c r="A2934" s="9" t="s">
        <v>4153</v>
      </c>
    </row>
    <row r="2935" spans="1:1" ht="25.5">
      <c r="A2935" s="9" t="s">
        <v>4154</v>
      </c>
    </row>
    <row r="2936" spans="1:1">
      <c r="A2936" s="9" t="s">
        <v>2774</v>
      </c>
    </row>
    <row r="2937" spans="1:1">
      <c r="A2937" s="11"/>
    </row>
    <row r="2938" spans="1:1" ht="102">
      <c r="A2938" s="9" t="s">
        <v>4155</v>
      </c>
    </row>
    <row r="2939" spans="1:1">
      <c r="A2939" s="9" t="s">
        <v>4156</v>
      </c>
    </row>
    <row r="2940" spans="1:1">
      <c r="A2940" s="9" t="s">
        <v>4157</v>
      </c>
    </row>
    <row r="2941" spans="1:1">
      <c r="A2941" s="9" t="s">
        <v>4158</v>
      </c>
    </row>
    <row r="2942" spans="1:1">
      <c r="A2942" s="9" t="s">
        <v>3273</v>
      </c>
    </row>
    <row r="2943" spans="1:1">
      <c r="A2943" s="11"/>
    </row>
    <row r="2944" spans="1:1" ht="127.5">
      <c r="A2944" s="9" t="s">
        <v>4159</v>
      </c>
    </row>
    <row r="2945" spans="1:1" ht="38.25">
      <c r="A2945" s="9" t="s">
        <v>4160</v>
      </c>
    </row>
    <row r="2946" spans="1:1" ht="25.5">
      <c r="A2946" s="9" t="s">
        <v>4161</v>
      </c>
    </row>
    <row r="2947" spans="1:1">
      <c r="A2947" s="11"/>
    </row>
    <row r="2948" spans="1:1" ht="127.5">
      <c r="A2948" s="9" t="s">
        <v>4162</v>
      </c>
    </row>
    <row r="2949" spans="1:1" ht="25.5">
      <c r="A2949" s="9" t="s">
        <v>4163</v>
      </c>
    </row>
    <row r="2950" spans="1:1" ht="25.5">
      <c r="A2950" s="9" t="s">
        <v>4164</v>
      </c>
    </row>
    <row r="2951" spans="1:1">
      <c r="A2951" s="11"/>
    </row>
    <row r="2952" spans="1:1" ht="76.5">
      <c r="A2952" s="9" t="s">
        <v>4165</v>
      </c>
    </row>
    <row r="2953" spans="1:1" ht="25.5">
      <c r="A2953" s="9" t="s">
        <v>4166</v>
      </c>
    </row>
    <row r="2954" spans="1:1" ht="25.5">
      <c r="A2954" s="9" t="s">
        <v>4167</v>
      </c>
    </row>
    <row r="2955" spans="1:1" ht="25.5">
      <c r="A2955" s="9" t="s">
        <v>4168</v>
      </c>
    </row>
    <row r="2956" spans="1:1">
      <c r="A2956" s="9" t="s">
        <v>1976</v>
      </c>
    </row>
    <row r="2957" spans="1:1">
      <c r="A2957" s="11"/>
    </row>
    <row r="2958" spans="1:1" ht="89.25">
      <c r="A2958" s="9" t="s">
        <v>4169</v>
      </c>
    </row>
    <row r="2959" spans="1:1">
      <c r="A2959" s="9" t="s">
        <v>4170</v>
      </c>
    </row>
    <row r="2960" spans="1:1">
      <c r="A2960" s="9" t="s">
        <v>4171</v>
      </c>
    </row>
    <row r="2961" spans="1:1">
      <c r="A2961" s="9" t="s">
        <v>4172</v>
      </c>
    </row>
    <row r="2962" spans="1:1" ht="63.75">
      <c r="A2962" s="9" t="s">
        <v>4173</v>
      </c>
    </row>
    <row r="2963" spans="1:1">
      <c r="A2963" s="11"/>
    </row>
    <row r="2964" spans="1:1" ht="76.5">
      <c r="A2964" s="9" t="s">
        <v>4174</v>
      </c>
    </row>
    <row r="2965" spans="1:1" ht="25.5">
      <c r="A2965" s="9" t="s">
        <v>4175</v>
      </c>
    </row>
    <row r="2966" spans="1:1" ht="25.5">
      <c r="A2966" s="9" t="s">
        <v>4176</v>
      </c>
    </row>
    <row r="2967" spans="1:1">
      <c r="A2967" s="11"/>
    </row>
    <row r="2968" spans="1:1" ht="63.75">
      <c r="A2968" s="9" t="s">
        <v>4177</v>
      </c>
    </row>
    <row r="2969" spans="1:1">
      <c r="A2969" s="9" t="s">
        <v>4178</v>
      </c>
    </row>
    <row r="2970" spans="1:1">
      <c r="A2970" s="9" t="s">
        <v>4179</v>
      </c>
    </row>
    <row r="2971" spans="1:1" ht="25.5">
      <c r="A2971" s="9" t="s">
        <v>4180</v>
      </c>
    </row>
    <row r="2972" spans="1:1">
      <c r="A2972" s="9" t="s">
        <v>4181</v>
      </c>
    </row>
    <row r="2973" spans="1:1" ht="89.25">
      <c r="A2973" s="9" t="s">
        <v>4182</v>
      </c>
    </row>
    <row r="2974" spans="1:1">
      <c r="A2974" s="9" t="s">
        <v>4183</v>
      </c>
    </row>
    <row r="2975" spans="1:1">
      <c r="A2975" s="9" t="s">
        <v>4184</v>
      </c>
    </row>
    <row r="2976" spans="1:1">
      <c r="A2976" s="9" t="s">
        <v>409</v>
      </c>
    </row>
    <row r="2977" spans="1:1" ht="25.5">
      <c r="A2977" s="9" t="s">
        <v>4185</v>
      </c>
    </row>
    <row r="2978" spans="1:1">
      <c r="A2978" s="11"/>
    </row>
    <row r="2979" spans="1:1" ht="63.75">
      <c r="A2979" s="9" t="s">
        <v>4186</v>
      </c>
    </row>
    <row r="2980" spans="1:1">
      <c r="A2980" s="9" t="s">
        <v>4183</v>
      </c>
    </row>
    <row r="2981" spans="1:1">
      <c r="A2981" s="9" t="s">
        <v>409</v>
      </c>
    </row>
    <row r="2982" spans="1:1">
      <c r="A2982" s="9" t="s">
        <v>4184</v>
      </c>
    </row>
    <row r="2983" spans="1:1" ht="25.5">
      <c r="A2983" s="9" t="s">
        <v>4187</v>
      </c>
    </row>
    <row r="2984" spans="1:1">
      <c r="A2984" s="11"/>
    </row>
    <row r="2985" spans="1:1" ht="114.75">
      <c r="A2985" s="9" t="s">
        <v>4188</v>
      </c>
    </row>
    <row r="2986" spans="1:1" ht="63.75">
      <c r="A2986" s="9" t="s">
        <v>4189</v>
      </c>
    </row>
    <row r="2987" spans="1:1" ht="38.25">
      <c r="A2987" s="9" t="s">
        <v>4190</v>
      </c>
    </row>
    <row r="2988" spans="1:1">
      <c r="A2988" s="11"/>
    </row>
    <row r="2989" spans="1:1" ht="102">
      <c r="A2989" s="9" t="s">
        <v>4191</v>
      </c>
    </row>
    <row r="2990" spans="1:1" ht="51">
      <c r="A2990" s="9" t="s">
        <v>4192</v>
      </c>
    </row>
    <row r="2991" spans="1:1" ht="25.5">
      <c r="A2991" s="9" t="s">
        <v>4193</v>
      </c>
    </row>
    <row r="2992" spans="1:1">
      <c r="A2992" s="11"/>
    </row>
    <row r="2993" spans="1:1" ht="51">
      <c r="A2993" s="9" t="s">
        <v>4194</v>
      </c>
    </row>
    <row r="2994" spans="1:1">
      <c r="A2994" s="9" t="s">
        <v>4195</v>
      </c>
    </row>
    <row r="2995" spans="1:1">
      <c r="A2995" s="9" t="s">
        <v>4196</v>
      </c>
    </row>
    <row r="2996" spans="1:1">
      <c r="A2996" s="9" t="s">
        <v>4197</v>
      </c>
    </row>
    <row r="2997" spans="1:1" ht="25.5">
      <c r="A2997" s="9" t="s">
        <v>4198</v>
      </c>
    </row>
    <row r="2998" spans="1:1">
      <c r="A2998" s="11"/>
    </row>
    <row r="2999" spans="1:1" ht="38.25">
      <c r="A2999" s="9" t="s">
        <v>4199</v>
      </c>
    </row>
    <row r="3000" spans="1:1">
      <c r="A3000" s="9" t="s">
        <v>4200</v>
      </c>
    </row>
    <row r="3001" spans="1:1">
      <c r="A3001" s="9" t="s">
        <v>4201</v>
      </c>
    </row>
    <row r="3002" spans="1:1">
      <c r="A3002" s="9" t="s">
        <v>4202</v>
      </c>
    </row>
    <row r="3003" spans="1:1" ht="25.5">
      <c r="A3003" s="9" t="s">
        <v>4203</v>
      </c>
    </row>
    <row r="3004" spans="1:1">
      <c r="A3004" s="11"/>
    </row>
    <row r="3005" spans="1:1" ht="63.75">
      <c r="A3005" s="9" t="s">
        <v>4204</v>
      </c>
    </row>
    <row r="3006" spans="1:1">
      <c r="A3006" s="9" t="s">
        <v>4205</v>
      </c>
    </row>
    <row r="3007" spans="1:1">
      <c r="A3007" s="9" t="s">
        <v>4130</v>
      </c>
    </row>
    <row r="3008" spans="1:1">
      <c r="A3008" s="9" t="s">
        <v>4206</v>
      </c>
    </row>
    <row r="3009" spans="1:1" ht="25.5">
      <c r="A3009" s="9" t="s">
        <v>4207</v>
      </c>
    </row>
    <row r="3010" spans="1:1">
      <c r="A3010" s="11"/>
    </row>
    <row r="3011" spans="1:1" ht="63.75">
      <c r="A3011" s="9" t="s">
        <v>4208</v>
      </c>
    </row>
    <row r="3012" spans="1:1">
      <c r="A3012" s="9" t="s">
        <v>4209</v>
      </c>
    </row>
    <row r="3013" spans="1:1">
      <c r="A3013" s="9" t="s">
        <v>4210</v>
      </c>
    </row>
    <row r="3014" spans="1:1">
      <c r="A3014" s="9" t="s">
        <v>4211</v>
      </c>
    </row>
    <row r="3015" spans="1:1">
      <c r="A3015" s="9" t="s">
        <v>1850</v>
      </c>
    </row>
    <row r="3016" spans="1:1">
      <c r="A3016" s="11"/>
    </row>
    <row r="3017" spans="1:1" ht="63.75">
      <c r="A3017" s="9" t="s">
        <v>4212</v>
      </c>
    </row>
    <row r="3018" spans="1:1" ht="63.75">
      <c r="A3018" s="9" t="s">
        <v>4213</v>
      </c>
    </row>
    <row r="3019" spans="1:1" ht="25.5">
      <c r="A3019" s="9" t="s">
        <v>4214</v>
      </c>
    </row>
    <row r="3020" spans="1:1">
      <c r="A3020" s="11"/>
    </row>
    <row r="3021" spans="1:1" ht="89.25">
      <c r="A3021" s="9" t="s">
        <v>4215</v>
      </c>
    </row>
    <row r="3022" spans="1:1">
      <c r="A3022" s="9" t="s">
        <v>4216</v>
      </c>
    </row>
    <row r="3023" spans="1:1">
      <c r="A3023" s="9" t="s">
        <v>4217</v>
      </c>
    </row>
    <row r="3024" spans="1:1">
      <c r="A3024" s="11"/>
    </row>
    <row r="3025" spans="1:1" ht="76.5">
      <c r="A3025" s="9" t="s">
        <v>4218</v>
      </c>
    </row>
    <row r="3026" spans="1:1" ht="38.25">
      <c r="A3026" s="9" t="s">
        <v>4219</v>
      </c>
    </row>
    <row r="3027" spans="1:1" ht="25.5">
      <c r="A3027" s="9" t="s">
        <v>4220</v>
      </c>
    </row>
    <row r="3028" spans="1:1" ht="51">
      <c r="A3028" s="9" t="s">
        <v>4221</v>
      </c>
    </row>
    <row r="3029" spans="1:1" ht="89.25">
      <c r="A3029" s="9" t="s">
        <v>4222</v>
      </c>
    </row>
    <row r="3030" spans="1:1">
      <c r="A3030" s="11"/>
    </row>
    <row r="3031" spans="1:1" ht="38.25">
      <c r="A3031" s="9" t="s">
        <v>4223</v>
      </c>
    </row>
    <row r="3032" spans="1:1">
      <c r="A3032" s="9" t="s">
        <v>4224</v>
      </c>
    </row>
    <row r="3033" spans="1:1">
      <c r="A3033" s="9" t="s">
        <v>4225</v>
      </c>
    </row>
    <row r="3034" spans="1:1">
      <c r="A3034" s="9" t="s">
        <v>4226</v>
      </c>
    </row>
    <row r="3035" spans="1:1" ht="25.5">
      <c r="A3035" s="9" t="s">
        <v>4227</v>
      </c>
    </row>
    <row r="3036" spans="1:1">
      <c r="A3036" s="11"/>
    </row>
    <row r="3037" spans="1:1" ht="51">
      <c r="A3037" s="9" t="s">
        <v>4228</v>
      </c>
    </row>
    <row r="3038" spans="1:1" ht="38.25">
      <c r="A3038" s="9" t="s">
        <v>4229</v>
      </c>
    </row>
    <row r="3039" spans="1:1" ht="25.5">
      <c r="A3039" s="9" t="s">
        <v>4230</v>
      </c>
    </row>
    <row r="3040" spans="1:1" ht="25.5">
      <c r="A3040" s="9" t="s">
        <v>4231</v>
      </c>
    </row>
    <row r="3041" spans="1:1">
      <c r="A3041" s="11"/>
    </row>
    <row r="3042" spans="1:1" ht="38.25">
      <c r="A3042" s="9" t="s">
        <v>4232</v>
      </c>
    </row>
    <row r="3043" spans="1:1">
      <c r="A3043" s="9" t="s">
        <v>4233</v>
      </c>
    </row>
    <row r="3044" spans="1:1">
      <c r="A3044" s="9" t="s">
        <v>4234</v>
      </c>
    </row>
    <row r="3045" spans="1:1">
      <c r="A3045" s="10" t="s">
        <v>4235</v>
      </c>
    </row>
    <row r="3046" spans="1:1">
      <c r="A3046" s="11"/>
    </row>
    <row r="3047" spans="1:1" ht="102">
      <c r="A3047" s="9" t="s">
        <v>4236</v>
      </c>
    </row>
    <row r="3048" spans="1:1">
      <c r="A3048" s="9" t="s">
        <v>4237</v>
      </c>
    </row>
    <row r="3049" spans="1:1">
      <c r="A3049" s="9" t="s">
        <v>4238</v>
      </c>
    </row>
    <row r="3050" spans="1:1" ht="25.5">
      <c r="A3050" s="10" t="s">
        <v>4239</v>
      </c>
    </row>
    <row r="3051" spans="1:1">
      <c r="A3051" s="11"/>
    </row>
    <row r="3052" spans="1:1" ht="114.75">
      <c r="A3052" s="9" t="s">
        <v>4240</v>
      </c>
    </row>
    <row r="3053" spans="1:1">
      <c r="A3053" s="9" t="s">
        <v>4241</v>
      </c>
    </row>
    <row r="3054" spans="1:1">
      <c r="A3054" s="10" t="s">
        <v>4242</v>
      </c>
    </row>
    <row r="3055" spans="1:1">
      <c r="A3055" s="9" t="s">
        <v>4243</v>
      </c>
    </row>
    <row r="3056" spans="1:1">
      <c r="A3056" s="11"/>
    </row>
    <row r="3057" spans="1:1" ht="51">
      <c r="A3057" s="9" t="s">
        <v>4244</v>
      </c>
    </row>
    <row r="3058" spans="1:1">
      <c r="A3058" s="10" t="s">
        <v>4245</v>
      </c>
    </row>
    <row r="3059" spans="1:1">
      <c r="A3059" s="9" t="s">
        <v>4246</v>
      </c>
    </row>
    <row r="3060" spans="1:1">
      <c r="A3060" s="9" t="s">
        <v>1893</v>
      </c>
    </row>
    <row r="3061" spans="1:1">
      <c r="A3061" s="11"/>
    </row>
    <row r="3062" spans="1:1" ht="63.75">
      <c r="A3062" s="9" t="s">
        <v>4247</v>
      </c>
    </row>
    <row r="3063" spans="1:1" ht="51">
      <c r="A3063" s="9" t="s">
        <v>4248</v>
      </c>
    </row>
    <row r="3064" spans="1:1" ht="38.25">
      <c r="A3064" s="9" t="s">
        <v>4249</v>
      </c>
    </row>
    <row r="3065" spans="1:1">
      <c r="A3065" s="10" t="s">
        <v>4250</v>
      </c>
    </row>
    <row r="3066" spans="1:1">
      <c r="A3066" s="11"/>
    </row>
    <row r="3067" spans="1:1" ht="102">
      <c r="A3067" s="9" t="s">
        <v>4251</v>
      </c>
    </row>
    <row r="3068" spans="1:1">
      <c r="A3068" s="9" t="s">
        <v>4252</v>
      </c>
    </row>
    <row r="3069" spans="1:1">
      <c r="A3069" s="10" t="s">
        <v>4253</v>
      </c>
    </row>
    <row r="3070" spans="1:1">
      <c r="A3070" s="9" t="s">
        <v>4254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89"/>
  <sheetViews>
    <sheetView workbookViewId="0">
      <selection activeCell="C118" sqref="C1:G118"/>
    </sheetView>
  </sheetViews>
  <sheetFormatPr defaultRowHeight="16.5"/>
  <cols>
    <col min="1" max="1" width="107.625" bestFit="1" customWidth="1"/>
  </cols>
  <sheetData>
    <row r="1" spans="1:7">
      <c r="A1" t="s">
        <v>8334</v>
      </c>
      <c r="B1" s="30" t="s">
        <v>8558</v>
      </c>
      <c r="C1" t="s">
        <v>8334</v>
      </c>
      <c r="D1" t="s">
        <v>6954</v>
      </c>
      <c r="E1" t="s">
        <v>8558</v>
      </c>
      <c r="F1" t="s">
        <v>8666</v>
      </c>
      <c r="G1">
        <v>1</v>
      </c>
    </row>
    <row r="2" spans="1:7">
      <c r="A2" t="s">
        <v>6954</v>
      </c>
      <c r="C2" t="s">
        <v>8335</v>
      </c>
      <c r="D2" t="s">
        <v>7265</v>
      </c>
      <c r="E2" t="s">
        <v>8559</v>
      </c>
      <c r="F2" t="s">
        <v>8667</v>
      </c>
      <c r="G2">
        <v>2</v>
      </c>
    </row>
    <row r="3" spans="1:7">
      <c r="A3" s="30" t="s">
        <v>8558</v>
      </c>
      <c r="C3" t="s">
        <v>8336</v>
      </c>
      <c r="D3" t="s">
        <v>8451</v>
      </c>
      <c r="E3" t="s">
        <v>8560</v>
      </c>
      <c r="F3" t="s">
        <v>8668</v>
      </c>
      <c r="G3">
        <v>1</v>
      </c>
    </row>
    <row r="4" spans="1:7">
      <c r="A4" t="s">
        <v>8666</v>
      </c>
      <c r="C4" t="s">
        <v>8337</v>
      </c>
      <c r="D4" t="s">
        <v>8452</v>
      </c>
      <c r="E4" t="s">
        <v>7658</v>
      </c>
      <c r="F4" t="s">
        <v>8669</v>
      </c>
      <c r="G4">
        <v>1</v>
      </c>
    </row>
    <row r="5" spans="1:7">
      <c r="C5" t="s">
        <v>8338</v>
      </c>
      <c r="D5" t="s">
        <v>8453</v>
      </c>
      <c r="E5" t="s">
        <v>8561</v>
      </c>
      <c r="F5" t="s">
        <v>8670</v>
      </c>
      <c r="G5">
        <v>0</v>
      </c>
    </row>
    <row r="6" spans="1:7">
      <c r="A6" t="s">
        <v>8335</v>
      </c>
      <c r="C6" t="s">
        <v>8339</v>
      </c>
      <c r="D6">
        <v>0.8</v>
      </c>
      <c r="E6">
        <v>0.75</v>
      </c>
      <c r="F6">
        <v>0.5</v>
      </c>
      <c r="G6">
        <v>1</v>
      </c>
    </row>
    <row r="7" spans="1:7">
      <c r="A7" t="s">
        <v>7265</v>
      </c>
      <c r="C7" t="s">
        <v>8340</v>
      </c>
      <c r="D7" t="s">
        <v>8454</v>
      </c>
      <c r="E7" t="s">
        <v>8562</v>
      </c>
      <c r="F7" t="s">
        <v>6750</v>
      </c>
      <c r="G7">
        <v>0</v>
      </c>
    </row>
    <row r="8" spans="1:7">
      <c r="A8" t="s">
        <v>8559</v>
      </c>
      <c r="C8" t="s">
        <v>8341</v>
      </c>
      <c r="D8" t="s">
        <v>8455</v>
      </c>
      <c r="E8" t="s">
        <v>8563</v>
      </c>
      <c r="F8" t="s">
        <v>8671</v>
      </c>
      <c r="G8">
        <v>1</v>
      </c>
    </row>
    <row r="9" spans="1:7">
      <c r="A9" s="30" t="s">
        <v>8667</v>
      </c>
      <c r="C9" t="s">
        <v>8342</v>
      </c>
      <c r="D9" t="s">
        <v>8456</v>
      </c>
      <c r="E9" t="s">
        <v>8564</v>
      </c>
      <c r="F9" t="s">
        <v>8672</v>
      </c>
      <c r="G9">
        <v>2</v>
      </c>
    </row>
    <row r="10" spans="1:7">
      <c r="C10" t="s">
        <v>8773</v>
      </c>
      <c r="D10" t="s">
        <v>8457</v>
      </c>
      <c r="E10" t="s">
        <v>8565</v>
      </c>
      <c r="F10" t="s">
        <v>8673</v>
      </c>
      <c r="G10">
        <v>0</v>
      </c>
    </row>
    <row r="11" spans="1:7">
      <c r="A11" t="s">
        <v>8336</v>
      </c>
      <c r="C11" t="s">
        <v>8344</v>
      </c>
      <c r="D11" t="s">
        <v>8458</v>
      </c>
      <c r="E11" t="s">
        <v>8566</v>
      </c>
      <c r="F11" t="s">
        <v>8674</v>
      </c>
      <c r="G11">
        <v>2</v>
      </c>
    </row>
    <row r="12" spans="1:7">
      <c r="A12" t="s">
        <v>8451</v>
      </c>
      <c r="C12" t="s">
        <v>8345</v>
      </c>
      <c r="D12" t="s">
        <v>8459</v>
      </c>
      <c r="E12" t="s">
        <v>8567</v>
      </c>
      <c r="F12" t="s">
        <v>8675</v>
      </c>
      <c r="G12">
        <v>1</v>
      </c>
    </row>
    <row r="13" spans="1:7">
      <c r="A13" s="30" t="s">
        <v>8560</v>
      </c>
      <c r="C13" t="s">
        <v>8346</v>
      </c>
      <c r="D13" t="s">
        <v>8460</v>
      </c>
      <c r="E13" t="s">
        <v>8568</v>
      </c>
      <c r="F13" t="s">
        <v>8676</v>
      </c>
      <c r="G13">
        <v>0</v>
      </c>
    </row>
    <row r="14" spans="1:7">
      <c r="A14" t="s">
        <v>8668</v>
      </c>
      <c r="C14" t="s">
        <v>8774</v>
      </c>
      <c r="D14" t="s">
        <v>8461</v>
      </c>
      <c r="E14" t="s">
        <v>8569</v>
      </c>
      <c r="F14" t="s">
        <v>8677</v>
      </c>
      <c r="G14">
        <v>2</v>
      </c>
    </row>
    <row r="15" spans="1:7">
      <c r="C15" t="s">
        <v>8348</v>
      </c>
      <c r="D15" t="s">
        <v>8462</v>
      </c>
      <c r="E15" t="s">
        <v>8570</v>
      </c>
      <c r="F15" t="s">
        <v>8678</v>
      </c>
      <c r="G15">
        <v>0</v>
      </c>
    </row>
    <row r="16" spans="1:7">
      <c r="A16" t="s">
        <v>8337</v>
      </c>
      <c r="C16" t="s">
        <v>8349</v>
      </c>
      <c r="D16" t="s">
        <v>8463</v>
      </c>
      <c r="E16" t="s">
        <v>8571</v>
      </c>
      <c r="F16" t="s">
        <v>6339</v>
      </c>
      <c r="G16">
        <v>1</v>
      </c>
    </row>
    <row r="17" spans="1:7">
      <c r="A17" t="s">
        <v>8452</v>
      </c>
      <c r="C17" t="s">
        <v>8350</v>
      </c>
      <c r="D17" t="s">
        <v>8464</v>
      </c>
      <c r="E17" t="s">
        <v>8572</v>
      </c>
      <c r="F17" t="s">
        <v>8679</v>
      </c>
      <c r="G17">
        <v>0</v>
      </c>
    </row>
    <row r="18" spans="1:7">
      <c r="A18" s="30" t="s">
        <v>7658</v>
      </c>
      <c r="C18" t="s">
        <v>8351</v>
      </c>
      <c r="D18" t="s">
        <v>8465</v>
      </c>
      <c r="E18" t="s">
        <v>8573</v>
      </c>
      <c r="F18" t="s">
        <v>8680</v>
      </c>
      <c r="G18">
        <v>2</v>
      </c>
    </row>
    <row r="19" spans="1:7">
      <c r="A19" t="s">
        <v>8669</v>
      </c>
      <c r="C19" t="s">
        <v>8775</v>
      </c>
      <c r="D19" t="s">
        <v>8466</v>
      </c>
      <c r="E19" t="s">
        <v>8574</v>
      </c>
      <c r="F19" t="s">
        <v>8681</v>
      </c>
      <c r="G19">
        <v>1</v>
      </c>
    </row>
    <row r="20" spans="1:7">
      <c r="C20" t="s">
        <v>8776</v>
      </c>
      <c r="D20" t="s">
        <v>8467</v>
      </c>
      <c r="E20" t="s">
        <v>8575</v>
      </c>
      <c r="F20" t="s">
        <v>8682</v>
      </c>
      <c r="G20">
        <v>0</v>
      </c>
    </row>
    <row r="21" spans="1:7">
      <c r="A21" t="s">
        <v>8338</v>
      </c>
      <c r="C21" t="s">
        <v>8777</v>
      </c>
      <c r="D21" t="s">
        <v>8468</v>
      </c>
      <c r="E21" t="s">
        <v>8576</v>
      </c>
      <c r="F21" t="s">
        <v>8683</v>
      </c>
      <c r="G21">
        <v>2</v>
      </c>
    </row>
    <row r="22" spans="1:7">
      <c r="A22" s="30" t="s">
        <v>8453</v>
      </c>
      <c r="C22" t="s">
        <v>8355</v>
      </c>
      <c r="D22">
        <v>201</v>
      </c>
      <c r="E22">
        <v>206</v>
      </c>
      <c r="F22">
        <v>210</v>
      </c>
      <c r="G22">
        <v>1</v>
      </c>
    </row>
    <row r="23" spans="1:7">
      <c r="A23" t="s">
        <v>8561</v>
      </c>
      <c r="C23" t="s">
        <v>8356</v>
      </c>
      <c r="D23" t="s">
        <v>8469</v>
      </c>
      <c r="E23" t="s">
        <v>8577</v>
      </c>
      <c r="F23" t="s">
        <v>8684</v>
      </c>
      <c r="G23">
        <v>0</v>
      </c>
    </row>
    <row r="24" spans="1:7">
      <c r="A24" t="s">
        <v>8670</v>
      </c>
      <c r="C24" t="s">
        <v>8357</v>
      </c>
      <c r="D24" t="s">
        <v>8470</v>
      </c>
      <c r="E24" t="s">
        <v>8578</v>
      </c>
      <c r="F24" t="s">
        <v>8685</v>
      </c>
      <c r="G24">
        <v>2</v>
      </c>
    </row>
    <row r="25" spans="1:7">
      <c r="C25" t="s">
        <v>8358</v>
      </c>
      <c r="D25" t="s">
        <v>8471</v>
      </c>
      <c r="E25" t="s">
        <v>8579</v>
      </c>
      <c r="F25" t="s">
        <v>8686</v>
      </c>
      <c r="G25">
        <v>2</v>
      </c>
    </row>
    <row r="26" spans="1:7">
      <c r="A26" t="s">
        <v>8339</v>
      </c>
      <c r="C26" t="s">
        <v>8359</v>
      </c>
      <c r="D26" t="s">
        <v>8472</v>
      </c>
      <c r="E26" t="s">
        <v>8580</v>
      </c>
      <c r="F26" t="s">
        <v>8687</v>
      </c>
      <c r="G26">
        <v>0</v>
      </c>
    </row>
    <row r="27" spans="1:7">
      <c r="A27" s="34">
        <v>0.8</v>
      </c>
      <c r="C27" t="s">
        <v>8360</v>
      </c>
      <c r="D27" t="s">
        <v>8473</v>
      </c>
      <c r="E27" t="s">
        <v>8581</v>
      </c>
      <c r="F27" t="s">
        <v>8688</v>
      </c>
      <c r="G27">
        <v>1</v>
      </c>
    </row>
    <row r="28" spans="1:7">
      <c r="A28" s="35">
        <v>0.75</v>
      </c>
      <c r="C28" t="s">
        <v>8361</v>
      </c>
      <c r="D28" t="s">
        <v>8474</v>
      </c>
      <c r="E28" t="s">
        <v>8582</v>
      </c>
      <c r="F28" t="s">
        <v>8689</v>
      </c>
      <c r="G28">
        <v>0</v>
      </c>
    </row>
    <row r="29" spans="1:7">
      <c r="A29" s="34">
        <v>0.5</v>
      </c>
      <c r="C29" t="s">
        <v>8362</v>
      </c>
      <c r="D29" t="s">
        <v>8475</v>
      </c>
      <c r="E29" t="s">
        <v>8583</v>
      </c>
      <c r="F29" t="s">
        <v>8690</v>
      </c>
      <c r="G29">
        <v>1</v>
      </c>
    </row>
    <row r="30" spans="1:7">
      <c r="C30" t="s">
        <v>8363</v>
      </c>
      <c r="D30" t="s">
        <v>8476</v>
      </c>
      <c r="E30" t="s">
        <v>8584</v>
      </c>
      <c r="F30" t="s">
        <v>8691</v>
      </c>
      <c r="G30">
        <v>0</v>
      </c>
    </row>
    <row r="31" spans="1:7">
      <c r="A31" t="s">
        <v>8340</v>
      </c>
      <c r="C31" t="s">
        <v>8778</v>
      </c>
      <c r="D31" t="s">
        <v>8477</v>
      </c>
      <c r="E31" t="s">
        <v>8585</v>
      </c>
      <c r="F31" t="s">
        <v>8692</v>
      </c>
      <c r="G31">
        <v>2</v>
      </c>
    </row>
    <row r="32" spans="1:7">
      <c r="A32" s="30" t="s">
        <v>8454</v>
      </c>
      <c r="C32" t="s">
        <v>8779</v>
      </c>
      <c r="D32" t="s">
        <v>8478</v>
      </c>
      <c r="E32" t="s">
        <v>8586</v>
      </c>
      <c r="F32" t="s">
        <v>8693</v>
      </c>
      <c r="G32">
        <v>1</v>
      </c>
    </row>
    <row r="33" spans="1:7">
      <c r="A33" s="33" t="s">
        <v>8562</v>
      </c>
      <c r="C33" t="s">
        <v>8366</v>
      </c>
      <c r="D33" t="s">
        <v>8479</v>
      </c>
      <c r="E33" t="s">
        <v>8587</v>
      </c>
      <c r="F33" t="s">
        <v>8694</v>
      </c>
      <c r="G33">
        <v>0</v>
      </c>
    </row>
    <row r="34" spans="1:7">
      <c r="A34" t="s">
        <v>6750</v>
      </c>
      <c r="C34" t="s">
        <v>8780</v>
      </c>
      <c r="D34" t="s">
        <v>8480</v>
      </c>
      <c r="E34" t="s">
        <v>8588</v>
      </c>
      <c r="F34" t="s">
        <v>8695</v>
      </c>
      <c r="G34">
        <v>0</v>
      </c>
    </row>
    <row r="35" spans="1:7">
      <c r="C35" t="s">
        <v>8368</v>
      </c>
      <c r="D35">
        <v>6</v>
      </c>
      <c r="E35">
        <v>7</v>
      </c>
      <c r="F35">
        <v>8</v>
      </c>
      <c r="G35">
        <v>2</v>
      </c>
    </row>
    <row r="36" spans="1:7">
      <c r="A36" t="s">
        <v>8341</v>
      </c>
      <c r="C36" t="s">
        <v>8369</v>
      </c>
      <c r="D36" t="s">
        <v>8481</v>
      </c>
      <c r="E36" t="s">
        <v>8589</v>
      </c>
      <c r="F36" t="s">
        <v>8696</v>
      </c>
      <c r="G36">
        <v>2</v>
      </c>
    </row>
    <row r="37" spans="1:7">
      <c r="A37" t="s">
        <v>8455</v>
      </c>
      <c r="C37" t="s">
        <v>8370</v>
      </c>
      <c r="D37" t="s">
        <v>8482</v>
      </c>
      <c r="E37" t="s">
        <v>8590</v>
      </c>
      <c r="F37" t="s">
        <v>8697</v>
      </c>
      <c r="G37">
        <v>1</v>
      </c>
    </row>
    <row r="38" spans="1:7">
      <c r="A38" s="30" t="s">
        <v>8563</v>
      </c>
      <c r="C38" t="s">
        <v>8781</v>
      </c>
      <c r="D38" t="s">
        <v>8483</v>
      </c>
      <c r="E38" t="s">
        <v>8591</v>
      </c>
      <c r="F38" t="s">
        <v>8698</v>
      </c>
      <c r="G38">
        <v>0</v>
      </c>
    </row>
    <row r="39" spans="1:7">
      <c r="A39" s="31" t="s">
        <v>8671</v>
      </c>
      <c r="C39" t="s">
        <v>8372</v>
      </c>
      <c r="D39" t="s">
        <v>8484</v>
      </c>
      <c r="E39" t="s">
        <v>8592</v>
      </c>
      <c r="F39" t="s">
        <v>8699</v>
      </c>
      <c r="G39">
        <v>1</v>
      </c>
    </row>
    <row r="40" spans="1:7">
      <c r="C40" t="s">
        <v>8373</v>
      </c>
      <c r="D40" t="s">
        <v>8485</v>
      </c>
      <c r="E40" t="s">
        <v>8593</v>
      </c>
      <c r="F40" t="s">
        <v>8700</v>
      </c>
      <c r="G40">
        <v>0</v>
      </c>
    </row>
    <row r="41" spans="1:7">
      <c r="A41" t="s">
        <v>8342</v>
      </c>
      <c r="C41" t="s">
        <v>8374</v>
      </c>
      <c r="D41" t="s">
        <v>8486</v>
      </c>
      <c r="E41" t="s">
        <v>8594</v>
      </c>
      <c r="F41" t="s">
        <v>8701</v>
      </c>
      <c r="G41">
        <v>2</v>
      </c>
    </row>
    <row r="42" spans="1:7">
      <c r="A42" t="s">
        <v>8456</v>
      </c>
      <c r="C42" t="s">
        <v>8375</v>
      </c>
      <c r="D42" t="s">
        <v>8487</v>
      </c>
      <c r="E42" t="s">
        <v>8595</v>
      </c>
      <c r="F42" t="s">
        <v>8702</v>
      </c>
      <c r="G42">
        <v>2</v>
      </c>
    </row>
    <row r="43" spans="1:7">
      <c r="A43" s="31" t="s">
        <v>8564</v>
      </c>
      <c r="C43" t="s">
        <v>8376</v>
      </c>
      <c r="D43" t="s">
        <v>8488</v>
      </c>
      <c r="E43" t="s">
        <v>8596</v>
      </c>
      <c r="F43" t="s">
        <v>8703</v>
      </c>
      <c r="G43">
        <v>1</v>
      </c>
    </row>
    <row r="44" spans="1:7">
      <c r="A44" s="30" t="s">
        <v>8672</v>
      </c>
      <c r="C44" t="s">
        <v>8377</v>
      </c>
      <c r="D44" t="s">
        <v>8489</v>
      </c>
      <c r="E44" t="s">
        <v>8597</v>
      </c>
      <c r="F44" t="s">
        <v>8704</v>
      </c>
      <c r="G44">
        <v>0</v>
      </c>
    </row>
    <row r="45" spans="1:7">
      <c r="C45" t="s">
        <v>8378</v>
      </c>
      <c r="D45" t="s">
        <v>8490</v>
      </c>
      <c r="E45" t="s">
        <v>8598</v>
      </c>
      <c r="F45" t="s">
        <v>8705</v>
      </c>
      <c r="G45">
        <v>2</v>
      </c>
    </row>
    <row r="46" spans="1:7">
      <c r="A46" t="s">
        <v>8343</v>
      </c>
      <c r="C46" t="s">
        <v>8379</v>
      </c>
      <c r="D46" t="s">
        <v>8491</v>
      </c>
      <c r="E46" t="s">
        <v>8599</v>
      </c>
      <c r="F46" t="s">
        <v>8706</v>
      </c>
      <c r="G46">
        <v>2</v>
      </c>
    </row>
    <row r="47" spans="1:7">
      <c r="A47" s="30" t="s">
        <v>8457</v>
      </c>
      <c r="C47" t="s">
        <v>8380</v>
      </c>
      <c r="D47" t="s">
        <v>8492</v>
      </c>
      <c r="E47" t="s">
        <v>8600</v>
      </c>
      <c r="F47" t="s">
        <v>8707</v>
      </c>
      <c r="G47">
        <v>1</v>
      </c>
    </row>
    <row r="48" spans="1:7">
      <c r="A48" s="31" t="s">
        <v>8565</v>
      </c>
      <c r="C48" t="s">
        <v>8381</v>
      </c>
      <c r="D48" t="s">
        <v>8493</v>
      </c>
      <c r="E48" t="s">
        <v>8601</v>
      </c>
      <c r="F48" t="s">
        <v>8708</v>
      </c>
      <c r="G48">
        <v>0</v>
      </c>
    </row>
    <row r="49" spans="1:7">
      <c r="A49" s="31" t="s">
        <v>8673</v>
      </c>
      <c r="C49" t="s">
        <v>8382</v>
      </c>
      <c r="D49" t="s">
        <v>8494</v>
      </c>
      <c r="E49" t="s">
        <v>6185</v>
      </c>
      <c r="F49" t="s">
        <v>8709</v>
      </c>
      <c r="G49">
        <v>1</v>
      </c>
    </row>
    <row r="50" spans="1:7">
      <c r="C50" t="s">
        <v>8782</v>
      </c>
      <c r="D50" t="s">
        <v>8495</v>
      </c>
      <c r="E50" t="s">
        <v>8602</v>
      </c>
      <c r="F50" t="s">
        <v>8710</v>
      </c>
      <c r="G50">
        <v>1</v>
      </c>
    </row>
    <row r="51" spans="1:7">
      <c r="A51" t="s">
        <v>8344</v>
      </c>
      <c r="C51" t="s">
        <v>8384</v>
      </c>
      <c r="D51" t="s">
        <v>7265</v>
      </c>
      <c r="E51" t="s">
        <v>7277</v>
      </c>
      <c r="F51" t="s">
        <v>8711</v>
      </c>
      <c r="G51">
        <v>1</v>
      </c>
    </row>
    <row r="52" spans="1:7">
      <c r="A52" t="s">
        <v>8458</v>
      </c>
      <c r="C52" t="s">
        <v>8385</v>
      </c>
      <c r="D52" t="s">
        <v>8496</v>
      </c>
      <c r="E52" t="s">
        <v>8603</v>
      </c>
      <c r="F52" t="s">
        <v>7001</v>
      </c>
      <c r="G52">
        <v>0</v>
      </c>
    </row>
    <row r="53" spans="1:7">
      <c r="A53" s="31" t="s">
        <v>8566</v>
      </c>
      <c r="C53" t="s">
        <v>8386</v>
      </c>
      <c r="D53" t="s">
        <v>8497</v>
      </c>
      <c r="E53" t="s">
        <v>8604</v>
      </c>
      <c r="F53" t="s">
        <v>8712</v>
      </c>
      <c r="G53">
        <v>0</v>
      </c>
    </row>
    <row r="54" spans="1:7">
      <c r="A54" s="30" t="s">
        <v>8674</v>
      </c>
      <c r="C54" t="s">
        <v>8783</v>
      </c>
      <c r="D54" t="s">
        <v>8498</v>
      </c>
      <c r="E54" t="s">
        <v>8605</v>
      </c>
      <c r="F54" t="s">
        <v>8713</v>
      </c>
      <c r="G54">
        <v>2</v>
      </c>
    </row>
    <row r="55" spans="1:7">
      <c r="C55" t="s">
        <v>8784</v>
      </c>
      <c r="D55" t="s">
        <v>8499</v>
      </c>
      <c r="E55" t="s">
        <v>8606</v>
      </c>
      <c r="F55" t="s">
        <v>8714</v>
      </c>
      <c r="G55">
        <v>0</v>
      </c>
    </row>
    <row r="56" spans="1:7">
      <c r="A56" t="s">
        <v>8345</v>
      </c>
      <c r="C56" t="s">
        <v>8785</v>
      </c>
      <c r="D56" t="s">
        <v>8500</v>
      </c>
      <c r="E56" t="s">
        <v>8607</v>
      </c>
      <c r="F56" t="s">
        <v>8715</v>
      </c>
      <c r="G56">
        <v>1</v>
      </c>
    </row>
    <row r="57" spans="1:7">
      <c r="A57" t="s">
        <v>8459</v>
      </c>
      <c r="C57" t="s">
        <v>8786</v>
      </c>
      <c r="D57" t="s">
        <v>8501</v>
      </c>
      <c r="E57" t="s">
        <v>8608</v>
      </c>
      <c r="F57" t="s">
        <v>8716</v>
      </c>
      <c r="G57">
        <v>2</v>
      </c>
    </row>
    <row r="58" spans="1:7">
      <c r="A58" s="30" t="s">
        <v>8567</v>
      </c>
      <c r="C58" t="s">
        <v>8391</v>
      </c>
      <c r="D58" t="s">
        <v>8502</v>
      </c>
      <c r="E58" t="s">
        <v>8609</v>
      </c>
      <c r="F58" t="s">
        <v>8717</v>
      </c>
      <c r="G58">
        <v>1</v>
      </c>
    </row>
    <row r="59" spans="1:7">
      <c r="A59" t="s">
        <v>8675</v>
      </c>
      <c r="C59" t="s">
        <v>8392</v>
      </c>
      <c r="D59" t="s">
        <v>8503</v>
      </c>
      <c r="E59" t="s">
        <v>8610</v>
      </c>
      <c r="F59" t="s">
        <v>8718</v>
      </c>
      <c r="G59">
        <v>1</v>
      </c>
    </row>
    <row r="60" spans="1:7">
      <c r="C60" t="s">
        <v>8393</v>
      </c>
      <c r="D60" t="s">
        <v>8504</v>
      </c>
      <c r="E60" t="s">
        <v>8611</v>
      </c>
      <c r="F60" t="s">
        <v>8719</v>
      </c>
      <c r="G60">
        <v>1</v>
      </c>
    </row>
    <row r="61" spans="1:7">
      <c r="A61" t="s">
        <v>8346</v>
      </c>
      <c r="C61" t="s">
        <v>8394</v>
      </c>
      <c r="D61" t="s">
        <v>8505</v>
      </c>
      <c r="E61" t="s">
        <v>8612</v>
      </c>
      <c r="F61" t="s">
        <v>8720</v>
      </c>
      <c r="G61">
        <v>2</v>
      </c>
    </row>
    <row r="62" spans="1:7">
      <c r="A62" s="30" t="s">
        <v>8460</v>
      </c>
      <c r="C62" t="s">
        <v>8395</v>
      </c>
      <c r="D62" t="s">
        <v>8506</v>
      </c>
      <c r="E62" t="s">
        <v>8613</v>
      </c>
      <c r="F62" t="s">
        <v>8721</v>
      </c>
      <c r="G62">
        <v>1</v>
      </c>
    </row>
    <row r="63" spans="1:7">
      <c r="A63" t="s">
        <v>8568</v>
      </c>
      <c r="C63" t="s">
        <v>8396</v>
      </c>
      <c r="D63" t="s">
        <v>8507</v>
      </c>
      <c r="E63" t="s">
        <v>8614</v>
      </c>
      <c r="F63" t="s">
        <v>8722</v>
      </c>
      <c r="G63">
        <v>0</v>
      </c>
    </row>
    <row r="64" spans="1:7">
      <c r="A64" t="s">
        <v>8676</v>
      </c>
      <c r="C64" t="s">
        <v>8397</v>
      </c>
      <c r="D64" t="s">
        <v>8508</v>
      </c>
      <c r="E64" t="s">
        <v>8615</v>
      </c>
      <c r="F64" t="s">
        <v>8723</v>
      </c>
      <c r="G64">
        <v>1</v>
      </c>
    </row>
    <row r="65" spans="1:7">
      <c r="C65" t="s">
        <v>8398</v>
      </c>
      <c r="D65" t="s">
        <v>8509</v>
      </c>
      <c r="E65" t="s">
        <v>8616</v>
      </c>
      <c r="F65" t="s">
        <v>8724</v>
      </c>
      <c r="G65">
        <v>0</v>
      </c>
    </row>
    <row r="66" spans="1:7">
      <c r="A66" t="s">
        <v>8347</v>
      </c>
      <c r="C66" t="s">
        <v>8399</v>
      </c>
      <c r="D66" t="s">
        <v>8510</v>
      </c>
      <c r="E66" t="s">
        <v>8617</v>
      </c>
      <c r="F66" t="s">
        <v>8725</v>
      </c>
      <c r="G66">
        <v>0</v>
      </c>
    </row>
    <row r="67" spans="1:7">
      <c r="A67" t="s">
        <v>8461</v>
      </c>
      <c r="C67" t="s">
        <v>8400</v>
      </c>
      <c r="D67" t="s">
        <v>8511</v>
      </c>
      <c r="E67" t="s">
        <v>8618</v>
      </c>
      <c r="F67" t="s">
        <v>8726</v>
      </c>
      <c r="G67">
        <v>1</v>
      </c>
    </row>
    <row r="68" spans="1:7">
      <c r="A68" t="s">
        <v>8569</v>
      </c>
      <c r="C68" t="s">
        <v>8401</v>
      </c>
      <c r="D68" t="s">
        <v>8512</v>
      </c>
      <c r="E68" t="s">
        <v>8619</v>
      </c>
      <c r="F68" t="s">
        <v>8727</v>
      </c>
      <c r="G68">
        <v>1</v>
      </c>
    </row>
    <row r="69" spans="1:7">
      <c r="A69" s="30" t="s">
        <v>8677</v>
      </c>
      <c r="C69" t="s">
        <v>8402</v>
      </c>
      <c r="D69" t="s">
        <v>8513</v>
      </c>
      <c r="E69" t="s">
        <v>8620</v>
      </c>
      <c r="F69" t="s">
        <v>8728</v>
      </c>
      <c r="G69">
        <v>2</v>
      </c>
    </row>
    <row r="70" spans="1:7">
      <c r="C70" t="s">
        <v>8403</v>
      </c>
      <c r="D70" t="s">
        <v>8514</v>
      </c>
      <c r="E70" t="s">
        <v>8621</v>
      </c>
      <c r="F70" t="s">
        <v>8729</v>
      </c>
      <c r="G70">
        <v>1</v>
      </c>
    </row>
    <row r="71" spans="1:7">
      <c r="A71" t="s">
        <v>8348</v>
      </c>
      <c r="C71" t="s">
        <v>8787</v>
      </c>
      <c r="D71" t="s">
        <v>8515</v>
      </c>
      <c r="E71" t="s">
        <v>6756</v>
      </c>
      <c r="F71" t="s">
        <v>6803</v>
      </c>
      <c r="G71">
        <v>1</v>
      </c>
    </row>
    <row r="72" spans="1:7">
      <c r="A72" s="30" t="s">
        <v>8462</v>
      </c>
      <c r="C72" t="s">
        <v>8405</v>
      </c>
      <c r="D72" t="s">
        <v>8516</v>
      </c>
      <c r="E72" t="s">
        <v>8622</v>
      </c>
      <c r="F72" t="s">
        <v>8730</v>
      </c>
      <c r="G72">
        <v>1</v>
      </c>
    </row>
    <row r="73" spans="1:7">
      <c r="A73" t="s">
        <v>8570</v>
      </c>
      <c r="C73" t="s">
        <v>8406</v>
      </c>
      <c r="D73" t="s">
        <v>8517</v>
      </c>
      <c r="E73" t="s">
        <v>8623</v>
      </c>
      <c r="F73" t="s">
        <v>8731</v>
      </c>
      <c r="G73">
        <v>2</v>
      </c>
    </row>
    <row r="74" spans="1:7">
      <c r="A74" t="s">
        <v>8678</v>
      </c>
      <c r="C74" t="s">
        <v>8407</v>
      </c>
      <c r="D74" t="s">
        <v>8518</v>
      </c>
      <c r="E74" t="s">
        <v>8624</v>
      </c>
      <c r="F74" t="s">
        <v>8732</v>
      </c>
      <c r="G74">
        <v>1</v>
      </c>
    </row>
    <row r="75" spans="1:7">
      <c r="C75" t="s">
        <v>8408</v>
      </c>
      <c r="D75" t="s">
        <v>8519</v>
      </c>
      <c r="E75" t="s">
        <v>8625</v>
      </c>
      <c r="F75" t="s">
        <v>8733</v>
      </c>
      <c r="G75">
        <v>0</v>
      </c>
    </row>
    <row r="76" spans="1:7">
      <c r="A76" t="s">
        <v>8349</v>
      </c>
      <c r="C76" t="s">
        <v>8788</v>
      </c>
      <c r="D76" t="s">
        <v>8520</v>
      </c>
      <c r="E76" t="s">
        <v>8626</v>
      </c>
      <c r="F76" t="s">
        <v>8734</v>
      </c>
      <c r="G76">
        <v>0</v>
      </c>
    </row>
    <row r="77" spans="1:7">
      <c r="A77" t="s">
        <v>8463</v>
      </c>
      <c r="C77" t="s">
        <v>8410</v>
      </c>
      <c r="D77" t="s">
        <v>8521</v>
      </c>
      <c r="E77" t="s">
        <v>8627</v>
      </c>
      <c r="F77" t="s">
        <v>8735</v>
      </c>
      <c r="G77">
        <v>1</v>
      </c>
    </row>
    <row r="78" spans="1:7">
      <c r="A78" s="30" t="s">
        <v>8571</v>
      </c>
      <c r="C78" t="s">
        <v>8411</v>
      </c>
      <c r="D78" t="s">
        <v>8522</v>
      </c>
      <c r="E78" t="s">
        <v>8628</v>
      </c>
      <c r="F78" t="s">
        <v>8736</v>
      </c>
      <c r="G78">
        <v>0</v>
      </c>
    </row>
    <row r="79" spans="1:7">
      <c r="A79" t="s">
        <v>6339</v>
      </c>
      <c r="C79" t="s">
        <v>8412</v>
      </c>
      <c r="D79" t="s">
        <v>8523</v>
      </c>
      <c r="E79" t="s">
        <v>8629</v>
      </c>
      <c r="F79" t="s">
        <v>8737</v>
      </c>
      <c r="G79">
        <v>0</v>
      </c>
    </row>
    <row r="80" spans="1:7">
      <c r="C80" t="s">
        <v>8413</v>
      </c>
      <c r="D80" t="s">
        <v>8524</v>
      </c>
      <c r="E80" t="s">
        <v>8630</v>
      </c>
      <c r="F80" t="s">
        <v>8738</v>
      </c>
      <c r="G80">
        <v>0</v>
      </c>
    </row>
    <row r="81" spans="1:7">
      <c r="A81" t="s">
        <v>8350</v>
      </c>
      <c r="C81" t="s">
        <v>8789</v>
      </c>
      <c r="D81" t="s">
        <v>8525</v>
      </c>
      <c r="E81" t="s">
        <v>8631</v>
      </c>
      <c r="F81" t="s">
        <v>8739</v>
      </c>
      <c r="G81">
        <v>0</v>
      </c>
    </row>
    <row r="82" spans="1:7">
      <c r="A82" s="30" t="s">
        <v>8464</v>
      </c>
      <c r="C82" t="s">
        <v>8415</v>
      </c>
      <c r="D82" t="s">
        <v>8526</v>
      </c>
      <c r="E82" t="s">
        <v>8632</v>
      </c>
      <c r="F82" t="s">
        <v>8740</v>
      </c>
      <c r="G82">
        <v>2</v>
      </c>
    </row>
    <row r="83" spans="1:7">
      <c r="A83" t="s">
        <v>8572</v>
      </c>
      <c r="C83" t="s">
        <v>8416</v>
      </c>
      <c r="D83" t="s">
        <v>8527</v>
      </c>
      <c r="E83" t="s">
        <v>8633</v>
      </c>
      <c r="F83" t="s">
        <v>8741</v>
      </c>
      <c r="G83">
        <v>2</v>
      </c>
    </row>
    <row r="84" spans="1:7">
      <c r="A84" t="s">
        <v>8679</v>
      </c>
      <c r="C84" t="s">
        <v>8417</v>
      </c>
      <c r="D84" t="s">
        <v>8528</v>
      </c>
      <c r="E84" t="s">
        <v>8634</v>
      </c>
      <c r="F84" t="s">
        <v>8742</v>
      </c>
      <c r="G84">
        <v>2</v>
      </c>
    </row>
    <row r="85" spans="1:7">
      <c r="C85" t="s">
        <v>8418</v>
      </c>
      <c r="D85" t="s">
        <v>8529</v>
      </c>
      <c r="E85" t="s">
        <v>8635</v>
      </c>
      <c r="F85" t="s">
        <v>8743</v>
      </c>
      <c r="G85">
        <v>1</v>
      </c>
    </row>
    <row r="86" spans="1:7">
      <c r="A86" t="s">
        <v>8351</v>
      </c>
      <c r="C86" t="s">
        <v>8419</v>
      </c>
      <c r="D86" t="s">
        <v>7021</v>
      </c>
      <c r="E86" t="s">
        <v>8636</v>
      </c>
      <c r="F86" t="s">
        <v>6772</v>
      </c>
      <c r="G86">
        <v>1</v>
      </c>
    </row>
    <row r="87" spans="1:7">
      <c r="A87" t="s">
        <v>8465</v>
      </c>
      <c r="C87" t="s">
        <v>8420</v>
      </c>
      <c r="D87" t="s">
        <v>8530</v>
      </c>
      <c r="E87" t="s">
        <v>8637</v>
      </c>
      <c r="F87" t="s">
        <v>8744</v>
      </c>
      <c r="G87">
        <v>1</v>
      </c>
    </row>
    <row r="88" spans="1:7">
      <c r="A88" t="s">
        <v>8573</v>
      </c>
      <c r="C88" t="s">
        <v>8421</v>
      </c>
      <c r="D88" t="s">
        <v>6750</v>
      </c>
      <c r="E88" t="s">
        <v>8638</v>
      </c>
      <c r="F88" t="s">
        <v>8745</v>
      </c>
      <c r="G88">
        <v>1</v>
      </c>
    </row>
    <row r="89" spans="1:7">
      <c r="A89" s="30" t="s">
        <v>8680</v>
      </c>
      <c r="C89" t="s">
        <v>8422</v>
      </c>
      <c r="D89" t="s">
        <v>8531</v>
      </c>
      <c r="E89" t="s">
        <v>8639</v>
      </c>
      <c r="F89" t="s">
        <v>8746</v>
      </c>
      <c r="G89">
        <v>2</v>
      </c>
    </row>
    <row r="90" spans="1:7">
      <c r="C90" t="s">
        <v>8423</v>
      </c>
      <c r="D90" t="s">
        <v>8532</v>
      </c>
      <c r="E90" t="s">
        <v>8640</v>
      </c>
      <c r="F90" t="s">
        <v>8747</v>
      </c>
      <c r="G90">
        <v>2</v>
      </c>
    </row>
    <row r="91" spans="1:7">
      <c r="A91" t="s">
        <v>8352</v>
      </c>
      <c r="C91" t="s">
        <v>8424</v>
      </c>
      <c r="D91" t="s">
        <v>8533</v>
      </c>
      <c r="E91" t="s">
        <v>8641</v>
      </c>
      <c r="F91" t="s">
        <v>8748</v>
      </c>
      <c r="G91">
        <v>0</v>
      </c>
    </row>
    <row r="92" spans="1:7">
      <c r="A92" t="s">
        <v>8466</v>
      </c>
      <c r="C92" t="s">
        <v>8425</v>
      </c>
      <c r="D92" t="s">
        <v>8534</v>
      </c>
      <c r="E92" t="s">
        <v>8642</v>
      </c>
      <c r="F92" t="s">
        <v>8749</v>
      </c>
      <c r="G92">
        <v>2</v>
      </c>
    </row>
    <row r="93" spans="1:7">
      <c r="A93" s="32" t="s">
        <v>8574</v>
      </c>
      <c r="C93" t="s">
        <v>8426</v>
      </c>
      <c r="D93" t="s">
        <v>8535</v>
      </c>
      <c r="E93" t="s">
        <v>8643</v>
      </c>
      <c r="F93" t="s">
        <v>8750</v>
      </c>
      <c r="G93">
        <v>0</v>
      </c>
    </row>
    <row r="94" spans="1:7">
      <c r="A94" t="s">
        <v>8681</v>
      </c>
      <c r="C94" t="s">
        <v>8427</v>
      </c>
      <c r="D94">
        <v>36</v>
      </c>
      <c r="E94">
        <v>40</v>
      </c>
      <c r="F94" t="s">
        <v>8751</v>
      </c>
      <c r="G94">
        <v>2</v>
      </c>
    </row>
    <row r="95" spans="1:7">
      <c r="C95" t="s">
        <v>8428</v>
      </c>
      <c r="D95" t="s">
        <v>8536</v>
      </c>
      <c r="E95" t="s">
        <v>8644</v>
      </c>
      <c r="F95" t="s">
        <v>8752</v>
      </c>
      <c r="G95">
        <v>1</v>
      </c>
    </row>
    <row r="96" spans="1:7">
      <c r="A96" t="s">
        <v>8353</v>
      </c>
      <c r="C96" t="s">
        <v>8429</v>
      </c>
      <c r="D96" t="s">
        <v>8537</v>
      </c>
      <c r="E96" t="s">
        <v>8645</v>
      </c>
      <c r="F96" t="s">
        <v>8753</v>
      </c>
      <c r="G96">
        <v>1</v>
      </c>
    </row>
    <row r="97" spans="1:7">
      <c r="A97" s="30" t="s">
        <v>8467</v>
      </c>
      <c r="C97" t="s">
        <v>8430</v>
      </c>
      <c r="D97" t="s">
        <v>8538</v>
      </c>
      <c r="E97" t="s">
        <v>8646</v>
      </c>
      <c r="F97" t="s">
        <v>8754</v>
      </c>
      <c r="G97">
        <v>2</v>
      </c>
    </row>
    <row r="98" spans="1:7">
      <c r="A98" t="s">
        <v>8575</v>
      </c>
      <c r="C98" t="s">
        <v>8431</v>
      </c>
      <c r="D98" t="s">
        <v>8539</v>
      </c>
      <c r="E98" t="s">
        <v>8647</v>
      </c>
      <c r="F98" t="s">
        <v>8755</v>
      </c>
      <c r="G98">
        <v>0</v>
      </c>
    </row>
    <row r="99" spans="1:7">
      <c r="A99" t="s">
        <v>8682</v>
      </c>
      <c r="C99" t="s">
        <v>8432</v>
      </c>
      <c r="D99" t="s">
        <v>8540</v>
      </c>
      <c r="E99" t="s">
        <v>8648</v>
      </c>
      <c r="F99" t="s">
        <v>8756</v>
      </c>
      <c r="G99">
        <v>2</v>
      </c>
    </row>
    <row r="100" spans="1:7">
      <c r="C100" t="s">
        <v>8433</v>
      </c>
      <c r="D100" t="s">
        <v>8541</v>
      </c>
      <c r="E100" t="s">
        <v>8649</v>
      </c>
      <c r="F100" t="s">
        <v>8757</v>
      </c>
      <c r="G100">
        <v>0</v>
      </c>
    </row>
    <row r="101" spans="1:7">
      <c r="A101" t="s">
        <v>8354</v>
      </c>
      <c r="C101" t="s">
        <v>8790</v>
      </c>
      <c r="D101" t="s">
        <v>8542</v>
      </c>
      <c r="E101" t="s">
        <v>8650</v>
      </c>
      <c r="F101" t="s">
        <v>8758</v>
      </c>
      <c r="G101">
        <v>2</v>
      </c>
    </row>
    <row r="102" spans="1:7">
      <c r="A102" t="s">
        <v>8468</v>
      </c>
      <c r="C102" t="s">
        <v>8435</v>
      </c>
      <c r="D102" t="s">
        <v>8543</v>
      </c>
      <c r="E102" t="s">
        <v>8651</v>
      </c>
      <c r="F102" t="s">
        <v>8759</v>
      </c>
      <c r="G102">
        <v>0</v>
      </c>
    </row>
    <row r="103" spans="1:7">
      <c r="A103" t="s">
        <v>8576</v>
      </c>
      <c r="C103" t="s">
        <v>8436</v>
      </c>
      <c r="D103" t="s">
        <v>8544</v>
      </c>
      <c r="E103" t="s">
        <v>8652</v>
      </c>
      <c r="F103" t="s">
        <v>8760</v>
      </c>
      <c r="G103">
        <v>0</v>
      </c>
    </row>
    <row r="104" spans="1:7">
      <c r="A104" s="30" t="s">
        <v>8683</v>
      </c>
      <c r="C104" t="s">
        <v>8437</v>
      </c>
      <c r="D104" t="s">
        <v>8545</v>
      </c>
      <c r="E104" t="s">
        <v>8653</v>
      </c>
      <c r="F104" t="s">
        <v>8761</v>
      </c>
      <c r="G104">
        <v>0</v>
      </c>
    </row>
    <row r="105" spans="1:7">
      <c r="C105" t="s">
        <v>8438</v>
      </c>
      <c r="D105" t="s">
        <v>8546</v>
      </c>
      <c r="E105" t="s">
        <v>8654</v>
      </c>
      <c r="F105" t="s">
        <v>8762</v>
      </c>
      <c r="G105">
        <v>1</v>
      </c>
    </row>
    <row r="106" spans="1:7">
      <c r="A106" t="s">
        <v>8355</v>
      </c>
      <c r="C106" t="s">
        <v>8439</v>
      </c>
      <c r="D106" t="s">
        <v>8547</v>
      </c>
      <c r="E106" t="s">
        <v>8655</v>
      </c>
      <c r="F106" t="s">
        <v>8763</v>
      </c>
      <c r="G106">
        <v>0</v>
      </c>
    </row>
    <row r="107" spans="1:7">
      <c r="A107">
        <v>201</v>
      </c>
      <c r="C107" t="s">
        <v>8440</v>
      </c>
      <c r="D107" t="s">
        <v>8548</v>
      </c>
      <c r="E107" t="s">
        <v>8656</v>
      </c>
      <c r="F107" t="s">
        <v>8764</v>
      </c>
      <c r="G107">
        <v>0</v>
      </c>
    </row>
    <row r="108" spans="1:7">
      <c r="A108" s="30">
        <v>206</v>
      </c>
      <c r="C108" t="s">
        <v>8440</v>
      </c>
      <c r="D108" t="s">
        <v>8549</v>
      </c>
      <c r="E108" t="s">
        <v>8657</v>
      </c>
      <c r="F108" t="s">
        <v>8765</v>
      </c>
      <c r="G108">
        <v>1</v>
      </c>
    </row>
    <row r="109" spans="1:7">
      <c r="A109">
        <v>210</v>
      </c>
      <c r="C109" t="s">
        <v>8441</v>
      </c>
      <c r="D109" t="s">
        <v>8550</v>
      </c>
      <c r="E109" t="s">
        <v>8658</v>
      </c>
      <c r="F109" t="s">
        <v>8659</v>
      </c>
      <c r="G109">
        <v>2</v>
      </c>
    </row>
    <row r="110" spans="1:7">
      <c r="C110" t="s">
        <v>8442</v>
      </c>
      <c r="D110" t="s">
        <v>8550</v>
      </c>
      <c r="E110" t="s">
        <v>8659</v>
      </c>
      <c r="F110" t="s">
        <v>8766</v>
      </c>
      <c r="G110">
        <v>2</v>
      </c>
    </row>
    <row r="111" spans="1:7">
      <c r="A111" t="s">
        <v>8356</v>
      </c>
      <c r="C111" t="s">
        <v>8791</v>
      </c>
      <c r="D111" t="s">
        <v>8551</v>
      </c>
      <c r="E111" t="s">
        <v>8660</v>
      </c>
      <c r="F111" t="s">
        <v>8767</v>
      </c>
      <c r="G111">
        <v>2</v>
      </c>
    </row>
    <row r="112" spans="1:7">
      <c r="A112" s="30" t="s">
        <v>8469</v>
      </c>
      <c r="C112" t="s">
        <v>8444</v>
      </c>
      <c r="D112" t="s">
        <v>8552</v>
      </c>
      <c r="E112" t="s">
        <v>8661</v>
      </c>
      <c r="F112" t="s">
        <v>8768</v>
      </c>
      <c r="G112">
        <v>1</v>
      </c>
    </row>
    <row r="113" spans="1:7">
      <c r="A113" t="s">
        <v>8577</v>
      </c>
      <c r="C113" t="s">
        <v>8445</v>
      </c>
      <c r="D113" t="s">
        <v>8553</v>
      </c>
      <c r="E113" t="s">
        <v>8662</v>
      </c>
      <c r="F113" t="s">
        <v>8769</v>
      </c>
      <c r="G113">
        <v>0</v>
      </c>
    </row>
    <row r="114" spans="1:7">
      <c r="A114" t="s">
        <v>8684</v>
      </c>
      <c r="C114" t="s">
        <v>8446</v>
      </c>
      <c r="D114" t="s">
        <v>8554</v>
      </c>
      <c r="E114" t="s">
        <v>8663</v>
      </c>
      <c r="F114" t="s">
        <v>8770</v>
      </c>
      <c r="G114">
        <v>2</v>
      </c>
    </row>
    <row r="115" spans="1:7">
      <c r="C115" t="s">
        <v>8447</v>
      </c>
      <c r="D115" t="s">
        <v>8555</v>
      </c>
      <c r="E115" t="s">
        <v>8664</v>
      </c>
      <c r="F115" t="s">
        <v>8528</v>
      </c>
      <c r="G115">
        <v>1</v>
      </c>
    </row>
    <row r="116" spans="1:7">
      <c r="A116" t="s">
        <v>8357</v>
      </c>
      <c r="C116" t="s">
        <v>8448</v>
      </c>
      <c r="D116">
        <v>6</v>
      </c>
      <c r="E116">
        <v>9</v>
      </c>
      <c r="F116">
        <v>12</v>
      </c>
      <c r="G116">
        <v>0</v>
      </c>
    </row>
    <row r="117" spans="1:7">
      <c r="A117" t="s">
        <v>8470</v>
      </c>
      <c r="C117" t="s">
        <v>8449</v>
      </c>
      <c r="D117" t="s">
        <v>8556</v>
      </c>
      <c r="E117" t="s">
        <v>6339</v>
      </c>
      <c r="F117" t="s">
        <v>8771</v>
      </c>
      <c r="G117">
        <v>2</v>
      </c>
    </row>
    <row r="118" spans="1:7">
      <c r="A118" t="s">
        <v>8578</v>
      </c>
      <c r="C118" t="s">
        <v>8450</v>
      </c>
      <c r="D118" t="s">
        <v>8557</v>
      </c>
      <c r="E118" t="s">
        <v>8665</v>
      </c>
      <c r="F118" t="s">
        <v>8772</v>
      </c>
      <c r="G118">
        <v>1</v>
      </c>
    </row>
    <row r="119" spans="1:7">
      <c r="A119" s="30" t="s">
        <v>8685</v>
      </c>
    </row>
    <row r="121" spans="1:7">
      <c r="A121" t="s">
        <v>8358</v>
      </c>
    </row>
    <row r="122" spans="1:7">
      <c r="A122" t="s">
        <v>8471</v>
      </c>
    </row>
    <row r="123" spans="1:7">
      <c r="A123" t="s">
        <v>8579</v>
      </c>
    </row>
    <row r="124" spans="1:7">
      <c r="A124" s="30" t="s">
        <v>8686</v>
      </c>
    </row>
    <row r="126" spans="1:7">
      <c r="A126" t="s">
        <v>8359</v>
      </c>
    </row>
    <row r="127" spans="1:7">
      <c r="A127" s="30" t="s">
        <v>8472</v>
      </c>
    </row>
    <row r="128" spans="1:7">
      <c r="A128" t="s">
        <v>8580</v>
      </c>
    </row>
    <row r="129" spans="1:1">
      <c r="A129" t="s">
        <v>8687</v>
      </c>
    </row>
    <row r="131" spans="1:1">
      <c r="A131" t="s">
        <v>8360</v>
      </c>
    </row>
    <row r="132" spans="1:1">
      <c r="A132" t="s">
        <v>8473</v>
      </c>
    </row>
    <row r="133" spans="1:1">
      <c r="A133" s="30" t="s">
        <v>8581</v>
      </c>
    </row>
    <row r="134" spans="1:1">
      <c r="A134" t="s">
        <v>8688</v>
      </c>
    </row>
    <row r="136" spans="1:1">
      <c r="A136" t="s">
        <v>8361</v>
      </c>
    </row>
    <row r="137" spans="1:1">
      <c r="A137" s="30" t="s">
        <v>8474</v>
      </c>
    </row>
    <row r="138" spans="1:1">
      <c r="A138" t="s">
        <v>8582</v>
      </c>
    </row>
    <row r="139" spans="1:1">
      <c r="A139" t="s">
        <v>8689</v>
      </c>
    </row>
    <row r="141" spans="1:1">
      <c r="A141" t="s">
        <v>8362</v>
      </c>
    </row>
    <row r="142" spans="1:1">
      <c r="A142" t="s">
        <v>8475</v>
      </c>
    </row>
    <row r="143" spans="1:1">
      <c r="A143" s="30" t="s">
        <v>8583</v>
      </c>
    </row>
    <row r="144" spans="1:1">
      <c r="A144" t="s">
        <v>8690</v>
      </c>
    </row>
    <row r="146" spans="1:1">
      <c r="A146" t="s">
        <v>8363</v>
      </c>
    </row>
    <row r="147" spans="1:1">
      <c r="A147" s="30" t="s">
        <v>8476</v>
      </c>
    </row>
    <row r="148" spans="1:1">
      <c r="A148" t="s">
        <v>8584</v>
      </c>
    </row>
    <row r="149" spans="1:1">
      <c r="A149" t="s">
        <v>8691</v>
      </c>
    </row>
    <row r="151" spans="1:1">
      <c r="A151" t="s">
        <v>8364</v>
      </c>
    </row>
    <row r="152" spans="1:1">
      <c r="A152" t="s">
        <v>8477</v>
      </c>
    </row>
    <row r="153" spans="1:1">
      <c r="A153" t="s">
        <v>8585</v>
      </c>
    </row>
    <row r="154" spans="1:1">
      <c r="A154" s="30" t="s">
        <v>8692</v>
      </c>
    </row>
    <row r="156" spans="1:1">
      <c r="A156" t="s">
        <v>8365</v>
      </c>
    </row>
    <row r="157" spans="1:1">
      <c r="A157" t="s">
        <v>8478</v>
      </c>
    </row>
    <row r="158" spans="1:1">
      <c r="A158" s="30" t="s">
        <v>8586</v>
      </c>
    </row>
    <row r="159" spans="1:1">
      <c r="A159" t="s">
        <v>8693</v>
      </c>
    </row>
    <row r="161" spans="1:1">
      <c r="A161" t="s">
        <v>8366</v>
      </c>
    </row>
    <row r="162" spans="1:1">
      <c r="A162" s="30" t="s">
        <v>8479</v>
      </c>
    </row>
    <row r="163" spans="1:1">
      <c r="A163" t="s">
        <v>8587</v>
      </c>
    </row>
    <row r="164" spans="1:1">
      <c r="A164" t="s">
        <v>8694</v>
      </c>
    </row>
    <row r="166" spans="1:1">
      <c r="A166" t="s">
        <v>8367</v>
      </c>
    </row>
    <row r="167" spans="1:1">
      <c r="A167" s="30" t="s">
        <v>8480</v>
      </c>
    </row>
    <row r="168" spans="1:1">
      <c r="A168" t="s">
        <v>8588</v>
      </c>
    </row>
    <row r="169" spans="1:1">
      <c r="A169" t="s">
        <v>8695</v>
      </c>
    </row>
    <row r="171" spans="1:1">
      <c r="A171" t="s">
        <v>8368</v>
      </c>
    </row>
    <row r="172" spans="1:1">
      <c r="A172">
        <v>6</v>
      </c>
    </row>
    <row r="173" spans="1:1">
      <c r="A173">
        <v>7</v>
      </c>
    </row>
    <row r="174" spans="1:1">
      <c r="A174" s="30">
        <v>8</v>
      </c>
    </row>
    <row r="176" spans="1:1">
      <c r="A176" t="s">
        <v>8369</v>
      </c>
    </row>
    <row r="177" spans="1:1">
      <c r="A177" t="s">
        <v>8481</v>
      </c>
    </row>
    <row r="178" spans="1:1">
      <c r="A178" t="s">
        <v>8589</v>
      </c>
    </row>
    <row r="179" spans="1:1">
      <c r="A179" s="30" t="s">
        <v>8696</v>
      </c>
    </row>
    <row r="181" spans="1:1">
      <c r="A181" t="s">
        <v>8370</v>
      </c>
    </row>
    <row r="182" spans="1:1">
      <c r="A182" t="s">
        <v>8482</v>
      </c>
    </row>
    <row r="183" spans="1:1">
      <c r="A183" s="30" t="s">
        <v>8590</v>
      </c>
    </row>
    <row r="184" spans="1:1">
      <c r="A184" t="s">
        <v>8697</v>
      </c>
    </row>
    <row r="186" spans="1:1">
      <c r="A186" t="s">
        <v>8371</v>
      </c>
    </row>
    <row r="187" spans="1:1">
      <c r="A187" s="30" t="s">
        <v>8483</v>
      </c>
    </row>
    <row r="188" spans="1:1">
      <c r="A188" t="s">
        <v>8591</v>
      </c>
    </row>
    <row r="189" spans="1:1">
      <c r="A189" t="s">
        <v>8698</v>
      </c>
    </row>
    <row r="191" spans="1:1">
      <c r="A191" t="s">
        <v>8372</v>
      </c>
    </row>
    <row r="192" spans="1:1">
      <c r="A192" t="s">
        <v>8484</v>
      </c>
    </row>
    <row r="193" spans="1:1">
      <c r="A193" s="32" t="s">
        <v>8592</v>
      </c>
    </row>
    <row r="194" spans="1:1">
      <c r="A194" t="s">
        <v>8699</v>
      </c>
    </row>
    <row r="196" spans="1:1">
      <c r="A196" t="s">
        <v>8373</v>
      </c>
    </row>
    <row r="197" spans="1:1">
      <c r="A197" s="30" t="s">
        <v>8485</v>
      </c>
    </row>
    <row r="198" spans="1:1">
      <c r="A198" t="s">
        <v>8593</v>
      </c>
    </row>
    <row r="199" spans="1:1">
      <c r="A199" t="s">
        <v>8700</v>
      </c>
    </row>
    <row r="201" spans="1:1">
      <c r="A201" t="s">
        <v>8374</v>
      </c>
    </row>
    <row r="202" spans="1:1">
      <c r="A202" t="s">
        <v>8486</v>
      </c>
    </row>
    <row r="203" spans="1:1">
      <c r="A203" t="s">
        <v>8594</v>
      </c>
    </row>
    <row r="204" spans="1:1">
      <c r="A204" s="30" t="s">
        <v>8701</v>
      </c>
    </row>
    <row r="206" spans="1:1">
      <c r="A206" t="s">
        <v>8375</v>
      </c>
    </row>
    <row r="207" spans="1:1">
      <c r="A207" t="s">
        <v>8487</v>
      </c>
    </row>
    <row r="208" spans="1:1">
      <c r="A208" t="s">
        <v>8595</v>
      </c>
    </row>
    <row r="209" spans="1:1">
      <c r="A209" s="30" t="s">
        <v>8702</v>
      </c>
    </row>
    <row r="211" spans="1:1">
      <c r="A211" t="s">
        <v>8376</v>
      </c>
    </row>
    <row r="212" spans="1:1">
      <c r="A212" t="s">
        <v>8488</v>
      </c>
    </row>
    <row r="213" spans="1:1">
      <c r="A213" s="30" t="s">
        <v>8596</v>
      </c>
    </row>
    <row r="214" spans="1:1">
      <c r="A214" t="s">
        <v>8703</v>
      </c>
    </row>
    <row r="216" spans="1:1">
      <c r="A216" t="s">
        <v>8377</v>
      </c>
    </row>
    <row r="217" spans="1:1">
      <c r="A217" s="30" t="s">
        <v>8489</v>
      </c>
    </row>
    <row r="218" spans="1:1">
      <c r="A218" t="s">
        <v>8597</v>
      </c>
    </row>
    <row r="219" spans="1:1">
      <c r="A219" t="s">
        <v>8704</v>
      </c>
    </row>
    <row r="221" spans="1:1">
      <c r="A221" t="s">
        <v>8378</v>
      </c>
    </row>
    <row r="222" spans="1:1">
      <c r="A222" t="s">
        <v>8490</v>
      </c>
    </row>
    <row r="223" spans="1:1">
      <c r="A223" t="s">
        <v>8598</v>
      </c>
    </row>
    <row r="224" spans="1:1">
      <c r="A224" s="30" t="s">
        <v>8705</v>
      </c>
    </row>
    <row r="226" spans="1:1">
      <c r="A226" t="s">
        <v>8379</v>
      </c>
    </row>
    <row r="227" spans="1:1">
      <c r="A227" t="s">
        <v>8491</v>
      </c>
    </row>
    <row r="228" spans="1:1">
      <c r="A228" t="s">
        <v>8599</v>
      </c>
    </row>
    <row r="229" spans="1:1">
      <c r="A229" s="30" t="s">
        <v>8706</v>
      </c>
    </row>
    <row r="231" spans="1:1">
      <c r="A231" t="s">
        <v>8380</v>
      </c>
    </row>
    <row r="232" spans="1:1">
      <c r="A232" t="s">
        <v>8492</v>
      </c>
    </row>
    <row r="233" spans="1:1">
      <c r="A233" s="30" t="s">
        <v>8600</v>
      </c>
    </row>
    <row r="234" spans="1:1">
      <c r="A234" t="s">
        <v>8707</v>
      </c>
    </row>
    <row r="236" spans="1:1">
      <c r="A236" t="s">
        <v>8381</v>
      </c>
    </row>
    <row r="237" spans="1:1">
      <c r="A237" s="30" t="s">
        <v>8493</v>
      </c>
    </row>
    <row r="238" spans="1:1">
      <c r="A238" t="s">
        <v>8601</v>
      </c>
    </row>
    <row r="239" spans="1:1">
      <c r="A239" t="s">
        <v>8708</v>
      </c>
    </row>
    <row r="241" spans="1:1">
      <c r="A241" t="s">
        <v>8382</v>
      </c>
    </row>
    <row r="242" spans="1:1">
      <c r="A242" t="s">
        <v>8494</v>
      </c>
    </row>
    <row r="243" spans="1:1">
      <c r="A243" s="30" t="s">
        <v>6185</v>
      </c>
    </row>
    <row r="244" spans="1:1">
      <c r="A244" t="s">
        <v>8709</v>
      </c>
    </row>
    <row r="246" spans="1:1">
      <c r="A246" t="s">
        <v>8383</v>
      </c>
    </row>
    <row r="247" spans="1:1">
      <c r="A247" t="s">
        <v>8495</v>
      </c>
    </row>
    <row r="248" spans="1:1">
      <c r="A248" s="30" t="s">
        <v>8602</v>
      </c>
    </row>
    <row r="249" spans="1:1">
      <c r="A249" t="s">
        <v>8710</v>
      </c>
    </row>
    <row r="251" spans="1:1">
      <c r="A251" t="s">
        <v>8384</v>
      </c>
    </row>
    <row r="252" spans="1:1">
      <c r="A252" t="s">
        <v>7265</v>
      </c>
    </row>
    <row r="253" spans="1:1">
      <c r="A253" s="30" t="s">
        <v>7277</v>
      </c>
    </row>
    <row r="254" spans="1:1">
      <c r="A254" t="s">
        <v>8711</v>
      </c>
    </row>
    <row r="256" spans="1:1">
      <c r="A256" t="s">
        <v>8385</v>
      </c>
    </row>
    <row r="257" spans="1:1">
      <c r="A257" s="30" t="s">
        <v>8496</v>
      </c>
    </row>
    <row r="258" spans="1:1">
      <c r="A258" t="s">
        <v>8603</v>
      </c>
    </row>
    <row r="259" spans="1:1">
      <c r="A259" t="s">
        <v>7001</v>
      </c>
    </row>
    <row r="261" spans="1:1">
      <c r="A261" t="s">
        <v>8386</v>
      </c>
    </row>
    <row r="262" spans="1:1">
      <c r="A262" s="30" t="s">
        <v>8497</v>
      </c>
    </row>
    <row r="263" spans="1:1">
      <c r="A263" t="s">
        <v>8604</v>
      </c>
    </row>
    <row r="264" spans="1:1">
      <c r="A264" t="s">
        <v>8712</v>
      </c>
    </row>
    <row r="266" spans="1:1">
      <c r="A266" t="s">
        <v>8387</v>
      </c>
    </row>
    <row r="267" spans="1:1">
      <c r="A267" t="s">
        <v>8498</v>
      </c>
    </row>
    <row r="268" spans="1:1">
      <c r="A268" t="s">
        <v>8605</v>
      </c>
    </row>
    <row r="269" spans="1:1">
      <c r="A269" s="30" t="s">
        <v>8713</v>
      </c>
    </row>
    <row r="271" spans="1:1">
      <c r="A271" t="s">
        <v>8388</v>
      </c>
    </row>
    <row r="272" spans="1:1">
      <c r="A272" s="30" t="s">
        <v>8499</v>
      </c>
    </row>
    <row r="273" spans="1:1">
      <c r="A273" t="s">
        <v>8606</v>
      </c>
    </row>
    <row r="274" spans="1:1">
      <c r="A274" t="s">
        <v>8714</v>
      </c>
    </row>
    <row r="276" spans="1:1">
      <c r="A276" t="s">
        <v>8389</v>
      </c>
    </row>
    <row r="277" spans="1:1">
      <c r="A277" t="s">
        <v>8500</v>
      </c>
    </row>
    <row r="278" spans="1:1">
      <c r="A278" s="30" t="s">
        <v>8607</v>
      </c>
    </row>
    <row r="279" spans="1:1">
      <c r="A279" t="s">
        <v>8715</v>
      </c>
    </row>
    <row r="281" spans="1:1">
      <c r="A281" t="s">
        <v>8390</v>
      </c>
    </row>
    <row r="282" spans="1:1">
      <c r="A282" t="s">
        <v>8501</v>
      </c>
    </row>
    <row r="283" spans="1:1">
      <c r="A283" t="s">
        <v>8608</v>
      </c>
    </row>
    <row r="284" spans="1:1">
      <c r="A284" s="30" t="s">
        <v>8716</v>
      </c>
    </row>
    <row r="286" spans="1:1">
      <c r="A286" t="s">
        <v>8391</v>
      </c>
    </row>
    <row r="287" spans="1:1">
      <c r="A287" t="s">
        <v>8502</v>
      </c>
    </row>
    <row r="288" spans="1:1">
      <c r="A288" s="30" t="s">
        <v>8609</v>
      </c>
    </row>
    <row r="289" spans="1:1">
      <c r="A289" t="s">
        <v>8717</v>
      </c>
    </row>
    <row r="291" spans="1:1">
      <c r="A291" t="s">
        <v>8392</v>
      </c>
    </row>
    <row r="292" spans="1:1">
      <c r="A292" t="s">
        <v>8503</v>
      </c>
    </row>
    <row r="293" spans="1:1">
      <c r="A293" s="30" t="s">
        <v>8610</v>
      </c>
    </row>
    <row r="294" spans="1:1">
      <c r="A294" t="s">
        <v>8718</v>
      </c>
    </row>
    <row r="296" spans="1:1">
      <c r="A296" t="s">
        <v>8393</v>
      </c>
    </row>
    <row r="297" spans="1:1">
      <c r="A297" t="s">
        <v>8504</v>
      </c>
    </row>
    <row r="298" spans="1:1">
      <c r="A298" s="30" t="s">
        <v>8611</v>
      </c>
    </row>
    <row r="299" spans="1:1">
      <c r="A299" t="s">
        <v>8719</v>
      </c>
    </row>
    <row r="301" spans="1:1">
      <c r="A301" t="s">
        <v>8394</v>
      </c>
    </row>
    <row r="302" spans="1:1">
      <c r="A302" t="s">
        <v>8505</v>
      </c>
    </row>
    <row r="303" spans="1:1">
      <c r="A303" t="s">
        <v>8612</v>
      </c>
    </row>
    <row r="304" spans="1:1">
      <c r="A304" s="30" t="s">
        <v>8720</v>
      </c>
    </row>
    <row r="306" spans="1:1">
      <c r="A306" t="s">
        <v>8395</v>
      </c>
    </row>
    <row r="307" spans="1:1">
      <c r="A307" t="s">
        <v>8506</v>
      </c>
    </row>
    <row r="308" spans="1:1">
      <c r="A308" s="30" t="s">
        <v>8613</v>
      </c>
    </row>
    <row r="309" spans="1:1">
      <c r="A309" t="s">
        <v>8721</v>
      </c>
    </row>
    <row r="311" spans="1:1">
      <c r="A311" t="s">
        <v>8396</v>
      </c>
    </row>
    <row r="312" spans="1:1">
      <c r="A312" s="30" t="s">
        <v>8507</v>
      </c>
    </row>
    <row r="313" spans="1:1">
      <c r="A313" t="s">
        <v>8614</v>
      </c>
    </row>
    <row r="314" spans="1:1">
      <c r="A314" t="s">
        <v>8722</v>
      </c>
    </row>
    <row r="316" spans="1:1">
      <c r="A316" t="s">
        <v>8397</v>
      </c>
    </row>
    <row r="317" spans="1:1">
      <c r="A317" t="s">
        <v>8508</v>
      </c>
    </row>
    <row r="318" spans="1:1">
      <c r="A318" s="30" t="s">
        <v>8615</v>
      </c>
    </row>
    <row r="319" spans="1:1">
      <c r="A319" t="s">
        <v>8723</v>
      </c>
    </row>
    <row r="321" spans="1:1">
      <c r="A321" t="s">
        <v>8398</v>
      </c>
    </row>
    <row r="322" spans="1:1">
      <c r="A322" s="30" t="s">
        <v>8509</v>
      </c>
    </row>
    <row r="323" spans="1:1">
      <c r="A323" t="s">
        <v>8616</v>
      </c>
    </row>
    <row r="324" spans="1:1">
      <c r="A324" t="s">
        <v>8724</v>
      </c>
    </row>
    <row r="326" spans="1:1">
      <c r="A326" t="s">
        <v>8399</v>
      </c>
    </row>
    <row r="327" spans="1:1">
      <c r="A327" s="30" t="s">
        <v>8510</v>
      </c>
    </row>
    <row r="328" spans="1:1">
      <c r="A328" t="s">
        <v>8617</v>
      </c>
    </row>
    <row r="329" spans="1:1">
      <c r="A329" t="s">
        <v>8725</v>
      </c>
    </row>
    <row r="331" spans="1:1">
      <c r="A331" t="s">
        <v>8400</v>
      </c>
    </row>
    <row r="332" spans="1:1">
      <c r="A332" t="s">
        <v>8511</v>
      </c>
    </row>
    <row r="333" spans="1:1">
      <c r="A333" s="30" t="s">
        <v>8618</v>
      </c>
    </row>
    <row r="334" spans="1:1">
      <c r="A334" t="s">
        <v>8726</v>
      </c>
    </row>
    <row r="336" spans="1:1">
      <c r="A336" t="s">
        <v>8401</v>
      </c>
    </row>
    <row r="337" spans="1:1">
      <c r="A337" t="s">
        <v>8512</v>
      </c>
    </row>
    <row r="338" spans="1:1">
      <c r="A338" s="30" t="s">
        <v>8619</v>
      </c>
    </row>
    <row r="339" spans="1:1">
      <c r="A339" t="s">
        <v>8727</v>
      </c>
    </row>
    <row r="341" spans="1:1">
      <c r="A341" t="s">
        <v>8402</v>
      </c>
    </row>
    <row r="342" spans="1:1">
      <c r="A342" t="s">
        <v>8513</v>
      </c>
    </row>
    <row r="343" spans="1:1">
      <c r="A343" t="s">
        <v>8620</v>
      </c>
    </row>
    <row r="344" spans="1:1">
      <c r="A344" s="30" t="s">
        <v>8728</v>
      </c>
    </row>
    <row r="346" spans="1:1">
      <c r="A346" t="s">
        <v>8403</v>
      </c>
    </row>
    <row r="347" spans="1:1">
      <c r="A347" t="s">
        <v>8514</v>
      </c>
    </row>
    <row r="348" spans="1:1">
      <c r="A348" s="30" t="s">
        <v>8621</v>
      </c>
    </row>
    <row r="349" spans="1:1">
      <c r="A349" t="s">
        <v>8729</v>
      </c>
    </row>
    <row r="351" spans="1:1">
      <c r="A351" t="s">
        <v>8404</v>
      </c>
    </row>
    <row r="352" spans="1:1">
      <c r="A352" t="s">
        <v>8515</v>
      </c>
    </row>
    <row r="353" spans="1:1">
      <c r="A353" s="30" t="s">
        <v>6756</v>
      </c>
    </row>
    <row r="354" spans="1:1">
      <c r="A354" t="s">
        <v>6803</v>
      </c>
    </row>
    <row r="356" spans="1:1">
      <c r="A356" t="s">
        <v>8405</v>
      </c>
    </row>
    <row r="357" spans="1:1">
      <c r="A357" t="s">
        <v>8516</v>
      </c>
    </row>
    <row r="358" spans="1:1">
      <c r="A358" s="32" t="s">
        <v>8622</v>
      </c>
    </row>
    <row r="359" spans="1:1">
      <c r="A359" t="s">
        <v>8730</v>
      </c>
    </row>
    <row r="361" spans="1:1">
      <c r="A361" t="s">
        <v>8406</v>
      </c>
    </row>
    <row r="362" spans="1:1">
      <c r="A362" t="s">
        <v>8517</v>
      </c>
    </row>
    <row r="363" spans="1:1">
      <c r="A363" t="s">
        <v>8623</v>
      </c>
    </row>
    <row r="364" spans="1:1">
      <c r="A364" s="30" t="s">
        <v>8731</v>
      </c>
    </row>
    <row r="366" spans="1:1">
      <c r="A366" t="s">
        <v>8407</v>
      </c>
    </row>
    <row r="367" spans="1:1">
      <c r="A367" t="s">
        <v>8518</v>
      </c>
    </row>
    <row r="368" spans="1:1">
      <c r="A368" s="30" t="s">
        <v>8624</v>
      </c>
    </row>
    <row r="369" spans="1:1">
      <c r="A369" t="s">
        <v>8732</v>
      </c>
    </row>
    <row r="371" spans="1:1">
      <c r="A371" t="s">
        <v>8408</v>
      </c>
    </row>
    <row r="372" spans="1:1">
      <c r="A372" s="30" t="s">
        <v>8519</v>
      </c>
    </row>
    <row r="373" spans="1:1">
      <c r="A373" t="s">
        <v>8625</v>
      </c>
    </row>
    <row r="374" spans="1:1">
      <c r="A374" t="s">
        <v>8733</v>
      </c>
    </row>
    <row r="376" spans="1:1">
      <c r="A376" t="s">
        <v>8409</v>
      </c>
    </row>
    <row r="377" spans="1:1">
      <c r="A377" s="30" t="s">
        <v>8520</v>
      </c>
    </row>
    <row r="378" spans="1:1">
      <c r="A378" t="s">
        <v>8626</v>
      </c>
    </row>
    <row r="379" spans="1:1">
      <c r="A379" t="s">
        <v>8734</v>
      </c>
    </row>
    <row r="381" spans="1:1">
      <c r="A381" t="s">
        <v>8410</v>
      </c>
    </row>
    <row r="382" spans="1:1">
      <c r="A382" t="s">
        <v>8521</v>
      </c>
    </row>
    <row r="383" spans="1:1">
      <c r="A383" s="30" t="s">
        <v>8627</v>
      </c>
    </row>
    <row r="384" spans="1:1">
      <c r="A384" t="s">
        <v>8735</v>
      </c>
    </row>
    <row r="386" spans="1:1">
      <c r="A386" t="s">
        <v>8411</v>
      </c>
    </row>
    <row r="387" spans="1:1">
      <c r="A387" s="30" t="s">
        <v>8522</v>
      </c>
    </row>
    <row r="388" spans="1:1">
      <c r="A388" t="s">
        <v>8628</v>
      </c>
    </row>
    <row r="389" spans="1:1">
      <c r="A389" t="s">
        <v>8736</v>
      </c>
    </row>
    <row r="391" spans="1:1">
      <c r="A391" t="s">
        <v>8412</v>
      </c>
    </row>
    <row r="392" spans="1:1">
      <c r="A392" s="30" t="s">
        <v>8523</v>
      </c>
    </row>
    <row r="393" spans="1:1">
      <c r="A393" t="s">
        <v>8629</v>
      </c>
    </row>
    <row r="394" spans="1:1">
      <c r="A394" t="s">
        <v>8737</v>
      </c>
    </row>
    <row r="396" spans="1:1">
      <c r="A396" t="s">
        <v>8413</v>
      </c>
    </row>
    <row r="397" spans="1:1">
      <c r="A397" s="30" t="s">
        <v>8524</v>
      </c>
    </row>
    <row r="398" spans="1:1">
      <c r="A398" t="s">
        <v>8630</v>
      </c>
    </row>
    <row r="399" spans="1:1">
      <c r="A399" t="s">
        <v>8738</v>
      </c>
    </row>
    <row r="401" spans="1:1">
      <c r="A401" t="s">
        <v>8414</v>
      </c>
    </row>
    <row r="402" spans="1:1">
      <c r="A402" s="30" t="s">
        <v>8525</v>
      </c>
    </row>
    <row r="403" spans="1:1">
      <c r="A403" t="s">
        <v>8631</v>
      </c>
    </row>
    <row r="404" spans="1:1">
      <c r="A404" t="s">
        <v>8739</v>
      </c>
    </row>
    <row r="406" spans="1:1">
      <c r="A406" t="s">
        <v>8415</v>
      </c>
    </row>
    <row r="407" spans="1:1">
      <c r="A407" t="s">
        <v>8526</v>
      </c>
    </row>
    <row r="408" spans="1:1">
      <c r="A408" t="s">
        <v>8632</v>
      </c>
    </row>
    <row r="409" spans="1:1">
      <c r="A409" s="30" t="s">
        <v>8740</v>
      </c>
    </row>
    <row r="411" spans="1:1">
      <c r="A411" t="s">
        <v>8416</v>
      </c>
    </row>
    <row r="412" spans="1:1">
      <c r="A412" t="s">
        <v>8527</v>
      </c>
    </row>
    <row r="413" spans="1:1">
      <c r="A413" t="s">
        <v>8633</v>
      </c>
    </row>
    <row r="414" spans="1:1">
      <c r="A414" s="30" t="s">
        <v>8741</v>
      </c>
    </row>
    <row r="416" spans="1:1">
      <c r="A416" t="s">
        <v>8417</v>
      </c>
    </row>
    <row r="417" spans="1:1">
      <c r="A417" t="s">
        <v>8528</v>
      </c>
    </row>
    <row r="418" spans="1:1">
      <c r="A418" t="s">
        <v>8634</v>
      </c>
    </row>
    <row r="419" spans="1:1">
      <c r="A419" s="30" t="s">
        <v>8742</v>
      </c>
    </row>
    <row r="421" spans="1:1">
      <c r="A421" t="s">
        <v>8418</v>
      </c>
    </row>
    <row r="422" spans="1:1">
      <c r="A422" t="s">
        <v>8529</v>
      </c>
    </row>
    <row r="423" spans="1:1">
      <c r="A423" s="30" t="s">
        <v>8635</v>
      </c>
    </row>
    <row r="424" spans="1:1">
      <c r="A424" t="s">
        <v>8743</v>
      </c>
    </row>
    <row r="426" spans="1:1">
      <c r="A426" t="s">
        <v>8419</v>
      </c>
    </row>
    <row r="427" spans="1:1">
      <c r="A427" t="s">
        <v>7021</v>
      </c>
    </row>
    <row r="428" spans="1:1">
      <c r="A428" s="30" t="s">
        <v>8636</v>
      </c>
    </row>
    <row r="429" spans="1:1">
      <c r="A429" t="s">
        <v>6772</v>
      </c>
    </row>
    <row r="431" spans="1:1">
      <c r="A431" t="s">
        <v>8420</v>
      </c>
    </row>
    <row r="432" spans="1:1">
      <c r="A432" t="s">
        <v>8530</v>
      </c>
    </row>
    <row r="433" spans="1:1">
      <c r="A433" s="30" t="s">
        <v>8637</v>
      </c>
    </row>
    <row r="434" spans="1:1">
      <c r="A434" t="s">
        <v>8744</v>
      </c>
    </row>
    <row r="436" spans="1:1">
      <c r="A436" t="s">
        <v>8421</v>
      </c>
    </row>
    <row r="437" spans="1:1">
      <c r="A437" t="s">
        <v>6750</v>
      </c>
    </row>
    <row r="438" spans="1:1">
      <c r="A438" s="30" t="s">
        <v>8638</v>
      </c>
    </row>
    <row r="439" spans="1:1">
      <c r="A439" t="s">
        <v>8745</v>
      </c>
    </row>
    <row r="441" spans="1:1">
      <c r="A441" t="s">
        <v>8422</v>
      </c>
    </row>
    <row r="442" spans="1:1">
      <c r="A442" t="s">
        <v>8531</v>
      </c>
    </row>
    <row r="443" spans="1:1">
      <c r="A443" t="s">
        <v>8639</v>
      </c>
    </row>
    <row r="444" spans="1:1">
      <c r="A444" s="30" t="s">
        <v>8746</v>
      </c>
    </row>
    <row r="446" spans="1:1">
      <c r="A446" t="s">
        <v>8423</v>
      </c>
    </row>
    <row r="447" spans="1:1">
      <c r="A447" t="s">
        <v>8532</v>
      </c>
    </row>
    <row r="448" spans="1:1">
      <c r="A448" t="s">
        <v>8640</v>
      </c>
    </row>
    <row r="449" spans="1:1">
      <c r="A449" s="30" t="s">
        <v>8747</v>
      </c>
    </row>
    <row r="451" spans="1:1">
      <c r="A451" t="s">
        <v>8424</v>
      </c>
    </row>
    <row r="452" spans="1:1">
      <c r="A452" s="30" t="s">
        <v>8533</v>
      </c>
    </row>
    <row r="453" spans="1:1">
      <c r="A453" t="s">
        <v>8641</v>
      </c>
    </row>
    <row r="454" spans="1:1">
      <c r="A454" t="s">
        <v>8748</v>
      </c>
    </row>
    <row r="456" spans="1:1">
      <c r="A456" t="s">
        <v>8425</v>
      </c>
    </row>
    <row r="457" spans="1:1">
      <c r="A457" t="s">
        <v>8534</v>
      </c>
    </row>
    <row r="458" spans="1:1">
      <c r="A458" t="s">
        <v>8642</v>
      </c>
    </row>
    <row r="459" spans="1:1">
      <c r="A459" s="30" t="s">
        <v>8749</v>
      </c>
    </row>
    <row r="461" spans="1:1">
      <c r="A461" t="s">
        <v>8426</v>
      </c>
    </row>
    <row r="462" spans="1:1">
      <c r="A462" s="30" t="s">
        <v>8535</v>
      </c>
    </row>
    <row r="463" spans="1:1">
      <c r="A463" t="s">
        <v>8643</v>
      </c>
    </row>
    <row r="464" spans="1:1">
      <c r="A464" t="s">
        <v>8750</v>
      </c>
    </row>
    <row r="466" spans="1:1">
      <c r="A466" t="s">
        <v>8427</v>
      </c>
    </row>
    <row r="467" spans="1:1">
      <c r="A467">
        <v>36</v>
      </c>
    </row>
    <row r="468" spans="1:1">
      <c r="A468">
        <v>40</v>
      </c>
    </row>
    <row r="469" spans="1:1">
      <c r="A469" s="30" t="s">
        <v>8751</v>
      </c>
    </row>
    <row r="471" spans="1:1">
      <c r="A471" t="s">
        <v>8428</v>
      </c>
    </row>
    <row r="472" spans="1:1">
      <c r="A472" t="s">
        <v>8536</v>
      </c>
    </row>
    <row r="473" spans="1:1">
      <c r="A473" s="30" t="s">
        <v>8644</v>
      </c>
    </row>
    <row r="474" spans="1:1">
      <c r="A474" t="s">
        <v>8752</v>
      </c>
    </row>
    <row r="476" spans="1:1">
      <c r="A476" t="s">
        <v>8429</v>
      </c>
    </row>
    <row r="477" spans="1:1">
      <c r="A477" t="s">
        <v>8537</v>
      </c>
    </row>
    <row r="478" spans="1:1">
      <c r="A478" s="30" t="s">
        <v>8645</v>
      </c>
    </row>
    <row r="479" spans="1:1">
      <c r="A479" t="s">
        <v>8753</v>
      </c>
    </row>
    <row r="481" spans="1:1">
      <c r="A481" t="s">
        <v>8430</v>
      </c>
    </row>
    <row r="482" spans="1:1">
      <c r="A482" t="s">
        <v>8538</v>
      </c>
    </row>
    <row r="483" spans="1:1">
      <c r="A483" t="s">
        <v>8646</v>
      </c>
    </row>
    <row r="484" spans="1:1">
      <c r="A484" s="30" t="s">
        <v>8754</v>
      </c>
    </row>
    <row r="486" spans="1:1">
      <c r="A486" t="s">
        <v>8431</v>
      </c>
    </row>
    <row r="487" spans="1:1">
      <c r="A487" s="30" t="s">
        <v>8539</v>
      </c>
    </row>
    <row r="488" spans="1:1">
      <c r="A488" t="s">
        <v>8647</v>
      </c>
    </row>
    <row r="489" spans="1:1">
      <c r="A489" t="s">
        <v>8755</v>
      </c>
    </row>
    <row r="491" spans="1:1">
      <c r="A491" t="s">
        <v>8432</v>
      </c>
    </row>
    <row r="492" spans="1:1">
      <c r="A492" t="s">
        <v>8540</v>
      </c>
    </row>
    <row r="493" spans="1:1">
      <c r="A493" t="s">
        <v>8648</v>
      </c>
    </row>
    <row r="494" spans="1:1">
      <c r="A494" s="30" t="s">
        <v>8756</v>
      </c>
    </row>
    <row r="496" spans="1:1">
      <c r="A496" t="s">
        <v>8433</v>
      </c>
    </row>
    <row r="497" spans="1:1">
      <c r="A497" s="30" t="s">
        <v>8541</v>
      </c>
    </row>
    <row r="498" spans="1:1">
      <c r="A498" t="s">
        <v>8649</v>
      </c>
    </row>
    <row r="499" spans="1:1">
      <c r="A499" t="s">
        <v>8757</v>
      </c>
    </row>
    <row r="501" spans="1:1">
      <c r="A501" t="s">
        <v>8434</v>
      </c>
    </row>
    <row r="502" spans="1:1">
      <c r="A502" t="s">
        <v>8542</v>
      </c>
    </row>
    <row r="503" spans="1:1">
      <c r="A503" t="s">
        <v>8650</v>
      </c>
    </row>
    <row r="504" spans="1:1">
      <c r="A504" s="30" t="s">
        <v>8758</v>
      </c>
    </row>
    <row r="506" spans="1:1">
      <c r="A506" t="s">
        <v>8435</v>
      </c>
    </row>
    <row r="507" spans="1:1">
      <c r="A507" s="30" t="s">
        <v>8543</v>
      </c>
    </row>
    <row r="508" spans="1:1">
      <c r="A508" t="s">
        <v>8651</v>
      </c>
    </row>
    <row r="509" spans="1:1">
      <c r="A509" t="s">
        <v>8759</v>
      </c>
    </row>
    <row r="511" spans="1:1">
      <c r="A511" t="s">
        <v>8436</v>
      </c>
    </row>
    <row r="512" spans="1:1">
      <c r="A512" s="30" t="s">
        <v>8544</v>
      </c>
    </row>
    <row r="513" spans="1:1">
      <c r="A513" t="s">
        <v>8652</v>
      </c>
    </row>
    <row r="514" spans="1:1">
      <c r="A514" t="s">
        <v>8760</v>
      </c>
    </row>
    <row r="516" spans="1:1">
      <c r="A516" t="s">
        <v>8437</v>
      </c>
    </row>
    <row r="517" spans="1:1">
      <c r="A517" s="30" t="s">
        <v>8545</v>
      </c>
    </row>
    <row r="518" spans="1:1">
      <c r="A518" t="s">
        <v>8653</v>
      </c>
    </row>
    <row r="519" spans="1:1">
      <c r="A519" t="s">
        <v>8761</v>
      </c>
    </row>
    <row r="521" spans="1:1">
      <c r="A521" t="s">
        <v>8438</v>
      </c>
    </row>
    <row r="522" spans="1:1">
      <c r="A522" t="s">
        <v>8546</v>
      </c>
    </row>
    <row r="523" spans="1:1">
      <c r="A523" s="30" t="s">
        <v>8654</v>
      </c>
    </row>
    <row r="524" spans="1:1">
      <c r="A524" t="s">
        <v>8762</v>
      </c>
    </row>
    <row r="526" spans="1:1">
      <c r="A526" t="s">
        <v>8439</v>
      </c>
    </row>
    <row r="527" spans="1:1">
      <c r="A527" s="30" t="s">
        <v>8547</v>
      </c>
    </row>
    <row r="528" spans="1:1">
      <c r="A528" t="s">
        <v>8655</v>
      </c>
    </row>
    <row r="529" spans="1:1">
      <c r="A529" t="s">
        <v>8763</v>
      </c>
    </row>
    <row r="531" spans="1:1">
      <c r="A531" t="s">
        <v>8440</v>
      </c>
    </row>
    <row r="532" spans="1:1">
      <c r="A532" s="30" t="s">
        <v>8548</v>
      </c>
    </row>
    <row r="533" spans="1:1">
      <c r="A533" t="s">
        <v>8656</v>
      </c>
    </row>
    <row r="534" spans="1:1">
      <c r="A534" t="s">
        <v>8764</v>
      </c>
    </row>
    <row r="536" spans="1:1">
      <c r="A536" t="s">
        <v>8440</v>
      </c>
    </row>
    <row r="537" spans="1:1">
      <c r="A537" t="s">
        <v>8549</v>
      </c>
    </row>
    <row r="538" spans="1:1">
      <c r="A538" s="30" t="s">
        <v>8657</v>
      </c>
    </row>
    <row r="539" spans="1:1">
      <c r="A539" t="s">
        <v>8765</v>
      </c>
    </row>
    <row r="541" spans="1:1">
      <c r="A541" t="s">
        <v>8441</v>
      </c>
    </row>
    <row r="542" spans="1:1">
      <c r="A542" t="s">
        <v>8550</v>
      </c>
    </row>
    <row r="543" spans="1:1">
      <c r="A543" t="s">
        <v>8658</v>
      </c>
    </row>
    <row r="544" spans="1:1">
      <c r="A544" s="30" t="s">
        <v>8659</v>
      </c>
    </row>
    <row r="546" spans="1:1">
      <c r="A546" t="s">
        <v>8442</v>
      </c>
    </row>
    <row r="547" spans="1:1">
      <c r="A547" t="s">
        <v>8550</v>
      </c>
    </row>
    <row r="548" spans="1:1">
      <c r="A548" t="s">
        <v>8659</v>
      </c>
    </row>
    <row r="549" spans="1:1">
      <c r="A549" s="30" t="s">
        <v>8766</v>
      </c>
    </row>
    <row r="551" spans="1:1">
      <c r="A551" t="s">
        <v>8443</v>
      </c>
    </row>
    <row r="552" spans="1:1">
      <c r="A552" t="s">
        <v>8551</v>
      </c>
    </row>
    <row r="553" spans="1:1">
      <c r="A553" t="s">
        <v>8660</v>
      </c>
    </row>
    <row r="554" spans="1:1">
      <c r="A554" s="30" t="s">
        <v>8767</v>
      </c>
    </row>
    <row r="556" spans="1:1">
      <c r="A556" t="s">
        <v>8444</v>
      </c>
    </row>
    <row r="557" spans="1:1">
      <c r="A557" t="s">
        <v>8552</v>
      </c>
    </row>
    <row r="558" spans="1:1">
      <c r="A558" s="30" t="s">
        <v>8661</v>
      </c>
    </row>
    <row r="559" spans="1:1">
      <c r="A559" t="s">
        <v>8768</v>
      </c>
    </row>
    <row r="561" spans="1:1">
      <c r="A561" t="s">
        <v>8445</v>
      </c>
    </row>
    <row r="562" spans="1:1">
      <c r="A562" s="30" t="s">
        <v>8553</v>
      </c>
    </row>
    <row r="563" spans="1:1">
      <c r="A563" s="31" t="s">
        <v>8662</v>
      </c>
    </row>
    <row r="564" spans="1:1">
      <c r="A564" t="s">
        <v>8769</v>
      </c>
    </row>
    <row r="566" spans="1:1">
      <c r="A566" t="s">
        <v>8446</v>
      </c>
    </row>
    <row r="567" spans="1:1">
      <c r="A567" t="s">
        <v>8554</v>
      </c>
    </row>
    <row r="568" spans="1:1">
      <c r="A568" t="s">
        <v>8663</v>
      </c>
    </row>
    <row r="569" spans="1:1">
      <c r="A569" s="30" t="s">
        <v>8770</v>
      </c>
    </row>
    <row r="571" spans="1:1">
      <c r="A571" t="s">
        <v>8447</v>
      </c>
    </row>
    <row r="572" spans="1:1">
      <c r="A572" t="s">
        <v>8555</v>
      </c>
    </row>
    <row r="573" spans="1:1">
      <c r="A573" s="30" t="s">
        <v>8664</v>
      </c>
    </row>
    <row r="574" spans="1:1">
      <c r="A574" t="s">
        <v>8528</v>
      </c>
    </row>
    <row r="576" spans="1:1">
      <c r="A576" t="s">
        <v>8448</v>
      </c>
    </row>
    <row r="577" spans="1:1">
      <c r="A577" s="30">
        <v>6</v>
      </c>
    </row>
    <row r="578" spans="1:1">
      <c r="A578">
        <v>9</v>
      </c>
    </row>
    <row r="579" spans="1:1">
      <c r="A579">
        <v>12</v>
      </c>
    </row>
    <row r="581" spans="1:1">
      <c r="A581" t="s">
        <v>8449</v>
      </c>
    </row>
    <row r="582" spans="1:1">
      <c r="A582" t="s">
        <v>8556</v>
      </c>
    </row>
    <row r="583" spans="1:1">
      <c r="A583" t="s">
        <v>6339</v>
      </c>
    </row>
    <row r="584" spans="1:1">
      <c r="A584" s="30" t="s">
        <v>8771</v>
      </c>
    </row>
    <row r="586" spans="1:1">
      <c r="A586" t="s">
        <v>8450</v>
      </c>
    </row>
    <row r="587" spans="1:1">
      <c r="A587" t="s">
        <v>8557</v>
      </c>
    </row>
    <row r="588" spans="1:1">
      <c r="A588" s="30" t="s">
        <v>8665</v>
      </c>
    </row>
    <row r="589" spans="1:1">
      <c r="A589" t="s">
        <v>8772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99"/>
  <sheetViews>
    <sheetView workbookViewId="0">
      <selection activeCell="G60" sqref="C1:G60"/>
    </sheetView>
  </sheetViews>
  <sheetFormatPr defaultRowHeight="16.5"/>
  <cols>
    <col min="1" max="1" width="109" customWidth="1"/>
  </cols>
  <sheetData>
    <row r="1" spans="1:7">
      <c r="A1" t="s">
        <v>8792</v>
      </c>
      <c r="B1" s="30" t="s">
        <v>8907</v>
      </c>
      <c r="C1" t="s">
        <v>9015</v>
      </c>
      <c r="D1" t="s">
        <v>9016</v>
      </c>
      <c r="E1" t="s">
        <v>9017</v>
      </c>
      <c r="F1" t="s">
        <v>9018</v>
      </c>
      <c r="G1">
        <v>2</v>
      </c>
    </row>
    <row r="2" spans="1:7">
      <c r="A2" t="s">
        <v>8852</v>
      </c>
      <c r="C2" t="s">
        <v>9019</v>
      </c>
      <c r="D2" t="s">
        <v>9020</v>
      </c>
      <c r="E2" t="s">
        <v>9021</v>
      </c>
      <c r="F2" t="s">
        <v>9022</v>
      </c>
      <c r="G2">
        <v>1</v>
      </c>
    </row>
    <row r="3" spans="1:7">
      <c r="A3" t="s">
        <v>8906</v>
      </c>
      <c r="C3" t="s">
        <v>9023</v>
      </c>
      <c r="D3" t="s">
        <v>9024</v>
      </c>
      <c r="E3" t="s">
        <v>9025</v>
      </c>
      <c r="F3" t="s">
        <v>9026</v>
      </c>
      <c r="G3">
        <v>2</v>
      </c>
    </row>
    <row r="4" spans="1:7">
      <c r="A4" s="30" t="s">
        <v>8962</v>
      </c>
      <c r="C4" t="s">
        <v>9027</v>
      </c>
      <c r="D4" t="s">
        <v>9028</v>
      </c>
      <c r="E4" t="s">
        <v>9029</v>
      </c>
      <c r="F4" t="s">
        <v>9030</v>
      </c>
      <c r="G4">
        <v>1</v>
      </c>
    </row>
    <row r="5" spans="1:7">
      <c r="C5" t="s">
        <v>9031</v>
      </c>
      <c r="D5" t="s">
        <v>9032</v>
      </c>
      <c r="E5" t="s">
        <v>9033</v>
      </c>
      <c r="F5" t="s">
        <v>9034</v>
      </c>
      <c r="G5">
        <v>2</v>
      </c>
    </row>
    <row r="6" spans="1:7">
      <c r="A6" t="s">
        <v>8793</v>
      </c>
      <c r="C6" t="s">
        <v>9035</v>
      </c>
      <c r="D6" t="s">
        <v>9036</v>
      </c>
      <c r="E6" t="s">
        <v>9037</v>
      </c>
      <c r="F6" t="s">
        <v>9038</v>
      </c>
      <c r="G6">
        <v>0</v>
      </c>
    </row>
    <row r="7" spans="1:7">
      <c r="A7" t="s">
        <v>8853</v>
      </c>
      <c r="C7" t="s">
        <v>9039</v>
      </c>
      <c r="D7" t="s">
        <v>9040</v>
      </c>
      <c r="E7" t="s">
        <v>9041</v>
      </c>
      <c r="F7" t="s">
        <v>9042</v>
      </c>
      <c r="G7">
        <v>1</v>
      </c>
    </row>
    <row r="8" spans="1:7">
      <c r="A8" s="30" t="s">
        <v>8907</v>
      </c>
      <c r="C8" t="s">
        <v>9043</v>
      </c>
      <c r="D8" t="s">
        <v>9044</v>
      </c>
      <c r="E8" t="s">
        <v>9045</v>
      </c>
      <c r="F8" t="s">
        <v>9046</v>
      </c>
      <c r="G8">
        <v>1</v>
      </c>
    </row>
    <row r="9" spans="1:7">
      <c r="A9" t="s">
        <v>8963</v>
      </c>
      <c r="C9" t="s">
        <v>9047</v>
      </c>
      <c r="D9" t="s">
        <v>9048</v>
      </c>
      <c r="E9" t="s">
        <v>9049</v>
      </c>
      <c r="F9" t="s">
        <v>9050</v>
      </c>
      <c r="G9">
        <v>2</v>
      </c>
    </row>
    <row r="10" spans="1:7">
      <c r="C10" t="s">
        <v>9051</v>
      </c>
      <c r="D10" t="s">
        <v>9052</v>
      </c>
      <c r="E10" t="s">
        <v>9053</v>
      </c>
      <c r="F10" t="s">
        <v>9054</v>
      </c>
      <c r="G10">
        <v>0</v>
      </c>
    </row>
    <row r="11" spans="1:7">
      <c r="A11" t="s">
        <v>8794</v>
      </c>
      <c r="C11" t="s">
        <v>9055</v>
      </c>
      <c r="D11" t="s">
        <v>9056</v>
      </c>
      <c r="E11" t="s">
        <v>9057</v>
      </c>
      <c r="F11" t="s">
        <v>9058</v>
      </c>
      <c r="G11">
        <v>1</v>
      </c>
    </row>
    <row r="12" spans="1:7">
      <c r="A12" t="s">
        <v>8854</v>
      </c>
      <c r="C12" t="s">
        <v>9059</v>
      </c>
      <c r="D12" t="s">
        <v>9060</v>
      </c>
      <c r="E12" t="s">
        <v>9061</v>
      </c>
      <c r="F12" t="s">
        <v>9062</v>
      </c>
      <c r="G12">
        <v>2</v>
      </c>
    </row>
    <row r="13" spans="1:7">
      <c r="A13" t="s">
        <v>8908</v>
      </c>
      <c r="C13" t="s">
        <v>9063</v>
      </c>
      <c r="D13" t="s">
        <v>9064</v>
      </c>
      <c r="E13" t="s">
        <v>9065</v>
      </c>
      <c r="F13" t="s">
        <v>9066</v>
      </c>
      <c r="G13">
        <v>0</v>
      </c>
    </row>
    <row r="14" spans="1:7">
      <c r="A14" s="30" t="s">
        <v>8964</v>
      </c>
      <c r="C14" t="s">
        <v>9067</v>
      </c>
      <c r="D14" t="s">
        <v>9068</v>
      </c>
      <c r="E14" t="s">
        <v>9069</v>
      </c>
      <c r="F14" t="s">
        <v>9070</v>
      </c>
      <c r="G14">
        <v>2</v>
      </c>
    </row>
    <row r="15" spans="1:7">
      <c r="C15" t="s">
        <v>9071</v>
      </c>
      <c r="D15" t="s">
        <v>9072</v>
      </c>
      <c r="E15" t="s">
        <v>9073</v>
      </c>
      <c r="F15" t="s">
        <v>9074</v>
      </c>
      <c r="G15">
        <v>0</v>
      </c>
    </row>
    <row r="16" spans="1:7">
      <c r="A16" t="s">
        <v>8795</v>
      </c>
      <c r="C16" t="s">
        <v>9075</v>
      </c>
      <c r="D16" t="s">
        <v>7063</v>
      </c>
      <c r="E16" t="s">
        <v>9076</v>
      </c>
      <c r="F16" t="s">
        <v>9077</v>
      </c>
      <c r="G16">
        <v>1</v>
      </c>
    </row>
    <row r="17" spans="1:7">
      <c r="A17" t="s">
        <v>8855</v>
      </c>
      <c r="C17" t="s">
        <v>9078</v>
      </c>
      <c r="D17" t="s">
        <v>9079</v>
      </c>
      <c r="E17" t="s">
        <v>9080</v>
      </c>
      <c r="F17" t="s">
        <v>9081</v>
      </c>
      <c r="G17">
        <v>0</v>
      </c>
    </row>
    <row r="18" spans="1:7">
      <c r="A18" s="30" t="s">
        <v>8909</v>
      </c>
      <c r="C18" t="s">
        <v>9082</v>
      </c>
      <c r="D18" t="s">
        <v>9083</v>
      </c>
      <c r="E18" t="s">
        <v>9084</v>
      </c>
      <c r="F18" t="s">
        <v>9085</v>
      </c>
      <c r="G18">
        <v>1</v>
      </c>
    </row>
    <row r="19" spans="1:7">
      <c r="A19" t="s">
        <v>8965</v>
      </c>
      <c r="C19" t="s">
        <v>9086</v>
      </c>
      <c r="D19" t="s">
        <v>9087</v>
      </c>
      <c r="E19" t="s">
        <v>9088</v>
      </c>
      <c r="F19" t="s">
        <v>9089</v>
      </c>
      <c r="G19">
        <v>2</v>
      </c>
    </row>
    <row r="20" spans="1:7">
      <c r="C20" t="s">
        <v>9090</v>
      </c>
      <c r="D20" t="s">
        <v>9091</v>
      </c>
      <c r="E20" t="s">
        <v>9092</v>
      </c>
      <c r="F20" t="s">
        <v>9093</v>
      </c>
      <c r="G20">
        <v>0</v>
      </c>
    </row>
    <row r="21" spans="1:7">
      <c r="A21" t="s">
        <v>8796</v>
      </c>
      <c r="C21" t="s">
        <v>9094</v>
      </c>
      <c r="D21" t="s">
        <v>9095</v>
      </c>
      <c r="E21" t="s">
        <v>9096</v>
      </c>
      <c r="F21" t="s">
        <v>9097</v>
      </c>
      <c r="G21">
        <v>1</v>
      </c>
    </row>
    <row r="22" spans="1:7">
      <c r="A22" t="s">
        <v>8856</v>
      </c>
      <c r="C22" t="s">
        <v>9098</v>
      </c>
      <c r="D22" t="s">
        <v>9099</v>
      </c>
      <c r="E22" t="s">
        <v>9100</v>
      </c>
      <c r="F22" t="s">
        <v>9101</v>
      </c>
      <c r="G22">
        <v>2</v>
      </c>
    </row>
    <row r="23" spans="1:7">
      <c r="A23" t="s">
        <v>8910</v>
      </c>
      <c r="C23" t="s">
        <v>9102</v>
      </c>
      <c r="D23" t="s">
        <v>9103</v>
      </c>
      <c r="E23" t="s">
        <v>9104</v>
      </c>
      <c r="F23" t="s">
        <v>9105</v>
      </c>
      <c r="G23">
        <v>0</v>
      </c>
    </row>
    <row r="24" spans="1:7">
      <c r="A24" s="30" t="s">
        <v>8966</v>
      </c>
      <c r="C24" t="s">
        <v>9106</v>
      </c>
      <c r="D24" t="s">
        <v>9107</v>
      </c>
      <c r="E24" t="s">
        <v>9108</v>
      </c>
      <c r="F24" t="s">
        <v>6575</v>
      </c>
      <c r="G24">
        <v>1</v>
      </c>
    </row>
    <row r="25" spans="1:7">
      <c r="C25" t="s">
        <v>9109</v>
      </c>
      <c r="D25" t="s">
        <v>9110</v>
      </c>
      <c r="E25" t="s">
        <v>9111</v>
      </c>
      <c r="F25" t="s">
        <v>9112</v>
      </c>
      <c r="G25">
        <v>0</v>
      </c>
    </row>
    <row r="26" spans="1:7">
      <c r="A26" t="s">
        <v>8797</v>
      </c>
      <c r="C26" t="s">
        <v>9113</v>
      </c>
      <c r="D26" t="s">
        <v>9114</v>
      </c>
      <c r="E26" t="s">
        <v>9115</v>
      </c>
      <c r="F26" t="s">
        <v>9116</v>
      </c>
      <c r="G26">
        <v>1</v>
      </c>
    </row>
    <row r="27" spans="1:7">
      <c r="A27" s="30" t="s">
        <v>8857</v>
      </c>
      <c r="C27" t="s">
        <v>9117</v>
      </c>
      <c r="D27" t="s">
        <v>9118</v>
      </c>
      <c r="E27" t="s">
        <v>7211</v>
      </c>
      <c r="F27" t="s">
        <v>9119</v>
      </c>
      <c r="G27">
        <v>1</v>
      </c>
    </row>
    <row r="28" spans="1:7">
      <c r="A28" t="s">
        <v>8911</v>
      </c>
      <c r="C28" t="s">
        <v>9120</v>
      </c>
      <c r="D28" t="s">
        <v>9121</v>
      </c>
      <c r="E28" t="s">
        <v>9122</v>
      </c>
      <c r="F28" t="s">
        <v>9123</v>
      </c>
      <c r="G28">
        <v>0</v>
      </c>
    </row>
    <row r="29" spans="1:7">
      <c r="A29" t="s">
        <v>8967</v>
      </c>
      <c r="C29" t="s">
        <v>9124</v>
      </c>
      <c r="D29" t="s">
        <v>9125</v>
      </c>
      <c r="E29" t="s">
        <v>9126</v>
      </c>
      <c r="F29" t="s">
        <v>9127</v>
      </c>
      <c r="G29">
        <v>1</v>
      </c>
    </row>
    <row r="30" spans="1:7">
      <c r="C30" t="s">
        <v>9128</v>
      </c>
      <c r="D30" t="s">
        <v>9129</v>
      </c>
      <c r="E30" t="s">
        <v>9130</v>
      </c>
      <c r="F30" t="s">
        <v>9131</v>
      </c>
      <c r="G30">
        <v>1</v>
      </c>
    </row>
    <row r="31" spans="1:7">
      <c r="A31" t="s">
        <v>8798</v>
      </c>
      <c r="C31" t="s">
        <v>9132</v>
      </c>
      <c r="D31" t="s">
        <v>9133</v>
      </c>
      <c r="E31" t="s">
        <v>9134</v>
      </c>
      <c r="F31" t="s">
        <v>9135</v>
      </c>
      <c r="G31">
        <v>2</v>
      </c>
    </row>
    <row r="32" spans="1:7">
      <c r="A32" t="s">
        <v>6688</v>
      </c>
      <c r="C32" t="s">
        <v>9136</v>
      </c>
      <c r="D32" t="s">
        <v>9137</v>
      </c>
      <c r="E32" t="s">
        <v>9138</v>
      </c>
      <c r="F32" t="s">
        <v>9139</v>
      </c>
      <c r="G32">
        <v>1</v>
      </c>
    </row>
    <row r="33" spans="1:7">
      <c r="A33" s="30" t="s">
        <v>8888</v>
      </c>
      <c r="C33" t="s">
        <v>9140</v>
      </c>
      <c r="D33" t="s">
        <v>9141</v>
      </c>
      <c r="E33" t="s">
        <v>9142</v>
      </c>
      <c r="F33" t="s">
        <v>9143</v>
      </c>
      <c r="G33">
        <v>1</v>
      </c>
    </row>
    <row r="34" spans="1:7">
      <c r="A34" t="s">
        <v>8968</v>
      </c>
      <c r="C34" t="s">
        <v>9144</v>
      </c>
      <c r="D34" t="s">
        <v>9145</v>
      </c>
      <c r="E34" t="s">
        <v>9146</v>
      </c>
      <c r="F34" t="s">
        <v>9147</v>
      </c>
      <c r="G34">
        <v>0</v>
      </c>
    </row>
    <row r="35" spans="1:7">
      <c r="C35" t="s">
        <v>9148</v>
      </c>
      <c r="D35" t="s">
        <v>9149</v>
      </c>
      <c r="E35" t="s">
        <v>9150</v>
      </c>
      <c r="F35" t="s">
        <v>9151</v>
      </c>
      <c r="G35">
        <v>0</v>
      </c>
    </row>
    <row r="36" spans="1:7">
      <c r="A36" t="s">
        <v>8799</v>
      </c>
      <c r="C36" t="s">
        <v>9152</v>
      </c>
      <c r="D36" t="s">
        <v>9153</v>
      </c>
      <c r="E36" t="s">
        <v>9154</v>
      </c>
      <c r="F36" t="s">
        <v>9155</v>
      </c>
      <c r="G36">
        <v>0</v>
      </c>
    </row>
    <row r="37" spans="1:7">
      <c r="A37" t="s">
        <v>8858</v>
      </c>
      <c r="C37" t="s">
        <v>9156</v>
      </c>
      <c r="D37" t="s">
        <v>9157</v>
      </c>
      <c r="E37" t="s">
        <v>9158</v>
      </c>
      <c r="F37" t="s">
        <v>9159</v>
      </c>
      <c r="G37">
        <v>1</v>
      </c>
    </row>
    <row r="38" spans="1:7">
      <c r="A38" s="30" t="s">
        <v>8912</v>
      </c>
      <c r="C38" t="s">
        <v>9160</v>
      </c>
      <c r="D38" t="s">
        <v>9161</v>
      </c>
      <c r="E38" t="s">
        <v>9162</v>
      </c>
      <c r="F38" t="s">
        <v>9163</v>
      </c>
      <c r="G38">
        <v>0</v>
      </c>
    </row>
    <row r="39" spans="1:7">
      <c r="A39" t="s">
        <v>8969</v>
      </c>
      <c r="C39" t="s">
        <v>9164</v>
      </c>
      <c r="D39" t="s">
        <v>9165</v>
      </c>
      <c r="E39" t="s">
        <v>9166</v>
      </c>
      <c r="F39" t="s">
        <v>9167</v>
      </c>
      <c r="G39">
        <v>0</v>
      </c>
    </row>
    <row r="40" spans="1:7">
      <c r="C40" t="s">
        <v>9168</v>
      </c>
      <c r="D40" t="s">
        <v>9169</v>
      </c>
      <c r="E40" t="s">
        <v>9170</v>
      </c>
      <c r="F40" t="s">
        <v>9171</v>
      </c>
      <c r="G40">
        <v>1</v>
      </c>
    </row>
    <row r="41" spans="1:7">
      <c r="A41" t="s">
        <v>8800</v>
      </c>
      <c r="C41" t="s">
        <v>9172</v>
      </c>
      <c r="D41" t="s">
        <v>7312</v>
      </c>
      <c r="E41" t="s">
        <v>9173</v>
      </c>
      <c r="F41" t="s">
        <v>9174</v>
      </c>
      <c r="G41">
        <v>1</v>
      </c>
    </row>
    <row r="42" spans="1:7">
      <c r="A42" t="s">
        <v>8638</v>
      </c>
      <c r="C42" t="s">
        <v>9175</v>
      </c>
      <c r="D42" t="s">
        <v>9176</v>
      </c>
      <c r="E42" t="s">
        <v>9177</v>
      </c>
      <c r="F42" t="s">
        <v>9178</v>
      </c>
      <c r="G42">
        <v>0</v>
      </c>
    </row>
    <row r="43" spans="1:7">
      <c r="A43" t="s">
        <v>6750</v>
      </c>
      <c r="C43" t="s">
        <v>9179</v>
      </c>
      <c r="D43" t="s">
        <v>9180</v>
      </c>
      <c r="E43" t="s">
        <v>9181</v>
      </c>
      <c r="F43" t="s">
        <v>9182</v>
      </c>
      <c r="G43">
        <v>2</v>
      </c>
    </row>
    <row r="44" spans="1:7">
      <c r="A44" s="30" t="s">
        <v>8745</v>
      </c>
      <c r="C44" t="s">
        <v>9183</v>
      </c>
      <c r="D44" t="s">
        <v>9184</v>
      </c>
      <c r="E44" t="s">
        <v>9185</v>
      </c>
      <c r="F44" t="s">
        <v>9186</v>
      </c>
      <c r="G44">
        <v>1</v>
      </c>
    </row>
    <row r="45" spans="1:7">
      <c r="C45" t="s">
        <v>9187</v>
      </c>
      <c r="D45" t="s">
        <v>9188</v>
      </c>
      <c r="E45" t="s">
        <v>9189</v>
      </c>
      <c r="F45" t="s">
        <v>9190</v>
      </c>
      <c r="G45">
        <v>1</v>
      </c>
    </row>
    <row r="46" spans="1:7">
      <c r="A46" t="s">
        <v>8801</v>
      </c>
      <c r="C46" t="s">
        <v>9191</v>
      </c>
      <c r="D46" t="s">
        <v>9192</v>
      </c>
      <c r="E46" t="s">
        <v>9193</v>
      </c>
      <c r="F46" t="s">
        <v>9194</v>
      </c>
      <c r="G46">
        <v>1</v>
      </c>
    </row>
    <row r="47" spans="1:7">
      <c r="A47" s="30" t="s">
        <v>8859</v>
      </c>
      <c r="C47" t="s">
        <v>9195</v>
      </c>
      <c r="D47" t="s">
        <v>9196</v>
      </c>
      <c r="E47" t="s">
        <v>9197</v>
      </c>
      <c r="F47" t="s">
        <v>9198</v>
      </c>
      <c r="G47">
        <v>0</v>
      </c>
    </row>
    <row r="48" spans="1:7">
      <c r="A48" t="s">
        <v>8913</v>
      </c>
      <c r="C48" t="s">
        <v>9199</v>
      </c>
      <c r="D48" t="s">
        <v>9200</v>
      </c>
      <c r="E48" t="s">
        <v>9201</v>
      </c>
      <c r="F48" t="s">
        <v>9202</v>
      </c>
      <c r="G48">
        <v>1</v>
      </c>
    </row>
    <row r="49" spans="1:7">
      <c r="A49" t="s">
        <v>8914</v>
      </c>
      <c r="C49" t="s">
        <v>9203</v>
      </c>
      <c r="D49" t="s">
        <v>9204</v>
      </c>
      <c r="E49" t="s">
        <v>9205</v>
      </c>
      <c r="F49" t="s">
        <v>9206</v>
      </c>
      <c r="G49">
        <v>2</v>
      </c>
    </row>
    <row r="50" spans="1:7">
      <c r="C50" t="s">
        <v>9207</v>
      </c>
      <c r="D50" t="s">
        <v>9208</v>
      </c>
      <c r="E50" t="s">
        <v>9209</v>
      </c>
      <c r="F50" t="s">
        <v>9210</v>
      </c>
      <c r="G50">
        <v>1</v>
      </c>
    </row>
    <row r="51" spans="1:7">
      <c r="A51" t="s">
        <v>8802</v>
      </c>
      <c r="C51" t="s">
        <v>9211</v>
      </c>
      <c r="D51" t="s">
        <v>9212</v>
      </c>
      <c r="E51" t="s">
        <v>9213</v>
      </c>
      <c r="F51" t="s">
        <v>9214</v>
      </c>
      <c r="G51">
        <v>0</v>
      </c>
    </row>
    <row r="52" spans="1:7">
      <c r="A52" t="s">
        <v>8860</v>
      </c>
      <c r="C52" t="s">
        <v>9215</v>
      </c>
      <c r="D52" t="s">
        <v>9216</v>
      </c>
      <c r="E52" t="s">
        <v>9217</v>
      </c>
      <c r="F52" t="s">
        <v>9218</v>
      </c>
      <c r="G52">
        <v>1</v>
      </c>
    </row>
    <row r="53" spans="1:7">
      <c r="A53" s="30" t="s">
        <v>8915</v>
      </c>
      <c r="C53" t="s">
        <v>9219</v>
      </c>
      <c r="D53" t="s">
        <v>9220</v>
      </c>
      <c r="E53" t="s">
        <v>9221</v>
      </c>
      <c r="F53" t="s">
        <v>9222</v>
      </c>
      <c r="G53">
        <v>0</v>
      </c>
    </row>
    <row r="54" spans="1:7">
      <c r="A54" t="s">
        <v>8970</v>
      </c>
      <c r="C54" t="s">
        <v>9223</v>
      </c>
      <c r="D54" t="s">
        <v>9224</v>
      </c>
      <c r="E54" t="s">
        <v>9225</v>
      </c>
      <c r="F54" t="s">
        <v>9226</v>
      </c>
      <c r="G54">
        <v>1</v>
      </c>
    </row>
    <row r="55" spans="1:7">
      <c r="C55" t="s">
        <v>9227</v>
      </c>
      <c r="D55" t="s">
        <v>9228</v>
      </c>
      <c r="E55" t="s">
        <v>9229</v>
      </c>
      <c r="F55" t="s">
        <v>9230</v>
      </c>
      <c r="G55">
        <v>2</v>
      </c>
    </row>
    <row r="56" spans="1:7">
      <c r="A56" t="s">
        <v>8803</v>
      </c>
      <c r="C56" t="s">
        <v>9231</v>
      </c>
      <c r="D56" t="s">
        <v>9232</v>
      </c>
      <c r="E56" t="s">
        <v>9233</v>
      </c>
      <c r="F56" t="s">
        <v>9234</v>
      </c>
      <c r="G56">
        <v>1</v>
      </c>
    </row>
    <row r="57" spans="1:7">
      <c r="A57" t="s">
        <v>8861</v>
      </c>
      <c r="C57" t="s">
        <v>9235</v>
      </c>
      <c r="D57" t="s">
        <v>9236</v>
      </c>
      <c r="E57" t="s">
        <v>9237</v>
      </c>
      <c r="F57" t="s">
        <v>9238</v>
      </c>
      <c r="G57">
        <v>2</v>
      </c>
    </row>
    <row r="58" spans="1:7">
      <c r="A58" t="s">
        <v>8916</v>
      </c>
      <c r="C58" t="s">
        <v>9239</v>
      </c>
      <c r="D58" t="s">
        <v>9240</v>
      </c>
      <c r="E58" t="s">
        <v>9241</v>
      </c>
      <c r="F58" t="s">
        <v>9242</v>
      </c>
      <c r="G58">
        <v>2</v>
      </c>
    </row>
    <row r="59" spans="1:7">
      <c r="A59" s="30" t="s">
        <v>8971</v>
      </c>
      <c r="C59" t="s">
        <v>9243</v>
      </c>
      <c r="D59" t="s">
        <v>9244</v>
      </c>
      <c r="E59" t="s">
        <v>9245</v>
      </c>
      <c r="F59" t="s">
        <v>9246</v>
      </c>
      <c r="G59">
        <v>2</v>
      </c>
    </row>
    <row r="60" spans="1:7">
      <c r="C60" t="s">
        <v>8851</v>
      </c>
      <c r="D60" t="s">
        <v>9247</v>
      </c>
      <c r="E60" t="s">
        <v>9248</v>
      </c>
      <c r="F60" t="s">
        <v>9249</v>
      </c>
      <c r="G60">
        <v>0</v>
      </c>
    </row>
    <row r="61" spans="1:7">
      <c r="A61" t="s">
        <v>8804</v>
      </c>
    </row>
    <row r="62" spans="1:7">
      <c r="A62" s="30" t="s">
        <v>8862</v>
      </c>
    </row>
    <row r="63" spans="1:7">
      <c r="A63" t="s">
        <v>8917</v>
      </c>
    </row>
    <row r="64" spans="1:7">
      <c r="A64" t="s">
        <v>8972</v>
      </c>
    </row>
    <row r="66" spans="1:1">
      <c r="A66" t="s">
        <v>8805</v>
      </c>
    </row>
    <row r="67" spans="1:1">
      <c r="A67" t="s">
        <v>8863</v>
      </c>
    </row>
    <row r="68" spans="1:1">
      <c r="A68" t="s">
        <v>8918</v>
      </c>
    </row>
    <row r="69" spans="1:1">
      <c r="A69" s="30" t="s">
        <v>8973</v>
      </c>
    </row>
    <row r="71" spans="1:1">
      <c r="A71" t="s">
        <v>8806</v>
      </c>
    </row>
    <row r="72" spans="1:1">
      <c r="A72" s="30" t="s">
        <v>8864</v>
      </c>
    </row>
    <row r="73" spans="1:1">
      <c r="A73" t="s">
        <v>8919</v>
      </c>
    </row>
    <row r="74" spans="1:1">
      <c r="A74" t="s">
        <v>8974</v>
      </c>
    </row>
    <row r="76" spans="1:1">
      <c r="A76" t="s">
        <v>8807</v>
      </c>
    </row>
    <row r="77" spans="1:1">
      <c r="A77" t="s">
        <v>6954</v>
      </c>
    </row>
    <row r="78" spans="1:1">
      <c r="A78" s="30" t="s">
        <v>8920</v>
      </c>
    </row>
    <row r="79" spans="1:1">
      <c r="A79" t="s">
        <v>8975</v>
      </c>
    </row>
    <row r="81" spans="1:1">
      <c r="A81" t="s">
        <v>8808</v>
      </c>
    </row>
    <row r="82" spans="1:1">
      <c r="A82" s="30" t="s">
        <v>8865</v>
      </c>
    </row>
    <row r="83" spans="1:1">
      <c r="A83" t="s">
        <v>8691</v>
      </c>
    </row>
    <row r="84" spans="1:1">
      <c r="A84" t="s">
        <v>8976</v>
      </c>
    </row>
    <row r="86" spans="1:1">
      <c r="A86" t="s">
        <v>8809</v>
      </c>
    </row>
    <row r="87" spans="1:1">
      <c r="A87" t="s">
        <v>8866</v>
      </c>
    </row>
    <row r="88" spans="1:1">
      <c r="A88" s="30" t="s">
        <v>8921</v>
      </c>
    </row>
    <row r="89" spans="1:1">
      <c r="A89" t="s">
        <v>8977</v>
      </c>
    </row>
    <row r="91" spans="1:1">
      <c r="A91" t="s">
        <v>8810</v>
      </c>
    </row>
    <row r="92" spans="1:1">
      <c r="A92" t="s">
        <v>8867</v>
      </c>
    </row>
    <row r="93" spans="1:1">
      <c r="A93" t="s">
        <v>8922</v>
      </c>
    </row>
    <row r="94" spans="1:1">
      <c r="A94" s="30" t="s">
        <v>8978</v>
      </c>
    </row>
    <row r="96" spans="1:1">
      <c r="A96" t="s">
        <v>8811</v>
      </c>
    </row>
    <row r="97" spans="1:1">
      <c r="A97" s="30" t="s">
        <v>8868</v>
      </c>
    </row>
    <row r="98" spans="1:1">
      <c r="A98" t="s">
        <v>8923</v>
      </c>
    </row>
    <row r="99" spans="1:1">
      <c r="A99" t="s">
        <v>8979</v>
      </c>
    </row>
    <row r="101" spans="1:1">
      <c r="A101" t="s">
        <v>8812</v>
      </c>
    </row>
    <row r="102" spans="1:1">
      <c r="A102" t="s">
        <v>8869</v>
      </c>
    </row>
    <row r="103" spans="1:1">
      <c r="A103" s="30" t="s">
        <v>8924</v>
      </c>
    </row>
    <row r="104" spans="1:1">
      <c r="A104" t="s">
        <v>8980</v>
      </c>
    </row>
    <row r="106" spans="1:1">
      <c r="A106" t="s">
        <v>8813</v>
      </c>
    </row>
    <row r="107" spans="1:1">
      <c r="A107" t="s">
        <v>8870</v>
      </c>
    </row>
    <row r="108" spans="1:1">
      <c r="A108" t="s">
        <v>8925</v>
      </c>
    </row>
    <row r="109" spans="1:1">
      <c r="A109" s="30" t="s">
        <v>8981</v>
      </c>
    </row>
    <row r="111" spans="1:1">
      <c r="A111" t="s">
        <v>8814</v>
      </c>
    </row>
    <row r="112" spans="1:1">
      <c r="A112" s="30" t="s">
        <v>8557</v>
      </c>
    </row>
    <row r="113" spans="1:1">
      <c r="A113" t="s">
        <v>6260</v>
      </c>
    </row>
    <row r="114" spans="1:1">
      <c r="A114" t="s">
        <v>8665</v>
      </c>
    </row>
    <row r="116" spans="1:1">
      <c r="A116" t="s">
        <v>8815</v>
      </c>
    </row>
    <row r="117" spans="1:1">
      <c r="A117" t="s">
        <v>8871</v>
      </c>
    </row>
    <row r="118" spans="1:1">
      <c r="A118" s="30" t="s">
        <v>6763</v>
      </c>
    </row>
    <row r="119" spans="1:1">
      <c r="A119" t="s">
        <v>6346</v>
      </c>
    </row>
    <row r="121" spans="1:1">
      <c r="A121" t="s">
        <v>8816</v>
      </c>
    </row>
    <row r="122" spans="1:1">
      <c r="A122" s="30" t="s">
        <v>8872</v>
      </c>
    </row>
    <row r="123" spans="1:1">
      <c r="A123" t="s">
        <v>8926</v>
      </c>
    </row>
    <row r="124" spans="1:1">
      <c r="A124" t="s">
        <v>8982</v>
      </c>
    </row>
    <row r="126" spans="1:1">
      <c r="A126" t="s">
        <v>8817</v>
      </c>
    </row>
    <row r="127" spans="1:1">
      <c r="A127" t="s">
        <v>8873</v>
      </c>
    </row>
    <row r="128" spans="1:1">
      <c r="A128" s="30" t="s">
        <v>8927</v>
      </c>
    </row>
    <row r="129" spans="1:1">
      <c r="A129" t="s">
        <v>8983</v>
      </c>
    </row>
    <row r="131" spans="1:1">
      <c r="A131" t="s">
        <v>8818</v>
      </c>
    </row>
    <row r="132" spans="1:1">
      <c r="A132" t="s">
        <v>6710</v>
      </c>
    </row>
    <row r="133" spans="1:1">
      <c r="A133" s="30" t="s">
        <v>7037</v>
      </c>
    </row>
    <row r="134" spans="1:1">
      <c r="A134" t="s">
        <v>8984</v>
      </c>
    </row>
    <row r="136" spans="1:1">
      <c r="A136" t="s">
        <v>8819</v>
      </c>
    </row>
    <row r="137" spans="1:1">
      <c r="A137" s="30" t="s">
        <v>8874</v>
      </c>
    </row>
    <row r="138" spans="1:1">
      <c r="A138" t="s">
        <v>8928</v>
      </c>
    </row>
    <row r="139" spans="1:1">
      <c r="A139" t="s">
        <v>8985</v>
      </c>
    </row>
    <row r="141" spans="1:1">
      <c r="A141" t="s">
        <v>8820</v>
      </c>
    </row>
    <row r="142" spans="1:1">
      <c r="A142" t="s">
        <v>8875</v>
      </c>
    </row>
    <row r="143" spans="1:1">
      <c r="A143" s="30" t="s">
        <v>8929</v>
      </c>
    </row>
    <row r="144" spans="1:1">
      <c r="A144" t="s">
        <v>8986</v>
      </c>
    </row>
    <row r="146" spans="1:1">
      <c r="A146" t="s">
        <v>8821</v>
      </c>
    </row>
    <row r="147" spans="1:1">
      <c r="A147" t="s">
        <v>8876</v>
      </c>
    </row>
    <row r="148" spans="1:1">
      <c r="A148" s="30" t="s">
        <v>8930</v>
      </c>
    </row>
    <row r="149" spans="1:1">
      <c r="A149" t="s">
        <v>8987</v>
      </c>
    </row>
    <row r="151" spans="1:1">
      <c r="A151" t="s">
        <v>8822</v>
      </c>
    </row>
    <row r="152" spans="1:1">
      <c r="A152" t="s">
        <v>8877</v>
      </c>
    </row>
    <row r="153" spans="1:1">
      <c r="A153" t="s">
        <v>8931</v>
      </c>
    </row>
    <row r="154" spans="1:1">
      <c r="A154" s="30" t="s">
        <v>8988</v>
      </c>
    </row>
    <row r="156" spans="1:1">
      <c r="A156" t="s">
        <v>8823</v>
      </c>
    </row>
    <row r="157" spans="1:1">
      <c r="A157" t="s">
        <v>8878</v>
      </c>
    </row>
    <row r="158" spans="1:1">
      <c r="A158" s="30" t="s">
        <v>8932</v>
      </c>
    </row>
    <row r="159" spans="1:1">
      <c r="A159" t="s">
        <v>8989</v>
      </c>
    </row>
    <row r="161" spans="1:1">
      <c r="A161" t="s">
        <v>8824</v>
      </c>
    </row>
    <row r="162" spans="1:1">
      <c r="A162" t="s">
        <v>8879</v>
      </c>
    </row>
    <row r="163" spans="1:1">
      <c r="A163" s="30" t="s">
        <v>8933</v>
      </c>
    </row>
    <row r="164" spans="1:1">
      <c r="A164" t="s">
        <v>8990</v>
      </c>
    </row>
    <row r="166" spans="1:1">
      <c r="A166" t="s">
        <v>8825</v>
      </c>
    </row>
    <row r="167" spans="1:1">
      <c r="A167" s="30" t="s">
        <v>8880</v>
      </c>
    </row>
    <row r="168" spans="1:1">
      <c r="A168" t="s">
        <v>8934</v>
      </c>
    </row>
    <row r="169" spans="1:1">
      <c r="A169" t="s">
        <v>8935</v>
      </c>
    </row>
    <row r="171" spans="1:1">
      <c r="A171" t="s">
        <v>8826</v>
      </c>
    </row>
    <row r="172" spans="1:1">
      <c r="A172" s="30" t="s">
        <v>8881</v>
      </c>
    </row>
    <row r="173" spans="1:1">
      <c r="A173" t="s">
        <v>8936</v>
      </c>
    </row>
    <row r="174" spans="1:1">
      <c r="A174" t="s">
        <v>8991</v>
      </c>
    </row>
    <row r="176" spans="1:1">
      <c r="A176" t="s">
        <v>8827</v>
      </c>
    </row>
    <row r="177" spans="1:1">
      <c r="A177" s="30" t="s">
        <v>8882</v>
      </c>
    </row>
    <row r="178" spans="1:1">
      <c r="A178" t="s">
        <v>8937</v>
      </c>
    </row>
    <row r="179" spans="1:1">
      <c r="A179" t="s">
        <v>8992</v>
      </c>
    </row>
    <row r="181" spans="1:1">
      <c r="A181" t="s">
        <v>8828</v>
      </c>
    </row>
    <row r="182" spans="1:1">
      <c r="A182" t="s">
        <v>8883</v>
      </c>
    </row>
    <row r="183" spans="1:1">
      <c r="A183" s="30" t="s">
        <v>8938</v>
      </c>
    </row>
    <row r="184" spans="1:1">
      <c r="A184" t="s">
        <v>8993</v>
      </c>
    </row>
    <row r="186" spans="1:1">
      <c r="A186" t="s">
        <v>8829</v>
      </c>
    </row>
    <row r="187" spans="1:1">
      <c r="A187" s="30" t="s">
        <v>8884</v>
      </c>
    </row>
    <row r="188" spans="1:1">
      <c r="A188" t="s">
        <v>8939</v>
      </c>
    </row>
    <row r="189" spans="1:1">
      <c r="A189" t="s">
        <v>8994</v>
      </c>
    </row>
    <row r="191" spans="1:1">
      <c r="A191" t="s">
        <v>8830</v>
      </c>
    </row>
    <row r="192" spans="1:1">
      <c r="A192" s="30" t="s">
        <v>8885</v>
      </c>
    </row>
    <row r="193" spans="1:1">
      <c r="A193" t="s">
        <v>8940</v>
      </c>
    </row>
    <row r="194" spans="1:1">
      <c r="A194" t="s">
        <v>8995</v>
      </c>
    </row>
    <row r="196" spans="1:1">
      <c r="A196" t="s">
        <v>8831</v>
      </c>
    </row>
    <row r="197" spans="1:1">
      <c r="A197" t="s">
        <v>8886</v>
      </c>
    </row>
    <row r="198" spans="1:1">
      <c r="A198" s="30" t="s">
        <v>8941</v>
      </c>
    </row>
    <row r="199" spans="1:1">
      <c r="A199" t="s">
        <v>8996</v>
      </c>
    </row>
    <row r="201" spans="1:1">
      <c r="A201" t="s">
        <v>8832</v>
      </c>
    </row>
    <row r="202" spans="1:1">
      <c r="A202" t="s">
        <v>7029</v>
      </c>
    </row>
    <row r="203" spans="1:1">
      <c r="A203" s="30" t="s">
        <v>8942</v>
      </c>
    </row>
    <row r="204" spans="1:1">
      <c r="A204" t="s">
        <v>8997</v>
      </c>
    </row>
    <row r="206" spans="1:1">
      <c r="A206" t="s">
        <v>8833</v>
      </c>
    </row>
    <row r="207" spans="1:1">
      <c r="A207" s="30" t="s">
        <v>8887</v>
      </c>
    </row>
    <row r="208" spans="1:1">
      <c r="A208" t="s">
        <v>8943</v>
      </c>
    </row>
    <row r="209" spans="1:1">
      <c r="A209" t="s">
        <v>8998</v>
      </c>
    </row>
    <row r="211" spans="1:1">
      <c r="A211" t="s">
        <v>8834</v>
      </c>
    </row>
    <row r="212" spans="1:1">
      <c r="A212" t="s">
        <v>8888</v>
      </c>
    </row>
    <row r="213" spans="1:1">
      <c r="A213" t="s">
        <v>8944</v>
      </c>
    </row>
    <row r="214" spans="1:1">
      <c r="A214" s="30" t="s">
        <v>8999</v>
      </c>
    </row>
    <row r="216" spans="1:1">
      <c r="A216" t="s">
        <v>8835</v>
      </c>
    </row>
    <row r="217" spans="1:1">
      <c r="A217" t="s">
        <v>8889</v>
      </c>
    </row>
    <row r="218" spans="1:1">
      <c r="A218" s="30" t="s">
        <v>8945</v>
      </c>
    </row>
    <row r="219" spans="1:1">
      <c r="A219" t="s">
        <v>9000</v>
      </c>
    </row>
    <row r="221" spans="1:1">
      <c r="A221" t="s">
        <v>8836</v>
      </c>
    </row>
    <row r="222" spans="1:1">
      <c r="A222" t="s">
        <v>8890</v>
      </c>
    </row>
    <row r="223" spans="1:1">
      <c r="A223" s="30" t="s">
        <v>8946</v>
      </c>
    </row>
    <row r="224" spans="1:1">
      <c r="A224" t="s">
        <v>9001</v>
      </c>
    </row>
    <row r="226" spans="1:1">
      <c r="A226" t="s">
        <v>8837</v>
      </c>
    </row>
    <row r="227" spans="1:1">
      <c r="A227" t="s">
        <v>8891</v>
      </c>
    </row>
    <row r="228" spans="1:1">
      <c r="A228" s="30" t="s">
        <v>8947</v>
      </c>
    </row>
    <row r="229" spans="1:1">
      <c r="A229" t="s">
        <v>9002</v>
      </c>
    </row>
    <row r="231" spans="1:1">
      <c r="A231" t="s">
        <v>8838</v>
      </c>
    </row>
    <row r="232" spans="1:1">
      <c r="A232" s="30" t="s">
        <v>8892</v>
      </c>
    </row>
    <row r="233" spans="1:1">
      <c r="A233" t="s">
        <v>8948</v>
      </c>
    </row>
    <row r="234" spans="1:1">
      <c r="A234" t="s">
        <v>9003</v>
      </c>
    </row>
    <row r="236" spans="1:1">
      <c r="A236" t="s">
        <v>8839</v>
      </c>
    </row>
    <row r="237" spans="1:1">
      <c r="A237" t="s">
        <v>8893</v>
      </c>
    </row>
    <row r="238" spans="1:1">
      <c r="A238" s="30" t="s">
        <v>8949</v>
      </c>
    </row>
    <row r="239" spans="1:1">
      <c r="A239" t="s">
        <v>9004</v>
      </c>
    </row>
    <row r="241" spans="1:1">
      <c r="A241" t="s">
        <v>8840</v>
      </c>
    </row>
    <row r="242" spans="1:1">
      <c r="A242" t="s">
        <v>8894</v>
      </c>
    </row>
    <row r="243" spans="1:1">
      <c r="A243" t="s">
        <v>8950</v>
      </c>
    </row>
    <row r="244" spans="1:1">
      <c r="A244" s="30" t="s">
        <v>9005</v>
      </c>
    </row>
    <row r="246" spans="1:1">
      <c r="A246" t="s">
        <v>8841</v>
      </c>
    </row>
    <row r="247" spans="1:1">
      <c r="A247" t="s">
        <v>8895</v>
      </c>
    </row>
    <row r="248" spans="1:1">
      <c r="A248" s="30" t="s">
        <v>8951</v>
      </c>
    </row>
    <row r="249" spans="1:1">
      <c r="A249" t="s">
        <v>6981</v>
      </c>
    </row>
    <row r="251" spans="1:1">
      <c r="A251" t="s">
        <v>8842</v>
      </c>
    </row>
    <row r="252" spans="1:1">
      <c r="A252" s="30" t="s">
        <v>8896</v>
      </c>
    </row>
    <row r="253" spans="1:1">
      <c r="A253" t="s">
        <v>8952</v>
      </c>
    </row>
    <row r="254" spans="1:1">
      <c r="A254" t="s">
        <v>9006</v>
      </c>
    </row>
    <row r="256" spans="1:1">
      <c r="A256" t="s">
        <v>8843</v>
      </c>
    </row>
    <row r="257" spans="1:1">
      <c r="A257" t="s">
        <v>8897</v>
      </c>
    </row>
    <row r="258" spans="1:1">
      <c r="A258" s="30" t="s">
        <v>8953</v>
      </c>
    </row>
    <row r="259" spans="1:1">
      <c r="A259" t="s">
        <v>9007</v>
      </c>
    </row>
    <row r="261" spans="1:1">
      <c r="A261" t="s">
        <v>8844</v>
      </c>
    </row>
    <row r="262" spans="1:1">
      <c r="A262" s="30" t="s">
        <v>8898</v>
      </c>
    </row>
    <row r="263" spans="1:1">
      <c r="A263" t="s">
        <v>8954</v>
      </c>
    </row>
    <row r="264" spans="1:1">
      <c r="A264" t="s">
        <v>9008</v>
      </c>
    </row>
    <row r="266" spans="1:1">
      <c r="A266" t="s">
        <v>8845</v>
      </c>
    </row>
    <row r="267" spans="1:1">
      <c r="A267" t="s">
        <v>8899</v>
      </c>
    </row>
    <row r="268" spans="1:1">
      <c r="A268" s="30" t="s">
        <v>8955</v>
      </c>
    </row>
    <row r="269" spans="1:1">
      <c r="A269" t="s">
        <v>9009</v>
      </c>
    </row>
    <row r="271" spans="1:1">
      <c r="A271" t="s">
        <v>8846</v>
      </c>
    </row>
    <row r="272" spans="1:1">
      <c r="A272" t="s">
        <v>8900</v>
      </c>
    </row>
    <row r="273" spans="1:1">
      <c r="A273" t="s">
        <v>8956</v>
      </c>
    </row>
    <row r="274" spans="1:1">
      <c r="A274" s="30" t="s">
        <v>9010</v>
      </c>
    </row>
    <row r="276" spans="1:1">
      <c r="A276" t="s">
        <v>8847</v>
      </c>
    </row>
    <row r="277" spans="1:1">
      <c r="A277" t="s">
        <v>8901</v>
      </c>
    </row>
    <row r="278" spans="1:1">
      <c r="A278" s="30" t="s">
        <v>8957</v>
      </c>
    </row>
    <row r="279" spans="1:1">
      <c r="A279" t="s">
        <v>6766</v>
      </c>
    </row>
    <row r="281" spans="1:1">
      <c r="A281" t="s">
        <v>8848</v>
      </c>
    </row>
    <row r="282" spans="1:1">
      <c r="A282" t="s">
        <v>8902</v>
      </c>
    </row>
    <row r="283" spans="1:1">
      <c r="A283" t="s">
        <v>8958</v>
      </c>
    </row>
    <row r="284" spans="1:1">
      <c r="A284" s="30" t="s">
        <v>9011</v>
      </c>
    </row>
    <row r="286" spans="1:1">
      <c r="A286" t="s">
        <v>8849</v>
      </c>
    </row>
    <row r="287" spans="1:1">
      <c r="A287" t="s">
        <v>8903</v>
      </c>
    </row>
    <row r="288" spans="1:1">
      <c r="A288" t="s">
        <v>8959</v>
      </c>
    </row>
    <row r="289" spans="1:1">
      <c r="A289" s="30" t="s">
        <v>9012</v>
      </c>
    </row>
    <row r="291" spans="1:1">
      <c r="A291" t="s">
        <v>8850</v>
      </c>
    </row>
    <row r="292" spans="1:1">
      <c r="A292" t="s">
        <v>8904</v>
      </c>
    </row>
    <row r="293" spans="1:1">
      <c r="A293" t="s">
        <v>8960</v>
      </c>
    </row>
    <row r="294" spans="1:1">
      <c r="A294" s="30" t="s">
        <v>9013</v>
      </c>
    </row>
    <row r="296" spans="1:1">
      <c r="A296" t="s">
        <v>8851</v>
      </c>
    </row>
    <row r="297" spans="1:1">
      <c r="A297" s="30" t="s">
        <v>8905</v>
      </c>
    </row>
    <row r="298" spans="1:1">
      <c r="A298" t="s">
        <v>8961</v>
      </c>
    </row>
    <row r="299" spans="1:1">
      <c r="A299" t="s">
        <v>9014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501"/>
  <sheetViews>
    <sheetView topLeftCell="A31" workbookViewId="0">
      <selection activeCell="A19" sqref="A19"/>
    </sheetView>
  </sheetViews>
  <sheetFormatPr defaultRowHeight="16.5"/>
  <cols>
    <col min="1" max="1" width="97.5" customWidth="1"/>
  </cols>
  <sheetData>
    <row r="1" spans="1:7">
      <c r="A1" t="s">
        <v>7313</v>
      </c>
      <c r="B1" s="32" t="s">
        <v>7362</v>
      </c>
      <c r="C1" t="s">
        <v>7407</v>
      </c>
      <c r="D1" t="s">
        <v>7408</v>
      </c>
      <c r="E1" t="s">
        <v>7409</v>
      </c>
      <c r="F1" t="s">
        <v>7410</v>
      </c>
      <c r="G1">
        <v>2</v>
      </c>
    </row>
    <row r="2" spans="1:7">
      <c r="A2" t="s">
        <v>7338</v>
      </c>
      <c r="C2" t="s">
        <v>7411</v>
      </c>
      <c r="D2" t="s">
        <v>7412</v>
      </c>
      <c r="E2" t="s">
        <v>7413</v>
      </c>
      <c r="F2" t="s">
        <v>7414</v>
      </c>
      <c r="G2">
        <v>1</v>
      </c>
    </row>
    <row r="3" spans="1:7">
      <c r="A3" t="s">
        <v>7361</v>
      </c>
      <c r="C3" t="s">
        <v>7415</v>
      </c>
      <c r="D3" t="s">
        <v>7416</v>
      </c>
      <c r="E3" t="s">
        <v>7417</v>
      </c>
      <c r="F3" t="s">
        <v>7418</v>
      </c>
      <c r="G3">
        <v>1</v>
      </c>
    </row>
    <row r="4" spans="1:7">
      <c r="A4" s="32" t="s">
        <v>7384</v>
      </c>
      <c r="C4" t="s">
        <v>7419</v>
      </c>
      <c r="D4" t="s">
        <v>7420</v>
      </c>
      <c r="E4" t="s">
        <v>7421</v>
      </c>
      <c r="F4" t="s">
        <v>7422</v>
      </c>
      <c r="G4">
        <v>2</v>
      </c>
    </row>
    <row r="5" spans="1:7">
      <c r="C5" t="s">
        <v>7423</v>
      </c>
      <c r="D5" t="s">
        <v>7424</v>
      </c>
      <c r="E5" t="s">
        <v>7425</v>
      </c>
      <c r="F5" t="s">
        <v>7426</v>
      </c>
      <c r="G5">
        <v>1</v>
      </c>
    </row>
    <row r="6" spans="1:7">
      <c r="A6" t="s">
        <v>7314</v>
      </c>
      <c r="C6" t="s">
        <v>7427</v>
      </c>
      <c r="D6" t="s">
        <v>7428</v>
      </c>
      <c r="E6" t="s">
        <v>7429</v>
      </c>
      <c r="F6" t="s">
        <v>7430</v>
      </c>
      <c r="G6">
        <v>1</v>
      </c>
    </row>
    <row r="7" spans="1:7">
      <c r="A7" t="s">
        <v>7339</v>
      </c>
      <c r="C7" t="s">
        <v>7431</v>
      </c>
      <c r="D7" t="s">
        <v>7432</v>
      </c>
      <c r="E7" t="s">
        <v>7433</v>
      </c>
      <c r="F7" t="s">
        <v>7434</v>
      </c>
      <c r="G7">
        <v>0</v>
      </c>
    </row>
    <row r="8" spans="1:7">
      <c r="A8" s="32" t="s">
        <v>7362</v>
      </c>
      <c r="C8" t="s">
        <v>7435</v>
      </c>
      <c r="D8" t="s">
        <v>7436</v>
      </c>
      <c r="E8" t="s">
        <v>7437</v>
      </c>
      <c r="F8" t="s">
        <v>7438</v>
      </c>
      <c r="G8">
        <v>1</v>
      </c>
    </row>
    <row r="9" spans="1:7">
      <c r="A9" t="s">
        <v>7385</v>
      </c>
      <c r="C9" t="s">
        <v>7439</v>
      </c>
      <c r="D9" t="s">
        <v>7440</v>
      </c>
      <c r="E9" t="s">
        <v>7441</v>
      </c>
      <c r="F9" t="s">
        <v>7442</v>
      </c>
      <c r="G9">
        <v>2</v>
      </c>
    </row>
    <row r="10" spans="1:7">
      <c r="C10" t="s">
        <v>7443</v>
      </c>
      <c r="D10" t="s">
        <v>7444</v>
      </c>
      <c r="E10" t="s">
        <v>7445</v>
      </c>
      <c r="F10" t="s">
        <v>7446</v>
      </c>
      <c r="G10">
        <v>2</v>
      </c>
    </row>
    <row r="11" spans="1:7">
      <c r="A11" t="s">
        <v>7315</v>
      </c>
      <c r="C11" t="s">
        <v>7447</v>
      </c>
      <c r="D11" t="s">
        <v>7448</v>
      </c>
      <c r="E11" t="s">
        <v>7449</v>
      </c>
      <c r="F11" t="s">
        <v>7450</v>
      </c>
      <c r="G11">
        <v>0</v>
      </c>
    </row>
    <row r="12" spans="1:7">
      <c r="A12" t="s">
        <v>7340</v>
      </c>
      <c r="C12" t="s">
        <v>7451</v>
      </c>
      <c r="D12" t="s">
        <v>7452</v>
      </c>
      <c r="E12" t="s">
        <v>7453</v>
      </c>
      <c r="F12" t="s">
        <v>7454</v>
      </c>
      <c r="G12">
        <v>2</v>
      </c>
    </row>
    <row r="13" spans="1:7">
      <c r="A13" s="32" t="s">
        <v>7363</v>
      </c>
      <c r="C13" t="s">
        <v>7455</v>
      </c>
      <c r="D13" t="s">
        <v>7456</v>
      </c>
      <c r="E13" t="s">
        <v>7457</v>
      </c>
      <c r="F13" t="s">
        <v>7458</v>
      </c>
      <c r="G13">
        <v>1</v>
      </c>
    </row>
    <row r="14" spans="1:7">
      <c r="A14" t="s">
        <v>7386</v>
      </c>
      <c r="C14" t="s">
        <v>7459</v>
      </c>
      <c r="D14" t="s">
        <v>7460</v>
      </c>
      <c r="E14" t="s">
        <v>7461</v>
      </c>
      <c r="F14" t="s">
        <v>7462</v>
      </c>
      <c r="G14">
        <v>1</v>
      </c>
    </row>
    <row r="15" spans="1:7">
      <c r="C15" t="s">
        <v>7463</v>
      </c>
      <c r="D15" t="s">
        <v>7464</v>
      </c>
      <c r="E15" t="s">
        <v>7465</v>
      </c>
      <c r="F15" t="s">
        <v>7466</v>
      </c>
      <c r="G15">
        <v>2</v>
      </c>
    </row>
    <row r="16" spans="1:7">
      <c r="A16" t="s">
        <v>7316</v>
      </c>
      <c r="C16" t="s">
        <v>7467</v>
      </c>
      <c r="D16" t="s">
        <v>7468</v>
      </c>
      <c r="E16" t="s">
        <v>7469</v>
      </c>
      <c r="F16" t="s">
        <v>7470</v>
      </c>
      <c r="G16">
        <v>1</v>
      </c>
    </row>
    <row r="17" spans="1:7">
      <c r="A17" t="s">
        <v>7341</v>
      </c>
      <c r="C17" t="s">
        <v>7471</v>
      </c>
      <c r="D17" t="s">
        <v>7472</v>
      </c>
      <c r="E17" t="s">
        <v>7473</v>
      </c>
      <c r="F17" t="s">
        <v>7474</v>
      </c>
      <c r="G17">
        <v>1</v>
      </c>
    </row>
    <row r="18" spans="1:7">
      <c r="A18" t="s">
        <v>7364</v>
      </c>
      <c r="C18" t="s">
        <v>7475</v>
      </c>
      <c r="D18" t="s">
        <v>7476</v>
      </c>
      <c r="E18" t="s">
        <v>7477</v>
      </c>
      <c r="F18" t="s">
        <v>7478</v>
      </c>
      <c r="G18">
        <v>2</v>
      </c>
    </row>
    <row r="19" spans="1:7">
      <c r="A19" s="32" t="s">
        <v>7387</v>
      </c>
      <c r="C19" t="s">
        <v>7479</v>
      </c>
      <c r="D19" t="s">
        <v>7480</v>
      </c>
      <c r="E19" t="s">
        <v>7481</v>
      </c>
      <c r="F19" t="s">
        <v>7482</v>
      </c>
      <c r="G19">
        <v>1</v>
      </c>
    </row>
    <row r="20" spans="1:7">
      <c r="C20" t="s">
        <v>7483</v>
      </c>
      <c r="D20" t="s">
        <v>7484</v>
      </c>
      <c r="E20" t="s">
        <v>7485</v>
      </c>
      <c r="F20" t="s">
        <v>7486</v>
      </c>
      <c r="G20">
        <v>0</v>
      </c>
    </row>
    <row r="21" spans="1:7">
      <c r="A21" t="s">
        <v>7317</v>
      </c>
      <c r="C21" t="s">
        <v>7487</v>
      </c>
      <c r="D21">
        <v>88</v>
      </c>
      <c r="E21">
        <v>15</v>
      </c>
      <c r="F21">
        <v>107</v>
      </c>
      <c r="G21">
        <v>0</v>
      </c>
    </row>
    <row r="22" spans="1:7">
      <c r="A22" t="s">
        <v>7342</v>
      </c>
      <c r="C22" t="s">
        <v>7488</v>
      </c>
      <c r="D22" t="s">
        <v>7489</v>
      </c>
      <c r="E22" t="s">
        <v>7490</v>
      </c>
      <c r="F22" t="s">
        <v>7491</v>
      </c>
      <c r="G22">
        <v>0</v>
      </c>
    </row>
    <row r="23" spans="1:7">
      <c r="A23" s="32" t="s">
        <v>7365</v>
      </c>
      <c r="C23" t="s">
        <v>7492</v>
      </c>
      <c r="D23" t="s">
        <v>7493</v>
      </c>
      <c r="E23" t="s">
        <v>7494</v>
      </c>
      <c r="F23" t="s">
        <v>7495</v>
      </c>
      <c r="G23">
        <v>0</v>
      </c>
    </row>
    <row r="24" spans="1:7">
      <c r="A24" t="s">
        <v>7388</v>
      </c>
      <c r="C24" t="s">
        <v>7496</v>
      </c>
      <c r="D24" t="s">
        <v>7497</v>
      </c>
      <c r="E24" t="s">
        <v>7498</v>
      </c>
      <c r="F24" t="s">
        <v>7499</v>
      </c>
      <c r="G24">
        <v>2</v>
      </c>
    </row>
    <row r="25" spans="1:7">
      <c r="C25" t="s">
        <v>7500</v>
      </c>
      <c r="D25" t="s">
        <v>7501</v>
      </c>
      <c r="E25" t="s">
        <v>7502</v>
      </c>
      <c r="F25" t="s">
        <v>7503</v>
      </c>
      <c r="G25">
        <v>2</v>
      </c>
    </row>
    <row r="26" spans="1:7">
      <c r="A26" t="s">
        <v>7318</v>
      </c>
      <c r="B26" s="32" t="s">
        <v>7344</v>
      </c>
      <c r="C26" t="s">
        <v>7504</v>
      </c>
      <c r="D26" t="s">
        <v>7505</v>
      </c>
      <c r="E26" t="s">
        <v>7295</v>
      </c>
      <c r="F26" t="s">
        <v>7506</v>
      </c>
      <c r="G26">
        <v>1</v>
      </c>
    </row>
    <row r="27" spans="1:7">
      <c r="A27" t="s">
        <v>7343</v>
      </c>
      <c r="C27" t="s">
        <v>7507</v>
      </c>
      <c r="D27" t="s">
        <v>7508</v>
      </c>
      <c r="E27" t="s">
        <v>7296</v>
      </c>
      <c r="F27" t="s">
        <v>7297</v>
      </c>
      <c r="G27">
        <v>1</v>
      </c>
    </row>
    <row r="28" spans="1:7">
      <c r="A28" s="32" t="s">
        <v>7366</v>
      </c>
      <c r="C28" t="s">
        <v>7509</v>
      </c>
      <c r="D28" t="s">
        <v>7298</v>
      </c>
      <c r="E28" t="s">
        <v>7510</v>
      </c>
      <c r="F28" t="s">
        <v>7299</v>
      </c>
      <c r="G28">
        <v>1</v>
      </c>
    </row>
    <row r="29" spans="1:7">
      <c r="A29" t="s">
        <v>7389</v>
      </c>
      <c r="C29" t="s">
        <v>7511</v>
      </c>
      <c r="D29" t="s">
        <v>7512</v>
      </c>
      <c r="E29" t="s">
        <v>7300</v>
      </c>
      <c r="F29" t="s">
        <v>7301</v>
      </c>
      <c r="G29">
        <v>2</v>
      </c>
    </row>
    <row r="30" spans="1:7">
      <c r="C30" t="s">
        <v>7513</v>
      </c>
      <c r="D30" t="s">
        <v>7514</v>
      </c>
      <c r="E30" t="s">
        <v>7302</v>
      </c>
      <c r="F30" t="s">
        <v>7303</v>
      </c>
      <c r="G30">
        <v>2</v>
      </c>
    </row>
    <row r="31" spans="1:7">
      <c r="A31" t="s">
        <v>7319</v>
      </c>
      <c r="C31" t="s">
        <v>7515</v>
      </c>
      <c r="D31" t="s">
        <v>7304</v>
      </c>
      <c r="E31" t="s">
        <v>7516</v>
      </c>
      <c r="F31" t="s">
        <v>7305</v>
      </c>
      <c r="G31">
        <v>1</v>
      </c>
    </row>
    <row r="32" spans="1:7">
      <c r="A32" s="32" t="s">
        <v>7344</v>
      </c>
      <c r="C32" t="s">
        <v>7306</v>
      </c>
      <c r="D32" t="s">
        <v>7517</v>
      </c>
      <c r="E32" t="s">
        <v>7518</v>
      </c>
      <c r="F32" t="s">
        <v>7519</v>
      </c>
      <c r="G32">
        <v>0</v>
      </c>
    </row>
    <row r="33" spans="1:7">
      <c r="A33" t="s">
        <v>7367</v>
      </c>
      <c r="C33" t="s">
        <v>7307</v>
      </c>
      <c r="D33" t="s">
        <v>7308</v>
      </c>
      <c r="E33" t="s">
        <v>7520</v>
      </c>
      <c r="F33" t="s">
        <v>7521</v>
      </c>
      <c r="G33">
        <v>0</v>
      </c>
    </row>
    <row r="34" spans="1:7">
      <c r="A34" t="s">
        <v>7390</v>
      </c>
      <c r="C34" t="s">
        <v>7522</v>
      </c>
      <c r="D34" t="s">
        <v>7523</v>
      </c>
      <c r="E34" t="s">
        <v>7309</v>
      </c>
      <c r="F34" t="s">
        <v>7524</v>
      </c>
      <c r="G34">
        <v>1</v>
      </c>
    </row>
    <row r="35" spans="1:7">
      <c r="C35" t="s">
        <v>7525</v>
      </c>
      <c r="D35" t="s">
        <v>7526</v>
      </c>
      <c r="E35" t="s">
        <v>7527</v>
      </c>
      <c r="F35" t="s">
        <v>7310</v>
      </c>
      <c r="G35">
        <v>0</v>
      </c>
    </row>
    <row r="36" spans="1:7">
      <c r="A36" t="s">
        <v>7320</v>
      </c>
      <c r="C36" t="s">
        <v>7528</v>
      </c>
      <c r="D36" t="s">
        <v>7311</v>
      </c>
      <c r="E36" t="s">
        <v>7529</v>
      </c>
      <c r="F36" t="s">
        <v>7530</v>
      </c>
      <c r="G36">
        <v>2</v>
      </c>
    </row>
    <row r="37" spans="1:7">
      <c r="A37" t="s">
        <v>7345</v>
      </c>
      <c r="G37">
        <v>2</v>
      </c>
    </row>
    <row r="38" spans="1:7">
      <c r="A38" s="32" t="s">
        <v>7368</v>
      </c>
      <c r="G38">
        <v>2</v>
      </c>
    </row>
    <row r="39" spans="1:7">
      <c r="A39" t="s">
        <v>7391</v>
      </c>
      <c r="G39">
        <v>2</v>
      </c>
    </row>
    <row r="40" spans="1:7">
      <c r="G40">
        <v>2</v>
      </c>
    </row>
    <row r="41" spans="1:7">
      <c r="A41" t="s">
        <v>7321</v>
      </c>
      <c r="G41">
        <v>2</v>
      </c>
    </row>
    <row r="42" spans="1:7">
      <c r="A42" t="s">
        <v>7346</v>
      </c>
      <c r="G42">
        <v>2</v>
      </c>
    </row>
    <row r="43" spans="1:7">
      <c r="A43" t="s">
        <v>7369</v>
      </c>
      <c r="G43">
        <v>2</v>
      </c>
    </row>
    <row r="44" spans="1:7">
      <c r="A44" s="32" t="s">
        <v>7392</v>
      </c>
      <c r="G44">
        <v>2</v>
      </c>
    </row>
    <row r="45" spans="1:7">
      <c r="G45">
        <v>2</v>
      </c>
    </row>
    <row r="46" spans="1:7">
      <c r="A46" t="s">
        <v>7322</v>
      </c>
      <c r="G46">
        <v>2</v>
      </c>
    </row>
    <row r="47" spans="1:7">
      <c r="A47" t="s">
        <v>7347</v>
      </c>
      <c r="G47">
        <v>2</v>
      </c>
    </row>
    <row r="48" spans="1:7">
      <c r="A48" t="s">
        <v>7370</v>
      </c>
      <c r="G48">
        <v>2</v>
      </c>
    </row>
    <row r="49" spans="1:7">
      <c r="A49" s="32" t="s">
        <v>7393</v>
      </c>
      <c r="G49">
        <v>2</v>
      </c>
    </row>
    <row r="50" spans="1:7">
      <c r="G50">
        <v>2</v>
      </c>
    </row>
    <row r="51" spans="1:7">
      <c r="A51" t="s">
        <v>7323</v>
      </c>
      <c r="G51">
        <v>2</v>
      </c>
    </row>
    <row r="52" spans="1:7">
      <c r="A52" s="32" t="s">
        <v>7348</v>
      </c>
      <c r="G52">
        <v>2</v>
      </c>
    </row>
    <row r="53" spans="1:7">
      <c r="A53" t="s">
        <v>7371</v>
      </c>
      <c r="G53">
        <v>2</v>
      </c>
    </row>
    <row r="54" spans="1:7">
      <c r="A54" t="s">
        <v>7394</v>
      </c>
      <c r="G54">
        <v>2</v>
      </c>
    </row>
    <row r="55" spans="1:7">
      <c r="G55">
        <v>2</v>
      </c>
    </row>
    <row r="56" spans="1:7">
      <c r="A56" t="s">
        <v>7324</v>
      </c>
      <c r="G56">
        <v>2</v>
      </c>
    </row>
    <row r="57" spans="1:7">
      <c r="A57" t="s">
        <v>7349</v>
      </c>
      <c r="G57">
        <v>2</v>
      </c>
    </row>
    <row r="58" spans="1:7">
      <c r="A58" t="s">
        <v>7372</v>
      </c>
      <c r="G58">
        <v>2</v>
      </c>
    </row>
    <row r="59" spans="1:7">
      <c r="A59" s="32" t="s">
        <v>7395</v>
      </c>
      <c r="G59">
        <v>2</v>
      </c>
    </row>
    <row r="60" spans="1:7">
      <c r="G60">
        <v>2</v>
      </c>
    </row>
    <row r="61" spans="1:7">
      <c r="A61" t="s">
        <v>7325</v>
      </c>
      <c r="G61">
        <v>2</v>
      </c>
    </row>
    <row r="62" spans="1:7">
      <c r="A62" t="s">
        <v>7350</v>
      </c>
      <c r="G62">
        <v>2</v>
      </c>
    </row>
    <row r="63" spans="1:7">
      <c r="A63" s="32" t="s">
        <v>7373</v>
      </c>
      <c r="G63">
        <v>2</v>
      </c>
    </row>
    <row r="64" spans="1:7">
      <c r="A64" t="s">
        <v>7396</v>
      </c>
      <c r="G64">
        <v>2</v>
      </c>
    </row>
    <row r="65" spans="1:7">
      <c r="G65">
        <v>2</v>
      </c>
    </row>
    <row r="66" spans="1:7">
      <c r="A66" t="s">
        <v>7326</v>
      </c>
      <c r="G66">
        <v>2</v>
      </c>
    </row>
    <row r="67" spans="1:7">
      <c r="A67" t="s">
        <v>7351</v>
      </c>
      <c r="G67">
        <v>2</v>
      </c>
    </row>
    <row r="68" spans="1:7">
      <c r="A68" s="32" t="s">
        <v>7374</v>
      </c>
      <c r="G68">
        <v>2</v>
      </c>
    </row>
    <row r="69" spans="1:7">
      <c r="A69" t="s">
        <v>7397</v>
      </c>
      <c r="G69">
        <v>2</v>
      </c>
    </row>
    <row r="70" spans="1:7">
      <c r="G70">
        <v>2</v>
      </c>
    </row>
    <row r="71" spans="1:7">
      <c r="A71" t="s">
        <v>7327</v>
      </c>
      <c r="G71">
        <v>2</v>
      </c>
    </row>
    <row r="72" spans="1:7">
      <c r="A72" t="s">
        <v>7352</v>
      </c>
      <c r="G72">
        <v>2</v>
      </c>
    </row>
    <row r="73" spans="1:7">
      <c r="A73" t="s">
        <v>7375</v>
      </c>
      <c r="G73">
        <v>2</v>
      </c>
    </row>
    <row r="74" spans="1:7">
      <c r="A74" s="32" t="s">
        <v>7398</v>
      </c>
      <c r="G74">
        <v>2</v>
      </c>
    </row>
    <row r="75" spans="1:7">
      <c r="G75">
        <v>2</v>
      </c>
    </row>
    <row r="76" spans="1:7">
      <c r="A76" t="s">
        <v>7328</v>
      </c>
      <c r="G76">
        <v>2</v>
      </c>
    </row>
    <row r="77" spans="1:7">
      <c r="A77" t="s">
        <v>7353</v>
      </c>
      <c r="G77">
        <v>2</v>
      </c>
    </row>
    <row r="78" spans="1:7">
      <c r="A78" s="32" t="s">
        <v>7376</v>
      </c>
      <c r="G78">
        <v>2</v>
      </c>
    </row>
    <row r="79" spans="1:7">
      <c r="A79" t="s">
        <v>7399</v>
      </c>
      <c r="G79">
        <v>2</v>
      </c>
    </row>
    <row r="80" spans="1:7">
      <c r="G80">
        <v>2</v>
      </c>
    </row>
    <row r="81" spans="1:7">
      <c r="A81" t="s">
        <v>7329</v>
      </c>
      <c r="G81">
        <v>2</v>
      </c>
    </row>
    <row r="82" spans="1:7">
      <c r="A82" t="s">
        <v>7354</v>
      </c>
      <c r="G82">
        <v>2</v>
      </c>
    </row>
    <row r="83" spans="1:7">
      <c r="A83" s="32" t="s">
        <v>7377</v>
      </c>
      <c r="G83">
        <v>2</v>
      </c>
    </row>
    <row r="84" spans="1:7">
      <c r="A84" t="s">
        <v>7400</v>
      </c>
      <c r="G84">
        <v>2</v>
      </c>
    </row>
    <row r="85" spans="1:7">
      <c r="G85">
        <v>2</v>
      </c>
    </row>
    <row r="86" spans="1:7">
      <c r="A86" t="s">
        <v>7330</v>
      </c>
      <c r="G86">
        <v>2</v>
      </c>
    </row>
    <row r="87" spans="1:7">
      <c r="A87" t="s">
        <v>7355</v>
      </c>
      <c r="G87">
        <v>2</v>
      </c>
    </row>
    <row r="88" spans="1:7">
      <c r="A88" t="s">
        <v>7378</v>
      </c>
      <c r="G88">
        <v>2</v>
      </c>
    </row>
    <row r="89" spans="1:7">
      <c r="A89" s="32" t="s">
        <v>7401</v>
      </c>
      <c r="G89">
        <v>2</v>
      </c>
    </row>
    <row r="90" spans="1:7">
      <c r="G90">
        <v>2</v>
      </c>
    </row>
    <row r="91" spans="1:7">
      <c r="A91" t="s">
        <v>7331</v>
      </c>
      <c r="G91">
        <v>2</v>
      </c>
    </row>
    <row r="92" spans="1:7">
      <c r="A92" t="s">
        <v>7356</v>
      </c>
      <c r="G92">
        <v>2</v>
      </c>
    </row>
    <row r="93" spans="1:7">
      <c r="A93" s="32" t="s">
        <v>7379</v>
      </c>
      <c r="G93">
        <v>2</v>
      </c>
    </row>
    <row r="94" spans="1:7">
      <c r="A94" t="s">
        <v>7402</v>
      </c>
      <c r="G94">
        <v>2</v>
      </c>
    </row>
    <row r="95" spans="1:7">
      <c r="G95">
        <v>2</v>
      </c>
    </row>
    <row r="96" spans="1:7">
      <c r="A96" t="s">
        <v>7332</v>
      </c>
      <c r="G96">
        <v>2</v>
      </c>
    </row>
    <row r="97" spans="1:7">
      <c r="A97" s="32" t="s">
        <v>7357</v>
      </c>
      <c r="G97">
        <v>2</v>
      </c>
    </row>
    <row r="98" spans="1:7">
      <c r="A98" t="s">
        <v>7380</v>
      </c>
      <c r="G98">
        <v>2</v>
      </c>
    </row>
    <row r="99" spans="1:7">
      <c r="A99" t="s">
        <v>7403</v>
      </c>
      <c r="G99">
        <v>2</v>
      </c>
    </row>
    <row r="100" spans="1:7">
      <c r="G100">
        <v>2</v>
      </c>
    </row>
    <row r="101" spans="1:7">
      <c r="A101" t="s">
        <v>7333</v>
      </c>
      <c r="G101">
        <v>2</v>
      </c>
    </row>
    <row r="102" spans="1:7">
      <c r="A102" s="32">
        <v>88</v>
      </c>
      <c r="G102">
        <v>2</v>
      </c>
    </row>
    <row r="103" spans="1:7">
      <c r="A103">
        <v>15</v>
      </c>
      <c r="G103">
        <v>2</v>
      </c>
    </row>
    <row r="104" spans="1:7">
      <c r="A104">
        <v>107</v>
      </c>
      <c r="G104">
        <v>2</v>
      </c>
    </row>
    <row r="105" spans="1:7">
      <c r="G105">
        <v>2</v>
      </c>
    </row>
    <row r="106" spans="1:7">
      <c r="A106" t="s">
        <v>7334</v>
      </c>
      <c r="G106">
        <v>2</v>
      </c>
    </row>
    <row r="107" spans="1:7">
      <c r="A107" s="32" t="s">
        <v>7358</v>
      </c>
      <c r="G107">
        <v>2</v>
      </c>
    </row>
    <row r="108" spans="1:7">
      <c r="A108" t="s">
        <v>7381</v>
      </c>
      <c r="G108">
        <v>2</v>
      </c>
    </row>
    <row r="109" spans="1:7">
      <c r="A109" t="s">
        <v>7404</v>
      </c>
      <c r="G109">
        <v>2</v>
      </c>
    </row>
    <row r="110" spans="1:7">
      <c r="G110">
        <v>2</v>
      </c>
    </row>
    <row r="111" spans="1:7">
      <c r="A111" t="s">
        <v>7335</v>
      </c>
      <c r="G111">
        <v>2</v>
      </c>
    </row>
    <row r="112" spans="1:7">
      <c r="A112" s="32" t="s">
        <v>7359</v>
      </c>
      <c r="G112">
        <v>2</v>
      </c>
    </row>
    <row r="113" spans="1:7">
      <c r="A113" t="s">
        <v>7382</v>
      </c>
      <c r="G113">
        <v>2</v>
      </c>
    </row>
    <row r="114" spans="1:7">
      <c r="A114" t="s">
        <v>7405</v>
      </c>
      <c r="G114">
        <v>2</v>
      </c>
    </row>
    <row r="115" spans="1:7">
      <c r="G115">
        <v>2</v>
      </c>
    </row>
    <row r="116" spans="1:7">
      <c r="A116" t="s">
        <v>7336</v>
      </c>
      <c r="G116">
        <v>2</v>
      </c>
    </row>
    <row r="117" spans="1:7">
      <c r="A117" t="s">
        <v>7360</v>
      </c>
      <c r="G117">
        <v>2</v>
      </c>
    </row>
    <row r="118" spans="1:7">
      <c r="A118" t="s">
        <v>7383</v>
      </c>
      <c r="G118">
        <v>2</v>
      </c>
    </row>
    <row r="119" spans="1:7">
      <c r="A119" s="32" t="s">
        <v>7406</v>
      </c>
      <c r="G119">
        <v>2</v>
      </c>
    </row>
    <row r="120" spans="1:7">
      <c r="G120">
        <v>2</v>
      </c>
    </row>
    <row r="121" spans="1:7">
      <c r="A121" t="s">
        <v>7248</v>
      </c>
      <c r="G121">
        <v>2</v>
      </c>
    </row>
    <row r="122" spans="1:7">
      <c r="A122" t="s">
        <v>7259</v>
      </c>
      <c r="G122">
        <v>2</v>
      </c>
    </row>
    <row r="123" spans="1:7">
      <c r="A123" t="s">
        <v>7271</v>
      </c>
      <c r="G123">
        <v>2</v>
      </c>
    </row>
    <row r="124" spans="1:7">
      <c r="A124" s="32" t="s">
        <v>7283</v>
      </c>
      <c r="G124">
        <v>2</v>
      </c>
    </row>
    <row r="125" spans="1:7">
      <c r="G125">
        <v>2</v>
      </c>
    </row>
    <row r="126" spans="1:7">
      <c r="A126" t="s">
        <v>7249</v>
      </c>
      <c r="G126">
        <v>2</v>
      </c>
    </row>
    <row r="127" spans="1:7">
      <c r="A127" t="s">
        <v>7260</v>
      </c>
      <c r="G127">
        <v>2</v>
      </c>
    </row>
    <row r="128" spans="1:7">
      <c r="A128" s="32" t="s">
        <v>7272</v>
      </c>
      <c r="G128">
        <v>2</v>
      </c>
    </row>
    <row r="129" spans="1:7">
      <c r="A129" t="s">
        <v>7284</v>
      </c>
      <c r="G129">
        <v>2</v>
      </c>
    </row>
    <row r="130" spans="1:7">
      <c r="G130">
        <v>2</v>
      </c>
    </row>
    <row r="131" spans="1:7">
      <c r="A131" t="s">
        <v>7250</v>
      </c>
      <c r="G131">
        <v>2</v>
      </c>
    </row>
    <row r="132" spans="1:7">
      <c r="A132" t="s">
        <v>7261</v>
      </c>
      <c r="G132">
        <v>2</v>
      </c>
    </row>
    <row r="133" spans="1:7">
      <c r="A133" s="32" t="s">
        <v>7273</v>
      </c>
      <c r="G133">
        <v>2</v>
      </c>
    </row>
    <row r="134" spans="1:7">
      <c r="A134" t="s">
        <v>7285</v>
      </c>
      <c r="G134">
        <v>2</v>
      </c>
    </row>
    <row r="135" spans="1:7">
      <c r="G135">
        <v>2</v>
      </c>
    </row>
    <row r="136" spans="1:7">
      <c r="A136" t="s">
        <v>7251</v>
      </c>
      <c r="G136">
        <v>2</v>
      </c>
    </row>
    <row r="137" spans="1:7">
      <c r="A137" t="s">
        <v>7262</v>
      </c>
      <c r="G137">
        <v>2</v>
      </c>
    </row>
    <row r="138" spans="1:7">
      <c r="A138" s="32" t="s">
        <v>7274</v>
      </c>
      <c r="G138">
        <v>2</v>
      </c>
    </row>
    <row r="139" spans="1:7">
      <c r="A139" t="s">
        <v>7286</v>
      </c>
      <c r="G139">
        <v>2</v>
      </c>
    </row>
    <row r="140" spans="1:7">
      <c r="G140">
        <v>2</v>
      </c>
    </row>
    <row r="141" spans="1:7">
      <c r="A141" t="s">
        <v>7252</v>
      </c>
      <c r="G141">
        <v>2</v>
      </c>
    </row>
    <row r="142" spans="1:7">
      <c r="A142" t="s">
        <v>7263</v>
      </c>
      <c r="G142">
        <v>2</v>
      </c>
    </row>
    <row r="143" spans="1:7">
      <c r="A143" t="s">
        <v>7275</v>
      </c>
      <c r="G143">
        <v>2</v>
      </c>
    </row>
    <row r="144" spans="1:7">
      <c r="A144" s="32" t="s">
        <v>7287</v>
      </c>
      <c r="G144">
        <v>2</v>
      </c>
    </row>
    <row r="145" spans="1:7">
      <c r="G145">
        <v>2</v>
      </c>
    </row>
    <row r="146" spans="1:7">
      <c r="A146" t="s">
        <v>7253</v>
      </c>
      <c r="G146">
        <v>2</v>
      </c>
    </row>
    <row r="147" spans="1:7">
      <c r="A147" t="s">
        <v>7264</v>
      </c>
      <c r="G147">
        <v>2</v>
      </c>
    </row>
    <row r="148" spans="1:7">
      <c r="A148" t="s">
        <v>7276</v>
      </c>
      <c r="G148">
        <v>2</v>
      </c>
    </row>
    <row r="149" spans="1:7">
      <c r="A149" s="32" t="s">
        <v>7288</v>
      </c>
      <c r="G149">
        <v>2</v>
      </c>
    </row>
    <row r="150" spans="1:7">
      <c r="G150">
        <v>2</v>
      </c>
    </row>
    <row r="151" spans="1:7">
      <c r="A151" t="s">
        <v>7254</v>
      </c>
      <c r="G151">
        <v>2</v>
      </c>
    </row>
    <row r="152" spans="1:7">
      <c r="A152" t="s">
        <v>7265</v>
      </c>
      <c r="G152">
        <v>2</v>
      </c>
    </row>
    <row r="153" spans="1:7">
      <c r="A153" s="32" t="s">
        <v>7277</v>
      </c>
      <c r="G153">
        <v>2</v>
      </c>
    </row>
    <row r="154" spans="1:7">
      <c r="A154" t="s">
        <v>7289</v>
      </c>
      <c r="G154">
        <v>2</v>
      </c>
    </row>
    <row r="155" spans="1:7">
      <c r="G155">
        <v>2</v>
      </c>
    </row>
    <row r="156" spans="1:7">
      <c r="A156" t="s">
        <v>7255</v>
      </c>
      <c r="G156">
        <v>2</v>
      </c>
    </row>
    <row r="157" spans="1:7">
      <c r="A157" s="32" t="s">
        <v>7266</v>
      </c>
      <c r="G157">
        <v>2</v>
      </c>
    </row>
    <row r="158" spans="1:7">
      <c r="A158" t="s">
        <v>7278</v>
      </c>
      <c r="G158">
        <v>2</v>
      </c>
    </row>
    <row r="159" spans="1:7">
      <c r="A159" t="s">
        <v>7290</v>
      </c>
      <c r="G159">
        <v>2</v>
      </c>
    </row>
    <row r="160" spans="1:7">
      <c r="G160">
        <v>2</v>
      </c>
    </row>
    <row r="161" spans="1:7">
      <c r="A161" t="s">
        <v>7256</v>
      </c>
      <c r="G161">
        <v>2</v>
      </c>
    </row>
    <row r="162" spans="1:7">
      <c r="A162" s="32" t="s">
        <v>7267</v>
      </c>
      <c r="G162">
        <v>2</v>
      </c>
    </row>
    <row r="163" spans="1:7">
      <c r="A163" t="s">
        <v>7279</v>
      </c>
      <c r="G163">
        <v>2</v>
      </c>
    </row>
    <row r="164" spans="1:7">
      <c r="A164" s="33" t="s">
        <v>7291</v>
      </c>
      <c r="G164">
        <v>2</v>
      </c>
    </row>
    <row r="165" spans="1:7">
      <c r="G165">
        <v>2</v>
      </c>
    </row>
    <row r="166" spans="1:7">
      <c r="A166" t="s">
        <v>7337</v>
      </c>
      <c r="G166">
        <v>2</v>
      </c>
    </row>
    <row r="167" spans="1:7">
      <c r="A167" t="s">
        <v>7268</v>
      </c>
      <c r="G167">
        <v>2</v>
      </c>
    </row>
    <row r="168" spans="1:7">
      <c r="A168" s="32" t="s">
        <v>7280</v>
      </c>
      <c r="G168">
        <v>2</v>
      </c>
    </row>
    <row r="169" spans="1:7">
      <c r="A169" t="s">
        <v>7292</v>
      </c>
      <c r="G169">
        <v>2</v>
      </c>
    </row>
    <row r="170" spans="1:7">
      <c r="G170">
        <v>2</v>
      </c>
    </row>
    <row r="171" spans="1:7">
      <c r="A171" t="s">
        <v>7257</v>
      </c>
      <c r="G171">
        <v>2</v>
      </c>
    </row>
    <row r="172" spans="1:7">
      <c r="A172" s="32" t="s">
        <v>7269</v>
      </c>
      <c r="G172">
        <v>2</v>
      </c>
    </row>
    <row r="173" spans="1:7">
      <c r="A173" t="s">
        <v>7281</v>
      </c>
      <c r="G173">
        <v>2</v>
      </c>
    </row>
    <row r="174" spans="1:7">
      <c r="A174" t="s">
        <v>7293</v>
      </c>
      <c r="G174">
        <v>2</v>
      </c>
    </row>
    <row r="175" spans="1:7">
      <c r="G175">
        <v>2</v>
      </c>
    </row>
    <row r="176" spans="1:7">
      <c r="A176" t="s">
        <v>7258</v>
      </c>
      <c r="G176">
        <v>2</v>
      </c>
    </row>
    <row r="177" spans="1:7">
      <c r="A177" t="s">
        <v>7270</v>
      </c>
      <c r="G177">
        <v>2</v>
      </c>
    </row>
    <row r="178" spans="1:7">
      <c r="A178" t="s">
        <v>7282</v>
      </c>
      <c r="G178">
        <v>2</v>
      </c>
    </row>
    <row r="179" spans="1:7">
      <c r="A179" s="32" t="s">
        <v>7294</v>
      </c>
      <c r="G179">
        <v>2</v>
      </c>
    </row>
    <row r="180" spans="1:7">
      <c r="G180">
        <v>2</v>
      </c>
    </row>
    <row r="181" spans="1:7">
      <c r="G181">
        <v>2</v>
      </c>
    </row>
    <row r="182" spans="1:7">
      <c r="G182">
        <v>2</v>
      </c>
    </row>
    <row r="183" spans="1:7">
      <c r="G183">
        <v>2</v>
      </c>
    </row>
    <row r="184" spans="1:7">
      <c r="G184">
        <v>2</v>
      </c>
    </row>
    <row r="185" spans="1:7">
      <c r="G185">
        <v>2</v>
      </c>
    </row>
    <row r="186" spans="1:7">
      <c r="G186">
        <v>2</v>
      </c>
    </row>
    <row r="187" spans="1:7">
      <c r="G187">
        <v>2</v>
      </c>
    </row>
    <row r="188" spans="1:7">
      <c r="G188">
        <v>2</v>
      </c>
    </row>
    <row r="189" spans="1:7">
      <c r="G189">
        <v>2</v>
      </c>
    </row>
    <row r="190" spans="1:7">
      <c r="G190">
        <v>2</v>
      </c>
    </row>
    <row r="191" spans="1:7">
      <c r="G191">
        <v>2</v>
      </c>
    </row>
    <row r="192" spans="1:7">
      <c r="G192">
        <v>2</v>
      </c>
    </row>
    <row r="193" spans="7:7">
      <c r="G193">
        <v>2</v>
      </c>
    </row>
    <row r="194" spans="7:7">
      <c r="G194">
        <v>2</v>
      </c>
    </row>
    <row r="195" spans="7:7">
      <c r="G195">
        <v>2</v>
      </c>
    </row>
    <row r="196" spans="7:7">
      <c r="G196">
        <v>2</v>
      </c>
    </row>
    <row r="197" spans="7:7">
      <c r="G197">
        <v>2</v>
      </c>
    </row>
    <row r="198" spans="7:7">
      <c r="G198">
        <v>2</v>
      </c>
    </row>
    <row r="199" spans="7:7">
      <c r="G199">
        <v>2</v>
      </c>
    </row>
    <row r="200" spans="7:7">
      <c r="G200">
        <v>2</v>
      </c>
    </row>
    <row r="201" spans="7:7">
      <c r="G201">
        <v>2</v>
      </c>
    </row>
    <row r="202" spans="7:7">
      <c r="G202">
        <v>2</v>
      </c>
    </row>
    <row r="203" spans="7:7">
      <c r="G203">
        <v>2</v>
      </c>
    </row>
    <row r="204" spans="7:7">
      <c r="G204">
        <v>2</v>
      </c>
    </row>
    <row r="205" spans="7:7">
      <c r="G205">
        <v>2</v>
      </c>
    </row>
    <row r="206" spans="7:7">
      <c r="G206">
        <v>2</v>
      </c>
    </row>
    <row r="207" spans="7:7">
      <c r="G207">
        <v>2</v>
      </c>
    </row>
    <row r="208" spans="7:7">
      <c r="G208">
        <v>2</v>
      </c>
    </row>
    <row r="209" spans="7:7">
      <c r="G209">
        <v>2</v>
      </c>
    </row>
    <row r="210" spans="7:7">
      <c r="G210">
        <v>2</v>
      </c>
    </row>
    <row r="211" spans="7:7">
      <c r="G211">
        <v>2</v>
      </c>
    </row>
    <row r="212" spans="7:7">
      <c r="G212">
        <v>2</v>
      </c>
    </row>
    <row r="213" spans="7:7">
      <c r="G213">
        <v>2</v>
      </c>
    </row>
    <row r="214" spans="7:7">
      <c r="G214">
        <v>2</v>
      </c>
    </row>
    <row r="215" spans="7:7">
      <c r="G215">
        <v>2</v>
      </c>
    </row>
    <row r="216" spans="7:7">
      <c r="G216">
        <v>2</v>
      </c>
    </row>
    <row r="217" spans="7:7">
      <c r="G217">
        <v>2</v>
      </c>
    </row>
    <row r="218" spans="7:7">
      <c r="G218">
        <v>2</v>
      </c>
    </row>
    <row r="219" spans="7:7">
      <c r="G219">
        <v>2</v>
      </c>
    </row>
    <row r="220" spans="7:7">
      <c r="G220">
        <v>2</v>
      </c>
    </row>
    <row r="221" spans="7:7">
      <c r="G221">
        <v>2</v>
      </c>
    </row>
    <row r="222" spans="7:7">
      <c r="G222">
        <v>2</v>
      </c>
    </row>
    <row r="223" spans="7:7">
      <c r="G223">
        <v>2</v>
      </c>
    </row>
    <row r="224" spans="7:7">
      <c r="G224">
        <v>2</v>
      </c>
    </row>
    <row r="225" spans="7:7">
      <c r="G225">
        <v>2</v>
      </c>
    </row>
    <row r="226" spans="7:7">
      <c r="G226">
        <v>2</v>
      </c>
    </row>
    <row r="227" spans="7:7">
      <c r="G227">
        <v>2</v>
      </c>
    </row>
    <row r="228" spans="7:7">
      <c r="G228">
        <v>2</v>
      </c>
    </row>
    <row r="229" spans="7:7">
      <c r="G229">
        <v>2</v>
      </c>
    </row>
    <row r="230" spans="7:7">
      <c r="G230">
        <v>2</v>
      </c>
    </row>
    <row r="231" spans="7:7">
      <c r="G231">
        <v>2</v>
      </c>
    </row>
    <row r="232" spans="7:7">
      <c r="G232">
        <v>2</v>
      </c>
    </row>
    <row r="233" spans="7:7">
      <c r="G233">
        <v>2</v>
      </c>
    </row>
    <row r="234" spans="7:7">
      <c r="G234">
        <v>2</v>
      </c>
    </row>
    <row r="235" spans="7:7">
      <c r="G235">
        <v>2</v>
      </c>
    </row>
    <row r="236" spans="7:7">
      <c r="G236">
        <v>2</v>
      </c>
    </row>
    <row r="237" spans="7:7">
      <c r="G237">
        <v>2</v>
      </c>
    </row>
    <row r="238" spans="7:7">
      <c r="G238">
        <v>2</v>
      </c>
    </row>
    <row r="239" spans="7:7">
      <c r="G239">
        <v>2</v>
      </c>
    </row>
    <row r="240" spans="7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59"/>
  <sheetViews>
    <sheetView workbookViewId="0">
      <selection activeCell="C1" sqref="C1:G12"/>
    </sheetView>
  </sheetViews>
  <sheetFormatPr defaultRowHeight="16.5"/>
  <cols>
    <col min="1" max="1" width="84.5" customWidth="1"/>
  </cols>
  <sheetData>
    <row r="1" spans="1:7">
      <c r="A1" t="s">
        <v>10879</v>
      </c>
      <c r="B1" s="32" t="s">
        <v>10903</v>
      </c>
      <c r="C1" t="s">
        <v>10879</v>
      </c>
      <c r="D1" t="s">
        <v>10891</v>
      </c>
      <c r="E1" t="s">
        <v>10903</v>
      </c>
      <c r="F1" t="s">
        <v>10914</v>
      </c>
      <c r="G1">
        <v>1</v>
      </c>
    </row>
    <row r="2" spans="1:7">
      <c r="A2" t="s">
        <v>10891</v>
      </c>
      <c r="C2" t="s">
        <v>10880</v>
      </c>
      <c r="D2" t="s">
        <v>10892</v>
      </c>
      <c r="E2" t="s">
        <v>10904</v>
      </c>
      <c r="F2" t="s">
        <v>10915</v>
      </c>
      <c r="G2">
        <v>0</v>
      </c>
    </row>
    <row r="3" spans="1:7">
      <c r="A3" s="32" t="s">
        <v>10903</v>
      </c>
      <c r="C3" t="s">
        <v>10881</v>
      </c>
      <c r="D3" t="s">
        <v>10893</v>
      </c>
      <c r="E3" t="s">
        <v>10905</v>
      </c>
      <c r="F3" t="s">
        <v>10916</v>
      </c>
      <c r="G3">
        <v>0</v>
      </c>
    </row>
    <row r="4" spans="1:7">
      <c r="A4" t="s">
        <v>10914</v>
      </c>
      <c r="C4" t="s">
        <v>10882</v>
      </c>
      <c r="D4" t="s">
        <v>10894</v>
      </c>
      <c r="E4" t="s">
        <v>10906</v>
      </c>
      <c r="F4" t="s">
        <v>10917</v>
      </c>
      <c r="G4">
        <v>2</v>
      </c>
    </row>
    <row r="5" spans="1:7">
      <c r="C5" t="s">
        <v>10883</v>
      </c>
      <c r="D5" t="s">
        <v>10895</v>
      </c>
      <c r="E5" t="s">
        <v>10907</v>
      </c>
      <c r="F5" t="s">
        <v>10918</v>
      </c>
      <c r="G5">
        <v>0</v>
      </c>
    </row>
    <row r="6" spans="1:7">
      <c r="A6" t="s">
        <v>10880</v>
      </c>
      <c r="C6" t="s">
        <v>10884</v>
      </c>
      <c r="D6" t="s">
        <v>10896</v>
      </c>
      <c r="E6" t="s">
        <v>10908</v>
      </c>
      <c r="F6" t="s">
        <v>10919</v>
      </c>
      <c r="G6">
        <v>0</v>
      </c>
    </row>
    <row r="7" spans="1:7">
      <c r="A7" s="32" t="s">
        <v>10892</v>
      </c>
      <c r="C7" t="s">
        <v>10885</v>
      </c>
      <c r="D7" t="s">
        <v>10897</v>
      </c>
      <c r="E7" t="s">
        <v>10909</v>
      </c>
      <c r="F7" t="s">
        <v>10920</v>
      </c>
      <c r="G7">
        <v>2</v>
      </c>
    </row>
    <row r="8" spans="1:7">
      <c r="A8" t="s">
        <v>10904</v>
      </c>
      <c r="C8" t="s">
        <v>10886</v>
      </c>
      <c r="D8" t="s">
        <v>10898</v>
      </c>
      <c r="E8" t="s">
        <v>6741</v>
      </c>
      <c r="F8" t="s">
        <v>10921</v>
      </c>
      <c r="G8">
        <v>2</v>
      </c>
    </row>
    <row r="9" spans="1:7">
      <c r="A9" t="s">
        <v>10915</v>
      </c>
      <c r="C9" t="s">
        <v>10887</v>
      </c>
      <c r="D9" t="s">
        <v>10899</v>
      </c>
      <c r="E9" t="s">
        <v>10910</v>
      </c>
      <c r="F9" t="s">
        <v>10922</v>
      </c>
      <c r="G9">
        <v>0</v>
      </c>
    </row>
    <row r="10" spans="1:7">
      <c r="C10" t="s">
        <v>10888</v>
      </c>
      <c r="D10" t="s">
        <v>10900</v>
      </c>
      <c r="E10" t="s">
        <v>10911</v>
      </c>
      <c r="F10" t="s">
        <v>10923</v>
      </c>
      <c r="G10">
        <v>1</v>
      </c>
    </row>
    <row r="11" spans="1:7">
      <c r="A11" t="s">
        <v>10881</v>
      </c>
      <c r="C11" t="s">
        <v>10889</v>
      </c>
      <c r="D11" t="s">
        <v>10901</v>
      </c>
      <c r="E11" t="s">
        <v>10912</v>
      </c>
      <c r="F11" t="s">
        <v>10924</v>
      </c>
      <c r="G11">
        <v>0</v>
      </c>
    </row>
    <row r="12" spans="1:7">
      <c r="A12" s="32" t="s">
        <v>10893</v>
      </c>
      <c r="C12" t="s">
        <v>10890</v>
      </c>
      <c r="D12" t="s">
        <v>10902</v>
      </c>
      <c r="E12" t="s">
        <v>10913</v>
      </c>
      <c r="F12" t="s">
        <v>10925</v>
      </c>
      <c r="G12">
        <v>0</v>
      </c>
    </row>
    <row r="13" spans="1:7">
      <c r="A13" t="s">
        <v>10905</v>
      </c>
    </row>
    <row r="14" spans="1:7">
      <c r="A14" t="s">
        <v>10916</v>
      </c>
    </row>
    <row r="16" spans="1:7">
      <c r="A16" t="s">
        <v>10882</v>
      </c>
    </row>
    <row r="17" spans="1:1">
      <c r="A17" t="s">
        <v>10894</v>
      </c>
    </row>
    <row r="18" spans="1:1">
      <c r="A18" t="s">
        <v>10906</v>
      </c>
    </row>
    <row r="19" spans="1:1">
      <c r="A19" s="32" t="s">
        <v>10917</v>
      </c>
    </row>
    <row r="21" spans="1:1">
      <c r="A21" t="s">
        <v>10883</v>
      </c>
    </row>
    <row r="22" spans="1:1">
      <c r="A22" s="32" t="s">
        <v>10895</v>
      </c>
    </row>
    <row r="23" spans="1:1">
      <c r="A23" t="s">
        <v>10907</v>
      </c>
    </row>
    <row r="24" spans="1:1">
      <c r="A24" t="s">
        <v>10918</v>
      </c>
    </row>
    <row r="26" spans="1:1">
      <c r="A26" t="s">
        <v>10884</v>
      </c>
    </row>
    <row r="27" spans="1:1">
      <c r="A27" s="32" t="s">
        <v>10896</v>
      </c>
    </row>
    <row r="28" spans="1:1">
      <c r="A28" t="s">
        <v>10908</v>
      </c>
    </row>
    <row r="29" spans="1:1">
      <c r="A29" t="s">
        <v>10919</v>
      </c>
    </row>
    <row r="31" spans="1:1">
      <c r="A31" t="s">
        <v>10885</v>
      </c>
    </row>
    <row r="32" spans="1:1">
      <c r="A32" t="s">
        <v>10897</v>
      </c>
    </row>
    <row r="33" spans="1:1">
      <c r="A33" t="s">
        <v>10909</v>
      </c>
    </row>
    <row r="34" spans="1:1">
      <c r="A34" s="32" t="s">
        <v>10920</v>
      </c>
    </row>
    <row r="36" spans="1:1">
      <c r="A36" t="s">
        <v>10886</v>
      </c>
    </row>
    <row r="37" spans="1:1">
      <c r="A37" t="s">
        <v>10898</v>
      </c>
    </row>
    <row r="38" spans="1:1">
      <c r="A38" t="s">
        <v>6741</v>
      </c>
    </row>
    <row r="39" spans="1:1">
      <c r="A39" s="32" t="s">
        <v>10921</v>
      </c>
    </row>
    <row r="41" spans="1:1">
      <c r="A41" t="s">
        <v>10887</v>
      </c>
    </row>
    <row r="42" spans="1:1">
      <c r="A42" s="32" t="s">
        <v>10899</v>
      </c>
    </row>
    <row r="43" spans="1:1">
      <c r="A43" t="s">
        <v>10910</v>
      </c>
    </row>
    <row r="44" spans="1:1">
      <c r="A44" t="s">
        <v>10922</v>
      </c>
    </row>
    <row r="46" spans="1:1">
      <c r="A46" t="s">
        <v>10888</v>
      </c>
    </row>
    <row r="47" spans="1:1">
      <c r="A47" t="s">
        <v>10900</v>
      </c>
    </row>
    <row r="48" spans="1:1">
      <c r="A48" s="32" t="s">
        <v>10911</v>
      </c>
    </row>
    <row r="49" spans="1:1">
      <c r="A49" t="s">
        <v>10923</v>
      </c>
    </row>
    <row r="51" spans="1:1">
      <c r="A51" t="s">
        <v>10889</v>
      </c>
    </row>
    <row r="52" spans="1:1">
      <c r="A52" s="32" t="s">
        <v>10901</v>
      </c>
    </row>
    <row r="53" spans="1:1">
      <c r="A53" t="s">
        <v>10912</v>
      </c>
    </row>
    <row r="54" spans="1:1">
      <c r="A54" t="s">
        <v>10924</v>
      </c>
    </row>
    <row r="56" spans="1:1">
      <c r="A56" t="s">
        <v>10890</v>
      </c>
    </row>
    <row r="57" spans="1:1">
      <c r="A57" s="32" t="s">
        <v>10902</v>
      </c>
    </row>
    <row r="58" spans="1:1">
      <c r="A58" t="s">
        <v>10913</v>
      </c>
    </row>
    <row r="59" spans="1:1">
      <c r="A59" t="s">
        <v>10925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59"/>
  <sheetViews>
    <sheetView workbookViewId="0">
      <selection activeCell="G12" sqref="G12"/>
    </sheetView>
  </sheetViews>
  <sheetFormatPr defaultRowHeight="16.5"/>
  <cols>
    <col min="1" max="1" width="86.875" customWidth="1"/>
  </cols>
  <sheetData>
    <row r="1" spans="1:7">
      <c r="A1" t="s">
        <v>10966</v>
      </c>
      <c r="B1" s="32" t="s">
        <v>10990</v>
      </c>
      <c r="C1" t="s">
        <v>10966</v>
      </c>
      <c r="D1" t="s">
        <v>10978</v>
      </c>
      <c r="E1" t="s">
        <v>10990</v>
      </c>
      <c r="F1" t="s">
        <v>11001</v>
      </c>
      <c r="G1">
        <v>1</v>
      </c>
    </row>
    <row r="2" spans="1:7">
      <c r="A2" t="s">
        <v>10978</v>
      </c>
      <c r="C2" t="s">
        <v>10967</v>
      </c>
      <c r="D2" t="s">
        <v>10979</v>
      </c>
      <c r="E2" t="s">
        <v>10991</v>
      </c>
      <c r="F2" t="s">
        <v>11002</v>
      </c>
      <c r="G2">
        <v>2</v>
      </c>
    </row>
    <row r="3" spans="1:7">
      <c r="A3" s="32" t="s">
        <v>10990</v>
      </c>
      <c r="C3" t="s">
        <v>10968</v>
      </c>
      <c r="D3" t="s">
        <v>10980</v>
      </c>
      <c r="E3" t="s">
        <v>10992</v>
      </c>
      <c r="F3" t="s">
        <v>11003</v>
      </c>
      <c r="G3">
        <v>1</v>
      </c>
    </row>
    <row r="4" spans="1:7">
      <c r="A4" t="s">
        <v>11001</v>
      </c>
      <c r="C4" t="s">
        <v>10969</v>
      </c>
      <c r="D4" t="s">
        <v>10981</v>
      </c>
      <c r="E4" t="s">
        <v>10993</v>
      </c>
      <c r="F4" t="s">
        <v>11004</v>
      </c>
      <c r="G4">
        <v>2</v>
      </c>
    </row>
    <row r="5" spans="1:7">
      <c r="C5" t="s">
        <v>10970</v>
      </c>
      <c r="D5" t="s">
        <v>10982</v>
      </c>
      <c r="E5" t="s">
        <v>10994</v>
      </c>
      <c r="F5" t="s">
        <v>11005</v>
      </c>
      <c r="G5">
        <v>0</v>
      </c>
    </row>
    <row r="6" spans="1:7">
      <c r="A6" t="s">
        <v>10967</v>
      </c>
      <c r="C6" t="s">
        <v>10971</v>
      </c>
      <c r="D6" t="s">
        <v>10983</v>
      </c>
      <c r="E6" t="s">
        <v>10995</v>
      </c>
      <c r="F6" t="s">
        <v>11006</v>
      </c>
      <c r="G6">
        <v>0</v>
      </c>
    </row>
    <row r="7" spans="1:7">
      <c r="A7" t="s">
        <v>10979</v>
      </c>
      <c r="C7" t="s">
        <v>10972</v>
      </c>
      <c r="D7" t="s">
        <v>10984</v>
      </c>
      <c r="E7" t="s">
        <v>11013</v>
      </c>
      <c r="F7" t="s">
        <v>11007</v>
      </c>
      <c r="G7">
        <v>1</v>
      </c>
    </row>
    <row r="8" spans="1:7">
      <c r="A8" t="s">
        <v>10991</v>
      </c>
      <c r="C8" t="s">
        <v>10973</v>
      </c>
      <c r="D8" t="s">
        <v>10985</v>
      </c>
      <c r="E8" t="s">
        <v>10996</v>
      </c>
      <c r="F8" t="s">
        <v>11008</v>
      </c>
      <c r="G8">
        <v>0</v>
      </c>
    </row>
    <row r="9" spans="1:7">
      <c r="A9" s="32" t="s">
        <v>11002</v>
      </c>
      <c r="C9" t="s">
        <v>10974</v>
      </c>
      <c r="D9" t="s">
        <v>10986</v>
      </c>
      <c r="E9" t="s">
        <v>10997</v>
      </c>
      <c r="F9" t="s">
        <v>11009</v>
      </c>
      <c r="G9">
        <v>0</v>
      </c>
    </row>
    <row r="10" spans="1:7">
      <c r="C10" t="s">
        <v>10975</v>
      </c>
      <c r="D10" t="s">
        <v>10987</v>
      </c>
      <c r="E10" t="s">
        <v>10998</v>
      </c>
      <c r="F10" t="s">
        <v>11010</v>
      </c>
      <c r="G10">
        <v>0</v>
      </c>
    </row>
    <row r="11" spans="1:7">
      <c r="A11" t="s">
        <v>10968</v>
      </c>
      <c r="C11" t="s">
        <v>10976</v>
      </c>
      <c r="D11" t="s">
        <v>10988</v>
      </c>
      <c r="E11" t="s">
        <v>10999</v>
      </c>
      <c r="F11" t="s">
        <v>11011</v>
      </c>
      <c r="G11">
        <v>0</v>
      </c>
    </row>
    <row r="12" spans="1:7">
      <c r="A12" t="s">
        <v>10980</v>
      </c>
      <c r="C12" t="s">
        <v>10977</v>
      </c>
      <c r="D12" t="s">
        <v>10989</v>
      </c>
      <c r="E12" t="s">
        <v>11000</v>
      </c>
      <c r="F12" t="s">
        <v>11012</v>
      </c>
      <c r="G12">
        <v>2</v>
      </c>
    </row>
    <row r="13" spans="1:7">
      <c r="A13" s="32" t="s">
        <v>10992</v>
      </c>
    </row>
    <row r="14" spans="1:7">
      <c r="A14" t="s">
        <v>11003</v>
      </c>
    </row>
    <row r="16" spans="1:7">
      <c r="A16" t="s">
        <v>10969</v>
      </c>
    </row>
    <row r="17" spans="1:1">
      <c r="A17" t="s">
        <v>10981</v>
      </c>
    </row>
    <row r="18" spans="1:1">
      <c r="A18" t="s">
        <v>10993</v>
      </c>
    </row>
    <row r="19" spans="1:1">
      <c r="A19" s="32" t="s">
        <v>11004</v>
      </c>
    </row>
    <row r="21" spans="1:1">
      <c r="A21" t="s">
        <v>10970</v>
      </c>
    </row>
    <row r="22" spans="1:1">
      <c r="A22" s="32" t="s">
        <v>10982</v>
      </c>
    </row>
    <row r="23" spans="1:1">
      <c r="A23" t="s">
        <v>10994</v>
      </c>
    </row>
    <row r="24" spans="1:1">
      <c r="A24" t="s">
        <v>11005</v>
      </c>
    </row>
    <row r="26" spans="1:1">
      <c r="A26" t="s">
        <v>10971</v>
      </c>
    </row>
    <row r="27" spans="1:1">
      <c r="A27" s="32" t="s">
        <v>10983</v>
      </c>
    </row>
    <row r="28" spans="1:1">
      <c r="A28" t="s">
        <v>10995</v>
      </c>
    </row>
    <row r="29" spans="1:1">
      <c r="A29" t="s">
        <v>11006</v>
      </c>
    </row>
    <row r="31" spans="1:1">
      <c r="A31" t="s">
        <v>10972</v>
      </c>
    </row>
    <row r="32" spans="1:1">
      <c r="A32" t="s">
        <v>10984</v>
      </c>
    </row>
    <row r="33" spans="1:1">
      <c r="A33" s="32" t="s">
        <v>10965</v>
      </c>
    </row>
    <row r="34" spans="1:1">
      <c r="A34" t="s">
        <v>11007</v>
      </c>
    </row>
    <row r="36" spans="1:1">
      <c r="A36" t="s">
        <v>10973</v>
      </c>
    </row>
    <row r="37" spans="1:1">
      <c r="A37" s="32" t="s">
        <v>10985</v>
      </c>
    </row>
    <row r="38" spans="1:1">
      <c r="A38" t="s">
        <v>10996</v>
      </c>
    </row>
    <row r="39" spans="1:1">
      <c r="A39" t="s">
        <v>11008</v>
      </c>
    </row>
    <row r="41" spans="1:1">
      <c r="A41" t="s">
        <v>10974</v>
      </c>
    </row>
    <row r="42" spans="1:1">
      <c r="A42" s="32" t="s">
        <v>10986</v>
      </c>
    </row>
    <row r="43" spans="1:1">
      <c r="A43" t="s">
        <v>10997</v>
      </c>
    </row>
    <row r="44" spans="1:1">
      <c r="A44" t="s">
        <v>11009</v>
      </c>
    </row>
    <row r="46" spans="1:1">
      <c r="A46" t="s">
        <v>10975</v>
      </c>
    </row>
    <row r="47" spans="1:1">
      <c r="A47" s="32" t="s">
        <v>10987</v>
      </c>
    </row>
    <row r="48" spans="1:1">
      <c r="A48" t="s">
        <v>10998</v>
      </c>
    </row>
    <row r="49" spans="1:1">
      <c r="A49" t="s">
        <v>11010</v>
      </c>
    </row>
    <row r="51" spans="1:1">
      <c r="A51" t="s">
        <v>10976</v>
      </c>
    </row>
    <row r="52" spans="1:1">
      <c r="A52" s="32" t="s">
        <v>10988</v>
      </c>
    </row>
    <row r="53" spans="1:1">
      <c r="A53" t="s">
        <v>10999</v>
      </c>
    </row>
    <row r="54" spans="1:1">
      <c r="A54" t="s">
        <v>11011</v>
      </c>
    </row>
    <row r="56" spans="1:1">
      <c r="A56" t="s">
        <v>10977</v>
      </c>
    </row>
    <row r="57" spans="1:1">
      <c r="A57" t="s">
        <v>10989</v>
      </c>
    </row>
    <row r="58" spans="1:1">
      <c r="A58" t="s">
        <v>11000</v>
      </c>
    </row>
    <row r="59" spans="1:1">
      <c r="A59" s="32" t="s">
        <v>11012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501"/>
  <sheetViews>
    <sheetView workbookViewId="0">
      <selection activeCell="C48" sqref="C1:G48"/>
    </sheetView>
  </sheetViews>
  <sheetFormatPr defaultRowHeight="16.5"/>
  <cols>
    <col min="1" max="1" width="90" customWidth="1"/>
  </cols>
  <sheetData>
    <row r="1" spans="1:7">
      <c r="A1" s="36" t="s">
        <v>10646</v>
      </c>
      <c r="B1" s="37" t="s">
        <v>551</v>
      </c>
      <c r="C1" t="s">
        <v>10691</v>
      </c>
      <c r="D1" t="s">
        <v>10692</v>
      </c>
      <c r="E1" t="s">
        <v>10693</v>
      </c>
      <c r="F1" t="s">
        <v>10694</v>
      </c>
      <c r="G1">
        <v>1</v>
      </c>
    </row>
    <row r="2" spans="1:7">
      <c r="A2" s="36" t="s">
        <v>988</v>
      </c>
      <c r="C2" t="s">
        <v>10695</v>
      </c>
      <c r="D2" t="s">
        <v>10696</v>
      </c>
      <c r="E2" t="s">
        <v>10697</v>
      </c>
      <c r="F2" t="s">
        <v>10698</v>
      </c>
      <c r="G2">
        <v>0</v>
      </c>
    </row>
    <row r="3" spans="1:7">
      <c r="A3" s="37" t="s">
        <v>551</v>
      </c>
      <c r="C3" t="s">
        <v>10699</v>
      </c>
      <c r="D3" t="s">
        <v>10700</v>
      </c>
      <c r="E3" t="s">
        <v>10701</v>
      </c>
      <c r="F3" t="s">
        <v>10702</v>
      </c>
      <c r="G3">
        <v>2</v>
      </c>
    </row>
    <row r="4" spans="1:7">
      <c r="A4" s="36" t="s">
        <v>10515</v>
      </c>
      <c r="C4" t="s">
        <v>10703</v>
      </c>
      <c r="D4" t="s">
        <v>10704</v>
      </c>
      <c r="E4" t="s">
        <v>10705</v>
      </c>
      <c r="F4" t="s">
        <v>10496</v>
      </c>
      <c r="G4">
        <v>0</v>
      </c>
    </row>
    <row r="5" spans="1:7">
      <c r="A5" s="36" t="s">
        <v>9309</v>
      </c>
      <c r="C5" t="s">
        <v>10706</v>
      </c>
      <c r="D5" t="s">
        <v>10707</v>
      </c>
      <c r="E5" t="s">
        <v>10708</v>
      </c>
      <c r="F5" t="s">
        <v>10709</v>
      </c>
      <c r="G5">
        <v>2</v>
      </c>
    </row>
    <row r="6" spans="1:7">
      <c r="A6" s="36" t="s">
        <v>10650</v>
      </c>
      <c r="C6" t="s">
        <v>10710</v>
      </c>
      <c r="D6" t="s">
        <v>10711</v>
      </c>
      <c r="E6" t="s">
        <v>10712</v>
      </c>
      <c r="F6" t="s">
        <v>10713</v>
      </c>
      <c r="G6">
        <v>2</v>
      </c>
    </row>
    <row r="7" spans="1:7">
      <c r="A7" s="37" t="s">
        <v>10516</v>
      </c>
      <c r="C7" t="s">
        <v>10714</v>
      </c>
      <c r="D7" t="s">
        <v>10715</v>
      </c>
      <c r="E7" t="s">
        <v>10716</v>
      </c>
      <c r="F7" t="s">
        <v>10717</v>
      </c>
      <c r="G7">
        <v>0</v>
      </c>
    </row>
    <row r="8" spans="1:7">
      <c r="A8" s="36" t="s">
        <v>10517</v>
      </c>
      <c r="C8" t="s">
        <v>10718</v>
      </c>
      <c r="D8" t="s">
        <v>10719</v>
      </c>
      <c r="E8" t="s">
        <v>10720</v>
      </c>
      <c r="F8" t="s">
        <v>10721</v>
      </c>
      <c r="G8">
        <v>2</v>
      </c>
    </row>
    <row r="9" spans="1:7">
      <c r="A9" s="36" t="s">
        <v>10518</v>
      </c>
      <c r="C9" t="s">
        <v>10722</v>
      </c>
      <c r="D9" t="s">
        <v>10723</v>
      </c>
      <c r="E9" t="s">
        <v>10724</v>
      </c>
      <c r="F9" t="s">
        <v>10725</v>
      </c>
      <c r="G9">
        <v>1</v>
      </c>
    </row>
    <row r="10" spans="1:7">
      <c r="A10" s="36" t="s">
        <v>9309</v>
      </c>
      <c r="C10" t="s">
        <v>10726</v>
      </c>
      <c r="D10" t="s">
        <v>10727</v>
      </c>
      <c r="E10" t="s">
        <v>10728</v>
      </c>
      <c r="F10" t="s">
        <v>10729</v>
      </c>
      <c r="G10">
        <v>2</v>
      </c>
    </row>
    <row r="11" spans="1:7">
      <c r="A11" s="36" t="s">
        <v>10654</v>
      </c>
      <c r="C11" t="s">
        <v>10730</v>
      </c>
      <c r="D11" t="s">
        <v>10731</v>
      </c>
      <c r="E11" t="s">
        <v>10732</v>
      </c>
      <c r="F11" t="s">
        <v>10733</v>
      </c>
      <c r="G11">
        <v>2</v>
      </c>
    </row>
    <row r="12" spans="1:7">
      <c r="A12" s="36" t="s">
        <v>10519</v>
      </c>
      <c r="C12" t="s">
        <v>10734</v>
      </c>
      <c r="D12" t="s">
        <v>10735</v>
      </c>
      <c r="E12" t="s">
        <v>10736</v>
      </c>
      <c r="F12" t="s">
        <v>10737</v>
      </c>
      <c r="G12">
        <v>0</v>
      </c>
    </row>
    <row r="13" spans="1:7">
      <c r="A13" s="36" t="s">
        <v>10520</v>
      </c>
      <c r="C13" t="s">
        <v>10738</v>
      </c>
      <c r="D13" t="s">
        <v>10739</v>
      </c>
      <c r="E13" t="s">
        <v>10740</v>
      </c>
      <c r="F13" t="s">
        <v>10741</v>
      </c>
      <c r="G13">
        <v>1</v>
      </c>
    </row>
    <row r="14" spans="1:7">
      <c r="A14" s="37" t="s">
        <v>10521</v>
      </c>
      <c r="C14" t="s">
        <v>10742</v>
      </c>
      <c r="D14" t="s">
        <v>10743</v>
      </c>
      <c r="E14" t="s">
        <v>10744</v>
      </c>
      <c r="F14" t="s">
        <v>10745</v>
      </c>
      <c r="G14">
        <v>1</v>
      </c>
    </row>
    <row r="15" spans="1:7">
      <c r="A15" s="36" t="s">
        <v>9309</v>
      </c>
      <c r="C15" t="s">
        <v>10746</v>
      </c>
      <c r="D15" t="s">
        <v>10747</v>
      </c>
      <c r="E15" t="s">
        <v>10748</v>
      </c>
      <c r="F15" t="s">
        <v>10749</v>
      </c>
      <c r="G15">
        <v>1</v>
      </c>
    </row>
    <row r="16" spans="1:7">
      <c r="A16" s="36" t="s">
        <v>10658</v>
      </c>
      <c r="C16" t="s">
        <v>10750</v>
      </c>
      <c r="D16" t="s">
        <v>10751</v>
      </c>
      <c r="E16" t="s">
        <v>10752</v>
      </c>
      <c r="F16" t="s">
        <v>10753</v>
      </c>
      <c r="G16">
        <v>2</v>
      </c>
    </row>
    <row r="17" spans="1:7">
      <c r="A17" s="37" t="s">
        <v>10522</v>
      </c>
      <c r="C17" t="s">
        <v>10754</v>
      </c>
      <c r="D17" t="s">
        <v>10755</v>
      </c>
      <c r="E17" t="s">
        <v>10756</v>
      </c>
      <c r="F17" t="s">
        <v>10757</v>
      </c>
      <c r="G17">
        <v>2</v>
      </c>
    </row>
    <row r="18" spans="1:7">
      <c r="A18" s="36" t="s">
        <v>10523</v>
      </c>
      <c r="C18" t="s">
        <v>10758</v>
      </c>
      <c r="D18" t="s">
        <v>10759</v>
      </c>
      <c r="E18" t="s">
        <v>10760</v>
      </c>
      <c r="F18" t="s">
        <v>10761</v>
      </c>
      <c r="G18">
        <v>0</v>
      </c>
    </row>
    <row r="19" spans="1:7">
      <c r="A19" s="36" t="s">
        <v>2362</v>
      </c>
      <c r="C19" t="s">
        <v>10762</v>
      </c>
      <c r="D19" t="s">
        <v>10763</v>
      </c>
      <c r="E19" t="s">
        <v>10764</v>
      </c>
      <c r="F19" t="s">
        <v>10765</v>
      </c>
      <c r="G19">
        <v>0</v>
      </c>
    </row>
    <row r="20" spans="1:7">
      <c r="A20" s="36" t="s">
        <v>9309</v>
      </c>
      <c r="C20" t="s">
        <v>10766</v>
      </c>
      <c r="D20" t="s">
        <v>10767</v>
      </c>
      <c r="E20" t="s">
        <v>10768</v>
      </c>
      <c r="F20" t="s">
        <v>10769</v>
      </c>
      <c r="G20">
        <v>0</v>
      </c>
    </row>
    <row r="21" spans="1:7">
      <c r="A21" s="36" t="s">
        <v>10661</v>
      </c>
      <c r="C21" t="s">
        <v>10770</v>
      </c>
      <c r="D21" t="s">
        <v>10771</v>
      </c>
      <c r="E21" t="s">
        <v>10772</v>
      </c>
      <c r="F21" t="s">
        <v>10773</v>
      </c>
      <c r="G21">
        <v>0</v>
      </c>
    </row>
    <row r="22" spans="1:7">
      <c r="A22" s="36" t="s">
        <v>10524</v>
      </c>
      <c r="C22" t="s">
        <v>10774</v>
      </c>
      <c r="D22" t="s">
        <v>10775</v>
      </c>
      <c r="E22" t="s">
        <v>10776</v>
      </c>
      <c r="F22" t="s">
        <v>10777</v>
      </c>
      <c r="G22">
        <v>1</v>
      </c>
    </row>
    <row r="23" spans="1:7">
      <c r="A23" s="36" t="s">
        <v>10525</v>
      </c>
      <c r="C23" t="s">
        <v>10778</v>
      </c>
      <c r="D23" t="s">
        <v>10779</v>
      </c>
      <c r="E23" t="s">
        <v>10780</v>
      </c>
      <c r="F23" t="s">
        <v>10781</v>
      </c>
      <c r="G23">
        <v>1</v>
      </c>
    </row>
    <row r="24" spans="1:7">
      <c r="A24" s="37" t="s">
        <v>10526</v>
      </c>
      <c r="C24" t="s">
        <v>10782</v>
      </c>
      <c r="D24" t="s">
        <v>10783</v>
      </c>
      <c r="E24" t="s">
        <v>10784</v>
      </c>
      <c r="F24" t="s">
        <v>10785</v>
      </c>
      <c r="G24">
        <v>1</v>
      </c>
    </row>
    <row r="25" spans="1:7">
      <c r="A25" s="36" t="s">
        <v>9309</v>
      </c>
      <c r="C25" t="s">
        <v>10786</v>
      </c>
      <c r="D25" t="s">
        <v>10787</v>
      </c>
      <c r="E25" t="s">
        <v>10788</v>
      </c>
      <c r="F25" t="s">
        <v>9998</v>
      </c>
      <c r="G25">
        <v>0</v>
      </c>
    </row>
    <row r="26" spans="1:7">
      <c r="A26" s="36" t="s">
        <v>10665</v>
      </c>
      <c r="C26" t="s">
        <v>10789</v>
      </c>
      <c r="D26" t="s">
        <v>10790</v>
      </c>
      <c r="E26" t="s">
        <v>10791</v>
      </c>
      <c r="F26" t="s">
        <v>10792</v>
      </c>
      <c r="G26">
        <v>0</v>
      </c>
    </row>
    <row r="27" spans="1:7">
      <c r="A27" s="36" t="s">
        <v>10527</v>
      </c>
      <c r="C27" t="s">
        <v>10793</v>
      </c>
      <c r="D27" t="s">
        <v>10794</v>
      </c>
      <c r="E27" t="s">
        <v>10795</v>
      </c>
      <c r="F27" t="s">
        <v>10796</v>
      </c>
      <c r="G27">
        <v>2</v>
      </c>
    </row>
    <row r="28" spans="1:7">
      <c r="A28" s="36" t="s">
        <v>10528</v>
      </c>
      <c r="C28" t="s">
        <v>10797</v>
      </c>
      <c r="D28" t="s">
        <v>10038</v>
      </c>
      <c r="E28" t="s">
        <v>10798</v>
      </c>
      <c r="F28" t="s">
        <v>10799</v>
      </c>
      <c r="G28">
        <v>1</v>
      </c>
    </row>
    <row r="29" spans="1:7">
      <c r="A29" s="37" t="s">
        <v>10529</v>
      </c>
      <c r="C29" t="s">
        <v>10800</v>
      </c>
      <c r="D29" t="s">
        <v>10801</v>
      </c>
      <c r="E29" t="s">
        <v>10802</v>
      </c>
      <c r="F29" t="s">
        <v>10803</v>
      </c>
      <c r="G29">
        <v>1</v>
      </c>
    </row>
    <row r="30" spans="1:7">
      <c r="A30" s="36" t="s">
        <v>9309</v>
      </c>
      <c r="C30" t="s">
        <v>10804</v>
      </c>
      <c r="D30" t="s">
        <v>10805</v>
      </c>
      <c r="E30" t="s">
        <v>10806</v>
      </c>
      <c r="F30" t="s">
        <v>10807</v>
      </c>
      <c r="G30">
        <v>1</v>
      </c>
    </row>
    <row r="31" spans="1:7">
      <c r="A31" s="36" t="s">
        <v>10668</v>
      </c>
      <c r="C31" t="s">
        <v>10808</v>
      </c>
      <c r="D31" t="s">
        <v>10809</v>
      </c>
      <c r="E31" t="s">
        <v>10810</v>
      </c>
      <c r="F31" t="s">
        <v>10811</v>
      </c>
      <c r="G31">
        <v>2</v>
      </c>
    </row>
    <row r="32" spans="1:7">
      <c r="A32" s="37" t="s">
        <v>10530</v>
      </c>
      <c r="C32" t="s">
        <v>10812</v>
      </c>
      <c r="D32" t="s">
        <v>10813</v>
      </c>
      <c r="E32" t="s">
        <v>10814</v>
      </c>
      <c r="F32" t="s">
        <v>10815</v>
      </c>
      <c r="G32">
        <v>1</v>
      </c>
    </row>
    <row r="33" spans="1:7">
      <c r="A33" s="36" t="s">
        <v>10531</v>
      </c>
      <c r="C33" t="s">
        <v>10816</v>
      </c>
      <c r="D33" t="s">
        <v>10817</v>
      </c>
      <c r="E33" t="s">
        <v>10818</v>
      </c>
      <c r="F33" t="s">
        <v>10819</v>
      </c>
      <c r="G33">
        <v>1</v>
      </c>
    </row>
    <row r="34" spans="1:7">
      <c r="A34" s="36" t="s">
        <v>10532</v>
      </c>
      <c r="C34" t="s">
        <v>10820</v>
      </c>
      <c r="D34" t="s">
        <v>10821</v>
      </c>
      <c r="E34" t="s">
        <v>10822</v>
      </c>
      <c r="F34" t="s">
        <v>10823</v>
      </c>
      <c r="G34">
        <v>0</v>
      </c>
    </row>
    <row r="35" spans="1:7">
      <c r="A35" s="36" t="s">
        <v>9309</v>
      </c>
      <c r="C35" t="s">
        <v>10824</v>
      </c>
      <c r="D35" t="s">
        <v>10825</v>
      </c>
      <c r="E35" t="s">
        <v>10826</v>
      </c>
      <c r="F35" t="s">
        <v>10827</v>
      </c>
      <c r="G35">
        <v>2</v>
      </c>
    </row>
    <row r="36" spans="1:7">
      <c r="A36" s="36" t="s">
        <v>10672</v>
      </c>
      <c r="C36" t="s">
        <v>10828</v>
      </c>
      <c r="D36" t="s">
        <v>10829</v>
      </c>
      <c r="E36" t="s">
        <v>10830</v>
      </c>
      <c r="F36" t="s">
        <v>10831</v>
      </c>
      <c r="G36">
        <v>1</v>
      </c>
    </row>
    <row r="37" spans="1:7">
      <c r="A37" s="36" t="s">
        <v>10533</v>
      </c>
      <c r="C37" t="s">
        <v>10832</v>
      </c>
      <c r="D37" t="s">
        <v>10833</v>
      </c>
      <c r="E37" t="s">
        <v>10834</v>
      </c>
      <c r="F37" t="s">
        <v>10835</v>
      </c>
      <c r="G37">
        <v>2</v>
      </c>
    </row>
    <row r="38" spans="1:7">
      <c r="A38" s="36" t="s">
        <v>10534</v>
      </c>
      <c r="C38" t="s">
        <v>10836</v>
      </c>
      <c r="D38" t="s">
        <v>10837</v>
      </c>
      <c r="E38" t="s">
        <v>10838</v>
      </c>
      <c r="F38" t="s">
        <v>10839</v>
      </c>
      <c r="G38">
        <v>0</v>
      </c>
    </row>
    <row r="39" spans="1:7">
      <c r="A39" s="36" t="s">
        <v>10535</v>
      </c>
      <c r="C39" t="s">
        <v>10840</v>
      </c>
      <c r="D39" t="s">
        <v>10841</v>
      </c>
      <c r="E39" t="s">
        <v>10842</v>
      </c>
      <c r="F39" t="s">
        <v>10843</v>
      </c>
      <c r="G39">
        <v>2</v>
      </c>
    </row>
    <row r="40" spans="1:7">
      <c r="A40" s="36" t="s">
        <v>9309</v>
      </c>
      <c r="C40" t="s">
        <v>10844</v>
      </c>
      <c r="D40" t="s">
        <v>10845</v>
      </c>
      <c r="E40" t="s">
        <v>10001</v>
      </c>
      <c r="F40" t="s">
        <v>10846</v>
      </c>
      <c r="G40">
        <v>2</v>
      </c>
    </row>
    <row r="41" spans="1:7">
      <c r="A41" s="36" t="s">
        <v>10676</v>
      </c>
      <c r="C41" t="s">
        <v>10847</v>
      </c>
      <c r="D41" t="s">
        <v>10848</v>
      </c>
      <c r="E41" t="s">
        <v>10849</v>
      </c>
      <c r="F41" t="s">
        <v>10850</v>
      </c>
      <c r="G41">
        <v>0</v>
      </c>
    </row>
    <row r="42" spans="1:7">
      <c r="A42" s="36" t="s">
        <v>10536</v>
      </c>
      <c r="C42" t="s">
        <v>10851</v>
      </c>
      <c r="D42" t="s">
        <v>10852</v>
      </c>
      <c r="E42" t="s">
        <v>10853</v>
      </c>
      <c r="F42" t="s">
        <v>10854</v>
      </c>
      <c r="G42">
        <v>1</v>
      </c>
    </row>
    <row r="43" spans="1:7">
      <c r="A43" s="37" t="s">
        <v>10537</v>
      </c>
      <c r="C43" t="s">
        <v>10855</v>
      </c>
      <c r="D43" t="s">
        <v>10856</v>
      </c>
      <c r="E43" t="s">
        <v>10857</v>
      </c>
      <c r="F43" t="s">
        <v>10858</v>
      </c>
      <c r="G43">
        <v>1</v>
      </c>
    </row>
    <row r="44" spans="1:7">
      <c r="A44" s="36" t="s">
        <v>4513</v>
      </c>
      <c r="C44" t="s">
        <v>10859</v>
      </c>
      <c r="D44" t="s">
        <v>10860</v>
      </c>
      <c r="E44" t="s">
        <v>10861</v>
      </c>
      <c r="F44" t="s">
        <v>10862</v>
      </c>
      <c r="G44">
        <v>2</v>
      </c>
    </row>
    <row r="45" spans="1:7">
      <c r="A45" s="36" t="s">
        <v>9309</v>
      </c>
      <c r="C45" t="s">
        <v>10863</v>
      </c>
      <c r="D45" t="s">
        <v>10864</v>
      </c>
      <c r="E45" t="s">
        <v>10865</v>
      </c>
      <c r="F45" t="s">
        <v>10866</v>
      </c>
      <c r="G45">
        <v>2</v>
      </c>
    </row>
    <row r="46" spans="1:7">
      <c r="A46" s="36" t="s">
        <v>10680</v>
      </c>
      <c r="C46" t="s">
        <v>10867</v>
      </c>
      <c r="D46" t="s">
        <v>10868</v>
      </c>
      <c r="E46" t="s">
        <v>10869</v>
      </c>
      <c r="F46" t="s">
        <v>10870</v>
      </c>
      <c r="G46">
        <v>1</v>
      </c>
    </row>
    <row r="47" spans="1:7">
      <c r="A47" s="36" t="s">
        <v>10538</v>
      </c>
      <c r="C47" t="s">
        <v>10871</v>
      </c>
      <c r="D47" t="s">
        <v>10872</v>
      </c>
      <c r="E47" t="s">
        <v>10873</v>
      </c>
      <c r="F47" t="s">
        <v>10874</v>
      </c>
      <c r="G47">
        <v>2</v>
      </c>
    </row>
    <row r="48" spans="1:7">
      <c r="A48" s="36" t="s">
        <v>10539</v>
      </c>
      <c r="C48" t="s">
        <v>10875</v>
      </c>
      <c r="D48" t="s">
        <v>10876</v>
      </c>
      <c r="E48" t="s">
        <v>10877</v>
      </c>
      <c r="F48" t="s">
        <v>10878</v>
      </c>
      <c r="G48">
        <v>0</v>
      </c>
    </row>
    <row r="49" spans="1:7">
      <c r="A49" s="37" t="s">
        <v>10540</v>
      </c>
      <c r="G49">
        <v>2</v>
      </c>
    </row>
    <row r="50" spans="1:7">
      <c r="A50" s="36" t="s">
        <v>9309</v>
      </c>
      <c r="G50">
        <v>2</v>
      </c>
    </row>
    <row r="51" spans="1:7">
      <c r="A51" s="36" t="s">
        <v>10683</v>
      </c>
      <c r="G51">
        <v>2</v>
      </c>
    </row>
    <row r="52" spans="1:7">
      <c r="A52" s="36" t="s">
        <v>10541</v>
      </c>
      <c r="G52">
        <v>2</v>
      </c>
    </row>
    <row r="53" spans="1:7">
      <c r="A53" s="36" t="s">
        <v>10542</v>
      </c>
      <c r="G53">
        <v>2</v>
      </c>
    </row>
    <row r="54" spans="1:7">
      <c r="A54" s="37" t="s">
        <v>10543</v>
      </c>
      <c r="G54">
        <v>2</v>
      </c>
    </row>
    <row r="55" spans="1:7">
      <c r="A55" s="36" t="s">
        <v>9309</v>
      </c>
      <c r="G55">
        <v>2</v>
      </c>
    </row>
    <row r="56" spans="1:7">
      <c r="A56" s="36" t="s">
        <v>10687</v>
      </c>
      <c r="G56">
        <v>2</v>
      </c>
    </row>
    <row r="57" spans="1:7">
      <c r="A57" s="37" t="s">
        <v>10544</v>
      </c>
      <c r="G57">
        <v>2</v>
      </c>
    </row>
    <row r="58" spans="1:7">
      <c r="A58" s="36" t="s">
        <v>10545</v>
      </c>
      <c r="G58">
        <v>2</v>
      </c>
    </row>
    <row r="59" spans="1:7">
      <c r="A59" s="36" t="s">
        <v>10546</v>
      </c>
      <c r="G59">
        <v>2</v>
      </c>
    </row>
    <row r="60" spans="1:7">
      <c r="A60" s="36"/>
      <c r="G60">
        <v>2</v>
      </c>
    </row>
    <row r="61" spans="1:7">
      <c r="A61" s="36" t="s">
        <v>10647</v>
      </c>
      <c r="G61">
        <v>2</v>
      </c>
    </row>
    <row r="62" spans="1:7">
      <c r="A62" s="36" t="s">
        <v>9595</v>
      </c>
      <c r="G62">
        <v>2</v>
      </c>
    </row>
    <row r="63" spans="1:7">
      <c r="A63" s="37" t="s">
        <v>10547</v>
      </c>
      <c r="G63">
        <v>2</v>
      </c>
    </row>
    <row r="64" spans="1:7">
      <c r="A64" s="36" t="s">
        <v>10548</v>
      </c>
      <c r="G64">
        <v>2</v>
      </c>
    </row>
    <row r="65" spans="1:7">
      <c r="A65" s="36" t="s">
        <v>9309</v>
      </c>
      <c r="G65">
        <v>2</v>
      </c>
    </row>
    <row r="66" spans="1:7">
      <c r="A66" s="36" t="s">
        <v>10651</v>
      </c>
      <c r="G66">
        <v>2</v>
      </c>
    </row>
    <row r="67" spans="1:7">
      <c r="A67" s="36" t="s">
        <v>10549</v>
      </c>
      <c r="G67">
        <v>2</v>
      </c>
    </row>
    <row r="68" spans="1:7">
      <c r="A68" s="37" t="s">
        <v>10550</v>
      </c>
      <c r="G68">
        <v>2</v>
      </c>
    </row>
    <row r="69" spans="1:7">
      <c r="A69" s="36" t="s">
        <v>10551</v>
      </c>
      <c r="G69">
        <v>2</v>
      </c>
    </row>
    <row r="70" spans="1:7">
      <c r="A70" s="36" t="s">
        <v>9309</v>
      </c>
      <c r="G70">
        <v>2</v>
      </c>
    </row>
    <row r="71" spans="1:7">
      <c r="A71" s="36" t="s">
        <v>10655</v>
      </c>
      <c r="G71">
        <v>2</v>
      </c>
    </row>
    <row r="72" spans="1:7">
      <c r="A72" s="36" t="s">
        <v>10552</v>
      </c>
      <c r="G72">
        <v>2</v>
      </c>
    </row>
    <row r="73" spans="1:7">
      <c r="A73" s="37" t="s">
        <v>10553</v>
      </c>
      <c r="G73">
        <v>2</v>
      </c>
    </row>
    <row r="74" spans="1:7">
      <c r="A74" s="36" t="s">
        <v>10554</v>
      </c>
      <c r="G74">
        <v>2</v>
      </c>
    </row>
    <row r="75" spans="1:7">
      <c r="A75" s="36" t="s">
        <v>9309</v>
      </c>
      <c r="G75">
        <v>2</v>
      </c>
    </row>
    <row r="76" spans="1:7">
      <c r="A76" s="36" t="s">
        <v>10659</v>
      </c>
      <c r="G76">
        <v>2</v>
      </c>
    </row>
    <row r="77" spans="1:7">
      <c r="A77" s="36" t="s">
        <v>10555</v>
      </c>
      <c r="G77">
        <v>2</v>
      </c>
    </row>
    <row r="78" spans="1:7">
      <c r="A78" s="36" t="s">
        <v>10556</v>
      </c>
      <c r="G78">
        <v>2</v>
      </c>
    </row>
    <row r="79" spans="1:7">
      <c r="A79" s="37" t="s">
        <v>10557</v>
      </c>
      <c r="G79">
        <v>2</v>
      </c>
    </row>
    <row r="80" spans="1:7">
      <c r="A80" s="36" t="s">
        <v>9309</v>
      </c>
      <c r="G80">
        <v>2</v>
      </c>
    </row>
    <row r="81" spans="1:7">
      <c r="A81" s="36" t="s">
        <v>10662</v>
      </c>
      <c r="G81">
        <v>2</v>
      </c>
    </row>
    <row r="82" spans="1:7">
      <c r="A82" s="36" t="s">
        <v>1323</v>
      </c>
      <c r="G82">
        <v>2</v>
      </c>
    </row>
    <row r="83" spans="1:7">
      <c r="A83" s="36" t="s">
        <v>10558</v>
      </c>
      <c r="G83">
        <v>2</v>
      </c>
    </row>
    <row r="84" spans="1:7">
      <c r="A84" s="37" t="s">
        <v>10559</v>
      </c>
      <c r="G84">
        <v>2</v>
      </c>
    </row>
    <row r="85" spans="1:7">
      <c r="A85" s="36" t="s">
        <v>9309</v>
      </c>
      <c r="G85">
        <v>2</v>
      </c>
    </row>
    <row r="86" spans="1:7">
      <c r="A86" s="36" t="s">
        <v>10666</v>
      </c>
      <c r="G86">
        <v>2</v>
      </c>
    </row>
    <row r="87" spans="1:7">
      <c r="A87" s="37" t="s">
        <v>10560</v>
      </c>
      <c r="G87">
        <v>2</v>
      </c>
    </row>
    <row r="88" spans="1:7">
      <c r="A88" s="36" t="s">
        <v>10561</v>
      </c>
      <c r="G88">
        <v>2</v>
      </c>
    </row>
    <row r="89" spans="1:7">
      <c r="A89" s="36" t="s">
        <v>10562</v>
      </c>
      <c r="G89">
        <v>2</v>
      </c>
    </row>
    <row r="90" spans="1:7">
      <c r="A90" s="36" t="s">
        <v>9309</v>
      </c>
      <c r="G90">
        <v>2</v>
      </c>
    </row>
    <row r="91" spans="1:7">
      <c r="A91" s="36" t="s">
        <v>10669</v>
      </c>
      <c r="G91">
        <v>2</v>
      </c>
    </row>
    <row r="92" spans="1:7">
      <c r="A92" s="37" t="s">
        <v>10563</v>
      </c>
      <c r="G92">
        <v>2</v>
      </c>
    </row>
    <row r="93" spans="1:7">
      <c r="A93" s="36" t="s">
        <v>10564</v>
      </c>
      <c r="G93">
        <v>2</v>
      </c>
    </row>
    <row r="94" spans="1:7">
      <c r="A94" s="36" t="s">
        <v>10565</v>
      </c>
      <c r="G94">
        <v>2</v>
      </c>
    </row>
    <row r="95" spans="1:7">
      <c r="A95" s="36" t="s">
        <v>9309</v>
      </c>
      <c r="G95">
        <v>2</v>
      </c>
    </row>
    <row r="96" spans="1:7">
      <c r="A96" s="36" t="s">
        <v>10673</v>
      </c>
      <c r="G96">
        <v>2</v>
      </c>
    </row>
    <row r="97" spans="1:7">
      <c r="A97" s="37" t="s">
        <v>10566</v>
      </c>
      <c r="G97">
        <v>2</v>
      </c>
    </row>
    <row r="98" spans="1:7">
      <c r="A98" s="36" t="s">
        <v>10567</v>
      </c>
      <c r="G98">
        <v>2</v>
      </c>
    </row>
    <row r="99" spans="1:7">
      <c r="A99" s="36" t="s">
        <v>10568</v>
      </c>
      <c r="G99">
        <v>2</v>
      </c>
    </row>
    <row r="100" spans="1:7">
      <c r="A100" s="36" t="s">
        <v>9309</v>
      </c>
      <c r="G100">
        <v>2</v>
      </c>
    </row>
    <row r="101" spans="1:7">
      <c r="A101" s="36" t="s">
        <v>10677</v>
      </c>
      <c r="G101">
        <v>2</v>
      </c>
    </row>
    <row r="102" spans="1:7">
      <c r="A102" s="37" t="s">
        <v>10569</v>
      </c>
      <c r="G102">
        <v>2</v>
      </c>
    </row>
    <row r="103" spans="1:7">
      <c r="A103" s="36" t="s">
        <v>10570</v>
      </c>
      <c r="G103">
        <v>2</v>
      </c>
    </row>
    <row r="104" spans="1:7">
      <c r="A104" s="36" t="s">
        <v>10571</v>
      </c>
      <c r="G104">
        <v>2</v>
      </c>
    </row>
    <row r="105" spans="1:7">
      <c r="A105" s="36" t="s">
        <v>9309</v>
      </c>
      <c r="G105">
        <v>2</v>
      </c>
    </row>
    <row r="106" spans="1:7">
      <c r="A106" s="36" t="s">
        <v>10681</v>
      </c>
      <c r="G106">
        <v>2</v>
      </c>
    </row>
    <row r="107" spans="1:7">
      <c r="A107" s="36" t="s">
        <v>10572</v>
      </c>
      <c r="G107">
        <v>2</v>
      </c>
    </row>
    <row r="108" spans="1:7">
      <c r="A108" s="37" t="s">
        <v>10573</v>
      </c>
      <c r="G108">
        <v>2</v>
      </c>
    </row>
    <row r="109" spans="1:7">
      <c r="A109" s="36" t="s">
        <v>10574</v>
      </c>
      <c r="G109">
        <v>2</v>
      </c>
    </row>
    <row r="110" spans="1:7">
      <c r="A110" s="36"/>
      <c r="G110">
        <v>2</v>
      </c>
    </row>
    <row r="111" spans="1:7">
      <c r="A111" s="36" t="s">
        <v>10684</v>
      </c>
      <c r="G111">
        <v>2</v>
      </c>
    </row>
    <row r="112" spans="1:7">
      <c r="A112" s="36" t="s">
        <v>10575</v>
      </c>
      <c r="G112">
        <v>2</v>
      </c>
    </row>
    <row r="113" spans="1:7">
      <c r="A113" s="37" t="s">
        <v>10576</v>
      </c>
      <c r="G113">
        <v>2</v>
      </c>
    </row>
    <row r="114" spans="1:7">
      <c r="A114" s="36" t="s">
        <v>10577</v>
      </c>
      <c r="G114">
        <v>2</v>
      </c>
    </row>
    <row r="115" spans="1:7">
      <c r="A115" s="36" t="s">
        <v>9309</v>
      </c>
      <c r="G115">
        <v>2</v>
      </c>
    </row>
    <row r="116" spans="1:7">
      <c r="A116" s="36" t="s">
        <v>10688</v>
      </c>
      <c r="G116">
        <v>2</v>
      </c>
    </row>
    <row r="117" spans="1:7">
      <c r="A117" s="36" t="s">
        <v>10578</v>
      </c>
      <c r="G117">
        <v>2</v>
      </c>
    </row>
    <row r="118" spans="1:7">
      <c r="A118" s="37" t="s">
        <v>9695</v>
      </c>
      <c r="G118">
        <v>2</v>
      </c>
    </row>
    <row r="119" spans="1:7">
      <c r="A119" s="36" t="s">
        <v>10579</v>
      </c>
      <c r="G119">
        <v>2</v>
      </c>
    </row>
    <row r="120" spans="1:7">
      <c r="A120" s="36" t="s">
        <v>10580</v>
      </c>
      <c r="G120">
        <v>2</v>
      </c>
    </row>
    <row r="121" spans="1:7">
      <c r="A121" s="36" t="s">
        <v>10648</v>
      </c>
      <c r="G121">
        <v>2</v>
      </c>
    </row>
    <row r="122" spans="1:7">
      <c r="A122" s="37" t="s">
        <v>10581</v>
      </c>
      <c r="G122">
        <v>2</v>
      </c>
    </row>
    <row r="123" spans="1:7">
      <c r="A123" s="36" t="s">
        <v>1675</v>
      </c>
      <c r="G123">
        <v>2</v>
      </c>
    </row>
    <row r="124" spans="1:7">
      <c r="A124" s="36" t="s">
        <v>22</v>
      </c>
      <c r="G124">
        <v>2</v>
      </c>
    </row>
    <row r="125" spans="1:7">
      <c r="A125" s="36" t="s">
        <v>9309</v>
      </c>
      <c r="G125">
        <v>2</v>
      </c>
    </row>
    <row r="126" spans="1:7">
      <c r="A126" s="36" t="s">
        <v>10652</v>
      </c>
      <c r="G126">
        <v>2</v>
      </c>
    </row>
    <row r="127" spans="1:7">
      <c r="A127" s="37" t="s">
        <v>10582</v>
      </c>
      <c r="G127">
        <v>2</v>
      </c>
    </row>
    <row r="128" spans="1:7">
      <c r="A128" s="36" t="s">
        <v>2672</v>
      </c>
      <c r="G128">
        <v>2</v>
      </c>
    </row>
    <row r="129" spans="1:7">
      <c r="A129" s="36" t="s">
        <v>10583</v>
      </c>
      <c r="G129">
        <v>2</v>
      </c>
    </row>
    <row r="130" spans="1:7">
      <c r="A130" s="36" t="s">
        <v>9309</v>
      </c>
      <c r="G130">
        <v>2</v>
      </c>
    </row>
    <row r="131" spans="1:7">
      <c r="A131" s="36" t="s">
        <v>10656</v>
      </c>
      <c r="G131">
        <v>2</v>
      </c>
    </row>
    <row r="132" spans="1:7">
      <c r="A132" s="36" t="s">
        <v>10584</v>
      </c>
      <c r="G132">
        <v>2</v>
      </c>
    </row>
    <row r="133" spans="1:7">
      <c r="A133" s="36" t="s">
        <v>10585</v>
      </c>
      <c r="G133">
        <v>2</v>
      </c>
    </row>
    <row r="134" spans="1:7">
      <c r="A134" s="37" t="s">
        <v>10586</v>
      </c>
      <c r="G134">
        <v>2</v>
      </c>
    </row>
    <row r="135" spans="1:7">
      <c r="A135" s="36" t="s">
        <v>9309</v>
      </c>
      <c r="G135">
        <v>2</v>
      </c>
    </row>
    <row r="136" spans="1:7">
      <c r="A136" s="36" t="s">
        <v>10587</v>
      </c>
      <c r="G136">
        <v>2</v>
      </c>
    </row>
    <row r="137" spans="1:7">
      <c r="A137" s="36" t="s">
        <v>9731</v>
      </c>
      <c r="G137">
        <v>2</v>
      </c>
    </row>
    <row r="138" spans="1:7">
      <c r="A138" s="37" t="s">
        <v>10588</v>
      </c>
      <c r="G138">
        <v>2</v>
      </c>
    </row>
    <row r="139" spans="1:7">
      <c r="A139" s="36" t="s">
        <v>10589</v>
      </c>
      <c r="G139">
        <v>2</v>
      </c>
    </row>
    <row r="140" spans="1:7">
      <c r="A140" s="36" t="s">
        <v>9309</v>
      </c>
      <c r="G140">
        <v>2</v>
      </c>
    </row>
    <row r="141" spans="1:7">
      <c r="A141" s="36" t="s">
        <v>10663</v>
      </c>
      <c r="G141">
        <v>2</v>
      </c>
    </row>
    <row r="142" spans="1:7">
      <c r="A142" s="36" t="s">
        <v>10590</v>
      </c>
      <c r="G142">
        <v>2</v>
      </c>
    </row>
    <row r="143" spans="1:7">
      <c r="A143" s="37" t="s">
        <v>10591</v>
      </c>
      <c r="G143">
        <v>2</v>
      </c>
    </row>
    <row r="144" spans="1:7">
      <c r="A144" s="36" t="s">
        <v>10592</v>
      </c>
      <c r="G144">
        <v>2</v>
      </c>
    </row>
    <row r="145" spans="1:7">
      <c r="A145" s="36" t="s">
        <v>9309</v>
      </c>
      <c r="G145">
        <v>2</v>
      </c>
    </row>
    <row r="146" spans="1:7">
      <c r="A146" s="36" t="s">
        <v>10593</v>
      </c>
      <c r="G146">
        <v>2</v>
      </c>
    </row>
    <row r="147" spans="1:7">
      <c r="A147" s="36" t="s">
        <v>10594</v>
      </c>
      <c r="G147">
        <v>2</v>
      </c>
    </row>
    <row r="148" spans="1:7">
      <c r="A148" s="37" t="s">
        <v>10595</v>
      </c>
      <c r="G148">
        <v>2</v>
      </c>
    </row>
    <row r="149" spans="1:7">
      <c r="A149" s="36" t="s">
        <v>10596</v>
      </c>
      <c r="G149">
        <v>2</v>
      </c>
    </row>
    <row r="150" spans="1:7">
      <c r="A150" s="36" t="s">
        <v>9309</v>
      </c>
      <c r="G150">
        <v>2</v>
      </c>
    </row>
    <row r="151" spans="1:7">
      <c r="A151" s="36" t="s">
        <v>10670</v>
      </c>
      <c r="G151">
        <v>2</v>
      </c>
    </row>
    <row r="152" spans="1:7">
      <c r="A152" s="36" t="s">
        <v>10597</v>
      </c>
      <c r="G152">
        <v>2</v>
      </c>
    </row>
    <row r="153" spans="1:7">
      <c r="A153" s="36" t="s">
        <v>10598</v>
      </c>
      <c r="G153">
        <v>2</v>
      </c>
    </row>
    <row r="154" spans="1:7">
      <c r="A154" s="37" t="s">
        <v>10599</v>
      </c>
      <c r="G154">
        <v>2</v>
      </c>
    </row>
    <row r="155" spans="1:7">
      <c r="A155" s="36" t="s">
        <v>9309</v>
      </c>
      <c r="G155">
        <v>2</v>
      </c>
    </row>
    <row r="156" spans="1:7">
      <c r="A156" s="36" t="s">
        <v>10674</v>
      </c>
      <c r="G156">
        <v>2</v>
      </c>
    </row>
    <row r="157" spans="1:7">
      <c r="A157" s="36" t="s">
        <v>10600</v>
      </c>
      <c r="G157">
        <v>2</v>
      </c>
    </row>
    <row r="158" spans="1:7">
      <c r="A158" s="37" t="s">
        <v>10601</v>
      </c>
      <c r="G158">
        <v>2</v>
      </c>
    </row>
    <row r="159" spans="1:7">
      <c r="A159" s="36" t="s">
        <v>10602</v>
      </c>
      <c r="G159">
        <v>2</v>
      </c>
    </row>
    <row r="160" spans="1:7">
      <c r="A160" s="36" t="s">
        <v>9309</v>
      </c>
      <c r="G160">
        <v>2</v>
      </c>
    </row>
    <row r="161" spans="1:7">
      <c r="A161" s="36" t="s">
        <v>10678</v>
      </c>
      <c r="G161">
        <v>2</v>
      </c>
    </row>
    <row r="162" spans="1:7">
      <c r="A162" s="36" t="s">
        <v>10603</v>
      </c>
      <c r="G162">
        <v>2</v>
      </c>
    </row>
    <row r="163" spans="1:7">
      <c r="A163" s="37" t="s">
        <v>10604</v>
      </c>
      <c r="G163">
        <v>2</v>
      </c>
    </row>
    <row r="164" spans="1:7">
      <c r="A164" s="36" t="s">
        <v>10605</v>
      </c>
      <c r="G164">
        <v>2</v>
      </c>
    </row>
    <row r="165" spans="1:7">
      <c r="A165" s="36" t="s">
        <v>9309</v>
      </c>
      <c r="G165">
        <v>2</v>
      </c>
    </row>
    <row r="166" spans="1:7">
      <c r="A166" s="36" t="s">
        <v>10606</v>
      </c>
      <c r="G166">
        <v>2</v>
      </c>
    </row>
    <row r="167" spans="1:7">
      <c r="A167" s="37" t="s">
        <v>10607</v>
      </c>
      <c r="G167">
        <v>2</v>
      </c>
    </row>
    <row r="168" spans="1:7">
      <c r="A168" s="36" t="s">
        <v>10608</v>
      </c>
      <c r="G168">
        <v>2</v>
      </c>
    </row>
    <row r="169" spans="1:7">
      <c r="A169" s="36" t="s">
        <v>1214</v>
      </c>
      <c r="G169">
        <v>2</v>
      </c>
    </row>
    <row r="170" spans="1:7">
      <c r="A170" s="36" t="s">
        <v>9309</v>
      </c>
      <c r="G170">
        <v>2</v>
      </c>
    </row>
    <row r="171" spans="1:7">
      <c r="A171" s="36" t="s">
        <v>10685</v>
      </c>
      <c r="G171">
        <v>2</v>
      </c>
    </row>
    <row r="172" spans="1:7">
      <c r="A172" s="36" t="s">
        <v>10609</v>
      </c>
      <c r="G172">
        <v>2</v>
      </c>
    </row>
    <row r="173" spans="1:7">
      <c r="A173" s="36" t="s">
        <v>10610</v>
      </c>
      <c r="G173">
        <v>2</v>
      </c>
    </row>
    <row r="174" spans="1:7">
      <c r="A174" s="37" t="s">
        <v>10611</v>
      </c>
      <c r="G174">
        <v>2</v>
      </c>
    </row>
    <row r="175" spans="1:7">
      <c r="A175" s="36" t="s">
        <v>9309</v>
      </c>
      <c r="G175">
        <v>2</v>
      </c>
    </row>
    <row r="176" spans="1:7">
      <c r="A176" s="36" t="s">
        <v>10689</v>
      </c>
      <c r="G176">
        <v>2</v>
      </c>
    </row>
    <row r="177" spans="1:7">
      <c r="A177" s="36" t="s">
        <v>10612</v>
      </c>
      <c r="G177">
        <v>2</v>
      </c>
    </row>
    <row r="178" spans="1:7">
      <c r="A178" s="37" t="s">
        <v>10613</v>
      </c>
      <c r="G178">
        <v>2</v>
      </c>
    </row>
    <row r="179" spans="1:7">
      <c r="A179" s="36" t="s">
        <v>10614</v>
      </c>
      <c r="G179">
        <v>2</v>
      </c>
    </row>
    <row r="180" spans="1:7">
      <c r="A180" s="36"/>
      <c r="G180">
        <v>2</v>
      </c>
    </row>
    <row r="181" spans="1:7">
      <c r="A181" s="36" t="s">
        <v>10649</v>
      </c>
      <c r="G181">
        <v>2</v>
      </c>
    </row>
    <row r="182" spans="1:7">
      <c r="A182" s="36" t="s">
        <v>10615</v>
      </c>
      <c r="G182">
        <v>2</v>
      </c>
    </row>
    <row r="183" spans="1:7">
      <c r="A183" s="36" t="s">
        <v>10616</v>
      </c>
      <c r="G183">
        <v>2</v>
      </c>
    </row>
    <row r="184" spans="1:7">
      <c r="A184" s="37" t="s">
        <v>10617</v>
      </c>
      <c r="G184">
        <v>2</v>
      </c>
    </row>
    <row r="185" spans="1:7">
      <c r="A185" s="36" t="s">
        <v>9309</v>
      </c>
      <c r="G185">
        <v>2</v>
      </c>
    </row>
    <row r="186" spans="1:7">
      <c r="A186" s="36" t="s">
        <v>10653</v>
      </c>
      <c r="G186">
        <v>2</v>
      </c>
    </row>
    <row r="187" spans="1:7">
      <c r="A187" s="37" t="s">
        <v>10618</v>
      </c>
      <c r="G187">
        <v>2</v>
      </c>
    </row>
    <row r="188" spans="1:7">
      <c r="A188" s="36" t="s">
        <v>10619</v>
      </c>
      <c r="G188">
        <v>2</v>
      </c>
    </row>
    <row r="189" spans="1:7">
      <c r="A189" s="36" t="s">
        <v>10620</v>
      </c>
      <c r="G189">
        <v>2</v>
      </c>
    </row>
    <row r="190" spans="1:7">
      <c r="A190" s="36" t="s">
        <v>9309</v>
      </c>
      <c r="G190">
        <v>2</v>
      </c>
    </row>
    <row r="191" spans="1:7">
      <c r="A191" s="36" t="s">
        <v>10657</v>
      </c>
      <c r="G191">
        <v>2</v>
      </c>
    </row>
    <row r="192" spans="1:7">
      <c r="A192" s="36" t="s">
        <v>10621</v>
      </c>
      <c r="G192">
        <v>2</v>
      </c>
    </row>
    <row r="193" spans="1:7">
      <c r="A193" s="36" t="s">
        <v>10622</v>
      </c>
      <c r="G193">
        <v>2</v>
      </c>
    </row>
    <row r="194" spans="1:7">
      <c r="A194" s="37" t="s">
        <v>10623</v>
      </c>
      <c r="G194">
        <v>2</v>
      </c>
    </row>
    <row r="195" spans="1:7">
      <c r="A195" s="36" t="s">
        <v>9309</v>
      </c>
      <c r="G195">
        <v>2</v>
      </c>
    </row>
    <row r="196" spans="1:7">
      <c r="A196" s="36" t="s">
        <v>10660</v>
      </c>
      <c r="G196">
        <v>2</v>
      </c>
    </row>
    <row r="197" spans="1:7">
      <c r="A197" s="36" t="s">
        <v>9633</v>
      </c>
      <c r="G197">
        <v>2</v>
      </c>
    </row>
    <row r="198" spans="1:7">
      <c r="A198" s="36" t="s">
        <v>409</v>
      </c>
      <c r="G198">
        <v>2</v>
      </c>
    </row>
    <row r="199" spans="1:7">
      <c r="A199" s="37" t="s">
        <v>411</v>
      </c>
      <c r="G199">
        <v>2</v>
      </c>
    </row>
    <row r="200" spans="1:7">
      <c r="A200" s="36" t="s">
        <v>9309</v>
      </c>
      <c r="G200">
        <v>2</v>
      </c>
    </row>
    <row r="201" spans="1:7">
      <c r="A201" s="36" t="s">
        <v>10664</v>
      </c>
      <c r="G201">
        <v>2</v>
      </c>
    </row>
    <row r="202" spans="1:7">
      <c r="A202" s="37" t="s">
        <v>259</v>
      </c>
      <c r="G202">
        <v>2</v>
      </c>
    </row>
    <row r="203" spans="1:7">
      <c r="A203" s="36" t="s">
        <v>10624</v>
      </c>
      <c r="G203">
        <v>2</v>
      </c>
    </row>
    <row r="204" spans="1:7">
      <c r="A204" s="36" t="s">
        <v>1209</v>
      </c>
      <c r="G204">
        <v>2</v>
      </c>
    </row>
    <row r="205" spans="1:7">
      <c r="A205" s="36" t="s">
        <v>9309</v>
      </c>
      <c r="G205">
        <v>2</v>
      </c>
    </row>
    <row r="206" spans="1:7">
      <c r="A206" s="36" t="s">
        <v>10667</v>
      </c>
      <c r="G206">
        <v>2</v>
      </c>
    </row>
    <row r="207" spans="1:7">
      <c r="A207" s="36" t="s">
        <v>10625</v>
      </c>
      <c r="G207">
        <v>2</v>
      </c>
    </row>
    <row r="208" spans="1:7">
      <c r="A208" s="37" t="s">
        <v>10626</v>
      </c>
      <c r="G208">
        <v>2</v>
      </c>
    </row>
    <row r="209" spans="1:7">
      <c r="A209" s="36" t="s">
        <v>10627</v>
      </c>
      <c r="G209">
        <v>2</v>
      </c>
    </row>
    <row r="210" spans="1:7">
      <c r="A210" s="36" t="s">
        <v>9309</v>
      </c>
      <c r="G210">
        <v>2</v>
      </c>
    </row>
    <row r="211" spans="1:7">
      <c r="A211" s="36" t="s">
        <v>10671</v>
      </c>
      <c r="G211">
        <v>2</v>
      </c>
    </row>
    <row r="212" spans="1:7">
      <c r="A212" s="36" t="s">
        <v>10628</v>
      </c>
      <c r="G212">
        <v>2</v>
      </c>
    </row>
    <row r="213" spans="1:7">
      <c r="A213" s="37" t="s">
        <v>10629</v>
      </c>
      <c r="G213">
        <v>2</v>
      </c>
    </row>
    <row r="214" spans="1:7">
      <c r="A214" s="36" t="s">
        <v>10630</v>
      </c>
      <c r="G214">
        <v>2</v>
      </c>
    </row>
    <row r="215" spans="1:7">
      <c r="A215" s="36" t="s">
        <v>9309</v>
      </c>
      <c r="G215">
        <v>2</v>
      </c>
    </row>
    <row r="216" spans="1:7">
      <c r="A216" s="36" t="s">
        <v>10675</v>
      </c>
      <c r="G216">
        <v>2</v>
      </c>
    </row>
    <row r="217" spans="1:7">
      <c r="A217" s="36" t="s">
        <v>10631</v>
      </c>
      <c r="G217">
        <v>2</v>
      </c>
    </row>
    <row r="218" spans="1:7">
      <c r="A218" s="36" t="s">
        <v>10632</v>
      </c>
      <c r="G218">
        <v>2</v>
      </c>
    </row>
    <row r="219" spans="1:7">
      <c r="A219" s="37" t="s">
        <v>10633</v>
      </c>
      <c r="G219">
        <v>2</v>
      </c>
    </row>
    <row r="220" spans="1:7">
      <c r="A220" s="36" t="s">
        <v>9309</v>
      </c>
      <c r="G220">
        <v>2</v>
      </c>
    </row>
    <row r="221" spans="1:7">
      <c r="A221" s="36" t="s">
        <v>10679</v>
      </c>
      <c r="G221">
        <v>2</v>
      </c>
    </row>
    <row r="222" spans="1:7">
      <c r="A222" s="36" t="s">
        <v>10634</v>
      </c>
      <c r="G222">
        <v>2</v>
      </c>
    </row>
    <row r="223" spans="1:7">
      <c r="A223" s="36" t="s">
        <v>10635</v>
      </c>
      <c r="G223">
        <v>2</v>
      </c>
    </row>
    <row r="224" spans="1:7">
      <c r="A224" s="37" t="s">
        <v>10636</v>
      </c>
      <c r="G224">
        <v>2</v>
      </c>
    </row>
    <row r="225" spans="1:7">
      <c r="A225" s="36" t="s">
        <v>9309</v>
      </c>
      <c r="G225">
        <v>2</v>
      </c>
    </row>
    <row r="226" spans="1:7">
      <c r="A226" s="36" t="s">
        <v>10682</v>
      </c>
      <c r="G226">
        <v>2</v>
      </c>
    </row>
    <row r="227" spans="1:7">
      <c r="A227" s="36" t="s">
        <v>10637</v>
      </c>
      <c r="G227">
        <v>2</v>
      </c>
    </row>
    <row r="228" spans="1:7">
      <c r="A228" s="37" t="s">
        <v>10638</v>
      </c>
      <c r="G228">
        <v>2</v>
      </c>
    </row>
    <row r="229" spans="1:7">
      <c r="A229" s="36" t="s">
        <v>10639</v>
      </c>
      <c r="G229">
        <v>2</v>
      </c>
    </row>
    <row r="230" spans="1:7">
      <c r="A230" s="36" t="s">
        <v>9309</v>
      </c>
      <c r="G230">
        <v>2</v>
      </c>
    </row>
    <row r="231" spans="1:7">
      <c r="A231" s="36" t="s">
        <v>10686</v>
      </c>
      <c r="G231">
        <v>2</v>
      </c>
    </row>
    <row r="232" spans="1:7">
      <c r="A232" s="36" t="s">
        <v>10640</v>
      </c>
      <c r="G232">
        <v>2</v>
      </c>
    </row>
    <row r="233" spans="1:7">
      <c r="A233" s="36" t="s">
        <v>10641</v>
      </c>
      <c r="G233">
        <v>2</v>
      </c>
    </row>
    <row r="234" spans="1:7">
      <c r="A234" s="37" t="s">
        <v>10642</v>
      </c>
      <c r="G234">
        <v>2</v>
      </c>
    </row>
    <row r="235" spans="1:7">
      <c r="A235" s="36" t="s">
        <v>9309</v>
      </c>
      <c r="G235">
        <v>2</v>
      </c>
    </row>
    <row r="236" spans="1:7">
      <c r="A236" s="36" t="s">
        <v>10690</v>
      </c>
      <c r="G236">
        <v>2</v>
      </c>
    </row>
    <row r="237" spans="1:7">
      <c r="A237" s="37" t="s">
        <v>10643</v>
      </c>
      <c r="G237">
        <v>2</v>
      </c>
    </row>
    <row r="238" spans="1:7">
      <c r="A238" s="36" t="s">
        <v>10644</v>
      </c>
      <c r="G238">
        <v>2</v>
      </c>
    </row>
    <row r="239" spans="1:7">
      <c r="A239" s="36" t="s">
        <v>10645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501"/>
  <sheetViews>
    <sheetView workbookViewId="0"/>
  </sheetViews>
  <sheetFormatPr defaultRowHeight="16.5"/>
  <cols>
    <col min="1" max="1" width="109" customWidth="1"/>
  </cols>
  <sheetData>
    <row r="1" spans="1:7">
      <c r="A1" t="s">
        <v>7047</v>
      </c>
      <c r="B1" s="30" t="s">
        <v>6256</v>
      </c>
      <c r="C1" t="s">
        <v>7057</v>
      </c>
      <c r="D1" t="s">
        <v>7058</v>
      </c>
      <c r="E1" t="s">
        <v>7059</v>
      </c>
      <c r="F1" t="s">
        <v>7060</v>
      </c>
      <c r="G1">
        <v>1</v>
      </c>
    </row>
    <row r="2" spans="1:7">
      <c r="A2" t="s">
        <v>6190</v>
      </c>
      <c r="C2" t="s">
        <v>7061</v>
      </c>
      <c r="D2" t="s">
        <v>7062</v>
      </c>
      <c r="E2" t="s">
        <v>7063</v>
      </c>
      <c r="F2" t="s">
        <v>7064</v>
      </c>
      <c r="G2">
        <v>0</v>
      </c>
    </row>
    <row r="3" spans="1:7">
      <c r="A3" s="30" t="s">
        <v>6256</v>
      </c>
      <c r="C3" t="s">
        <v>7065</v>
      </c>
      <c r="D3" t="s">
        <v>7066</v>
      </c>
      <c r="E3" t="s">
        <v>7067</v>
      </c>
      <c r="F3" t="s">
        <v>7068</v>
      </c>
      <c r="G3">
        <v>0</v>
      </c>
    </row>
    <row r="4" spans="1:7">
      <c r="A4" t="s">
        <v>7000</v>
      </c>
      <c r="C4" t="s">
        <v>7069</v>
      </c>
      <c r="D4" t="s">
        <v>7070</v>
      </c>
      <c r="E4" t="s">
        <v>7071</v>
      </c>
      <c r="F4" t="s">
        <v>7072</v>
      </c>
      <c r="G4">
        <v>1</v>
      </c>
    </row>
    <row r="5" spans="1:7">
      <c r="C5" t="s">
        <v>7073</v>
      </c>
      <c r="D5" t="s">
        <v>7074</v>
      </c>
      <c r="E5" t="s">
        <v>7075</v>
      </c>
      <c r="F5" t="s">
        <v>6492</v>
      </c>
      <c r="G5">
        <v>1</v>
      </c>
    </row>
    <row r="6" spans="1:7">
      <c r="A6" t="s">
        <v>6869</v>
      </c>
      <c r="C6" t="s">
        <v>7076</v>
      </c>
      <c r="D6" t="s">
        <v>7077</v>
      </c>
      <c r="E6" t="s">
        <v>7078</v>
      </c>
      <c r="F6" t="s">
        <v>7079</v>
      </c>
      <c r="G6">
        <v>2</v>
      </c>
    </row>
    <row r="7" spans="1:7">
      <c r="A7" s="30" t="s">
        <v>6907</v>
      </c>
      <c r="C7" t="s">
        <v>7080</v>
      </c>
      <c r="D7" t="s">
        <v>7081</v>
      </c>
      <c r="E7" t="s">
        <v>7082</v>
      </c>
      <c r="F7" t="s">
        <v>7083</v>
      </c>
      <c r="G7">
        <v>0</v>
      </c>
    </row>
    <row r="8" spans="1:7">
      <c r="A8" t="s">
        <v>6954</v>
      </c>
      <c r="C8" t="s">
        <v>7084</v>
      </c>
      <c r="D8" t="s">
        <v>7085</v>
      </c>
      <c r="E8" t="s">
        <v>7086</v>
      </c>
      <c r="F8" t="s">
        <v>7087</v>
      </c>
      <c r="G8">
        <v>2</v>
      </c>
    </row>
    <row r="9" spans="1:7">
      <c r="A9" t="s">
        <v>7001</v>
      </c>
      <c r="C9" t="s">
        <v>7088</v>
      </c>
      <c r="D9" t="s">
        <v>7089</v>
      </c>
      <c r="E9" t="s">
        <v>7090</v>
      </c>
      <c r="F9" t="s">
        <v>7091</v>
      </c>
      <c r="G9">
        <v>1</v>
      </c>
    </row>
    <row r="10" spans="1:7">
      <c r="C10" t="s">
        <v>7092</v>
      </c>
      <c r="D10" t="s">
        <v>7093</v>
      </c>
      <c r="E10" t="s">
        <v>7094</v>
      </c>
      <c r="F10" t="s">
        <v>7095</v>
      </c>
      <c r="G10">
        <v>1</v>
      </c>
    </row>
    <row r="11" spans="1:7">
      <c r="A11" t="s">
        <v>7048</v>
      </c>
      <c r="C11" t="s">
        <v>7096</v>
      </c>
      <c r="D11" t="s">
        <v>7097</v>
      </c>
      <c r="E11" t="s">
        <v>7098</v>
      </c>
      <c r="F11" t="s">
        <v>7099</v>
      </c>
      <c r="G11">
        <v>1</v>
      </c>
    </row>
    <row r="12" spans="1:7">
      <c r="A12" s="30" t="s">
        <v>6908</v>
      </c>
      <c r="C12" t="s">
        <v>7100</v>
      </c>
      <c r="D12" t="s">
        <v>7101</v>
      </c>
      <c r="E12" t="s">
        <v>7102</v>
      </c>
      <c r="F12" t="s">
        <v>7103</v>
      </c>
      <c r="G12">
        <v>0</v>
      </c>
    </row>
    <row r="13" spans="1:7">
      <c r="A13" t="s">
        <v>6955</v>
      </c>
      <c r="C13" t="s">
        <v>7104</v>
      </c>
      <c r="D13" t="s">
        <v>7105</v>
      </c>
      <c r="E13" t="s">
        <v>7106</v>
      </c>
      <c r="F13" t="s">
        <v>7107</v>
      </c>
      <c r="G13">
        <v>1</v>
      </c>
    </row>
    <row r="14" spans="1:7">
      <c r="A14" t="s">
        <v>7002</v>
      </c>
      <c r="C14" t="s">
        <v>7108</v>
      </c>
      <c r="D14" t="s">
        <v>7109</v>
      </c>
      <c r="E14" t="s">
        <v>7110</v>
      </c>
      <c r="F14" t="s">
        <v>7111</v>
      </c>
      <c r="G14">
        <v>0</v>
      </c>
    </row>
    <row r="15" spans="1:7">
      <c r="C15" t="s">
        <v>7112</v>
      </c>
      <c r="D15" t="s">
        <v>7113</v>
      </c>
      <c r="E15" t="s">
        <v>7114</v>
      </c>
      <c r="F15" t="s">
        <v>7115</v>
      </c>
      <c r="G15">
        <v>2</v>
      </c>
    </row>
    <row r="16" spans="1:7">
      <c r="A16" t="s">
        <v>6870</v>
      </c>
      <c r="C16" t="s">
        <v>7116</v>
      </c>
      <c r="D16" t="s">
        <v>7117</v>
      </c>
      <c r="E16" t="s">
        <v>7118</v>
      </c>
      <c r="F16" t="s">
        <v>7119</v>
      </c>
      <c r="G16">
        <v>2</v>
      </c>
    </row>
    <row r="17" spans="1:7">
      <c r="A17" t="s">
        <v>6909</v>
      </c>
      <c r="C17" t="s">
        <v>7120</v>
      </c>
      <c r="D17" t="s">
        <v>7121</v>
      </c>
      <c r="E17" t="s">
        <v>7122</v>
      </c>
      <c r="F17" t="s">
        <v>7123</v>
      </c>
      <c r="G17">
        <v>2</v>
      </c>
    </row>
    <row r="18" spans="1:7">
      <c r="A18" s="30" t="s">
        <v>6956</v>
      </c>
      <c r="C18" t="s">
        <v>7124</v>
      </c>
      <c r="D18" t="s">
        <v>7125</v>
      </c>
      <c r="E18" t="s">
        <v>7126</v>
      </c>
      <c r="F18" t="s">
        <v>7127</v>
      </c>
      <c r="G18">
        <v>2</v>
      </c>
    </row>
    <row r="19" spans="1:7">
      <c r="A19" t="s">
        <v>7003</v>
      </c>
      <c r="C19" t="s">
        <v>7128</v>
      </c>
      <c r="D19" t="s">
        <v>7129</v>
      </c>
      <c r="E19" t="s">
        <v>7130</v>
      </c>
      <c r="F19" t="s">
        <v>7131</v>
      </c>
      <c r="G19">
        <v>2</v>
      </c>
    </row>
    <row r="20" spans="1:7">
      <c r="C20" t="s">
        <v>7132</v>
      </c>
      <c r="D20" t="s">
        <v>7133</v>
      </c>
      <c r="E20" t="s">
        <v>7134</v>
      </c>
      <c r="F20" t="s">
        <v>7135</v>
      </c>
      <c r="G20">
        <v>0</v>
      </c>
    </row>
    <row r="21" spans="1:7">
      <c r="A21" t="s">
        <v>7049</v>
      </c>
      <c r="C21" t="s">
        <v>7136</v>
      </c>
      <c r="D21" t="s">
        <v>7137</v>
      </c>
      <c r="E21" t="s">
        <v>7138</v>
      </c>
      <c r="F21" t="s">
        <v>7139</v>
      </c>
      <c r="G21">
        <v>1</v>
      </c>
    </row>
    <row r="22" spans="1:7">
      <c r="A22" t="s">
        <v>6910</v>
      </c>
      <c r="C22" t="s">
        <v>7140</v>
      </c>
      <c r="D22" t="s">
        <v>7141</v>
      </c>
      <c r="E22" t="s">
        <v>7142</v>
      </c>
      <c r="F22" t="s">
        <v>7143</v>
      </c>
      <c r="G22">
        <v>2</v>
      </c>
    </row>
    <row r="23" spans="1:7">
      <c r="A23" s="30" t="s">
        <v>6957</v>
      </c>
      <c r="C23" t="s">
        <v>7144</v>
      </c>
      <c r="D23" t="s">
        <v>7145</v>
      </c>
      <c r="E23" t="s">
        <v>7146</v>
      </c>
      <c r="F23" t="s">
        <v>7147</v>
      </c>
      <c r="G23">
        <v>0</v>
      </c>
    </row>
    <row r="24" spans="1:7">
      <c r="A24" t="s">
        <v>6325</v>
      </c>
      <c r="C24" t="s">
        <v>7148</v>
      </c>
      <c r="D24" t="s">
        <v>7149</v>
      </c>
      <c r="E24" t="s">
        <v>7150</v>
      </c>
      <c r="F24" t="s">
        <v>7151</v>
      </c>
      <c r="G24">
        <v>1</v>
      </c>
    </row>
    <row r="25" spans="1:7">
      <c r="C25" t="s">
        <v>7152</v>
      </c>
      <c r="D25" t="s">
        <v>7153</v>
      </c>
      <c r="E25" t="s">
        <v>7154</v>
      </c>
      <c r="F25" t="s">
        <v>7155</v>
      </c>
      <c r="G25">
        <v>1</v>
      </c>
    </row>
    <row r="26" spans="1:7">
      <c r="A26" t="s">
        <v>6871</v>
      </c>
      <c r="C26" t="s">
        <v>7156</v>
      </c>
      <c r="D26" t="s">
        <v>7157</v>
      </c>
      <c r="E26" t="s">
        <v>7158</v>
      </c>
      <c r="F26" t="s">
        <v>7159</v>
      </c>
      <c r="G26">
        <v>1</v>
      </c>
    </row>
    <row r="27" spans="1:7">
      <c r="A27" t="s">
        <v>6911</v>
      </c>
      <c r="C27" t="s">
        <v>7160</v>
      </c>
      <c r="D27" t="s">
        <v>7161</v>
      </c>
      <c r="E27" t="s">
        <v>7162</v>
      </c>
      <c r="F27" t="s">
        <v>7163</v>
      </c>
      <c r="G27">
        <v>0</v>
      </c>
    </row>
    <row r="28" spans="1:7">
      <c r="A28" t="s">
        <v>6958</v>
      </c>
      <c r="C28" t="s">
        <v>7164</v>
      </c>
      <c r="D28" t="s">
        <v>7165</v>
      </c>
      <c r="E28" t="s">
        <v>7166</v>
      </c>
      <c r="F28" t="s">
        <v>7167</v>
      </c>
      <c r="G28">
        <v>1</v>
      </c>
    </row>
    <row r="29" spans="1:7">
      <c r="A29" s="30" t="s">
        <v>7004</v>
      </c>
      <c r="C29" t="s">
        <v>7168</v>
      </c>
      <c r="D29" t="s">
        <v>7169</v>
      </c>
      <c r="E29" t="s">
        <v>7170</v>
      </c>
      <c r="F29" t="s">
        <v>7171</v>
      </c>
      <c r="G29">
        <v>0</v>
      </c>
    </row>
    <row r="30" spans="1:7">
      <c r="C30" t="s">
        <v>7172</v>
      </c>
      <c r="D30" t="s">
        <v>7173</v>
      </c>
      <c r="E30" t="s">
        <v>7174</v>
      </c>
      <c r="F30" t="s">
        <v>7175</v>
      </c>
      <c r="G30">
        <v>1</v>
      </c>
    </row>
    <row r="31" spans="1:7">
      <c r="A31" t="s">
        <v>7050</v>
      </c>
      <c r="C31" t="s">
        <v>7176</v>
      </c>
      <c r="D31" t="s">
        <v>7177</v>
      </c>
      <c r="E31" t="s">
        <v>7178</v>
      </c>
      <c r="F31" t="s">
        <v>7179</v>
      </c>
      <c r="G31">
        <v>1</v>
      </c>
    </row>
    <row r="32" spans="1:7">
      <c r="A32" s="30" t="s">
        <v>6912</v>
      </c>
      <c r="C32" t="s">
        <v>7180</v>
      </c>
      <c r="D32" t="s">
        <v>7181</v>
      </c>
      <c r="E32" t="s">
        <v>7182</v>
      </c>
      <c r="F32" t="s">
        <v>7183</v>
      </c>
      <c r="G32">
        <v>2</v>
      </c>
    </row>
    <row r="33" spans="1:7">
      <c r="A33" t="s">
        <v>6346</v>
      </c>
      <c r="C33" t="s">
        <v>7184</v>
      </c>
      <c r="D33" t="s">
        <v>7185</v>
      </c>
      <c r="E33" t="s">
        <v>7186</v>
      </c>
      <c r="F33" t="s">
        <v>7187</v>
      </c>
      <c r="G33">
        <v>2</v>
      </c>
    </row>
    <row r="34" spans="1:7">
      <c r="A34" t="s">
        <v>7005</v>
      </c>
      <c r="C34" t="s">
        <v>7188</v>
      </c>
      <c r="D34" t="s">
        <v>7189</v>
      </c>
      <c r="E34" t="s">
        <v>7190</v>
      </c>
      <c r="F34" t="s">
        <v>7191</v>
      </c>
      <c r="G34">
        <v>0</v>
      </c>
    </row>
    <row r="35" spans="1:7">
      <c r="C35" t="s">
        <v>7192</v>
      </c>
      <c r="D35" t="s">
        <v>7193</v>
      </c>
      <c r="E35" t="s">
        <v>7194</v>
      </c>
      <c r="F35" t="s">
        <v>7195</v>
      </c>
      <c r="G35">
        <v>2</v>
      </c>
    </row>
    <row r="36" spans="1:7">
      <c r="A36" t="s">
        <v>6872</v>
      </c>
      <c r="C36" t="s">
        <v>7196</v>
      </c>
      <c r="D36" t="s">
        <v>7197</v>
      </c>
      <c r="E36" t="s">
        <v>7198</v>
      </c>
      <c r="F36" t="s">
        <v>7199</v>
      </c>
      <c r="G36">
        <v>2</v>
      </c>
    </row>
    <row r="37" spans="1:7">
      <c r="A37" t="s">
        <v>6913</v>
      </c>
      <c r="C37" t="s">
        <v>7200</v>
      </c>
      <c r="D37" t="s">
        <v>7201</v>
      </c>
      <c r="E37" t="s">
        <v>7202</v>
      </c>
      <c r="F37" t="s">
        <v>7203</v>
      </c>
      <c r="G37">
        <v>2</v>
      </c>
    </row>
    <row r="38" spans="1:7">
      <c r="A38" t="s">
        <v>6959</v>
      </c>
      <c r="C38" t="s">
        <v>7204</v>
      </c>
      <c r="D38" t="s">
        <v>7205</v>
      </c>
      <c r="E38" t="s">
        <v>7206</v>
      </c>
      <c r="F38" t="s">
        <v>7207</v>
      </c>
      <c r="G38">
        <v>0</v>
      </c>
    </row>
    <row r="39" spans="1:7">
      <c r="A39" s="30" t="s">
        <v>7006</v>
      </c>
      <c r="C39" t="s">
        <v>7208</v>
      </c>
      <c r="D39" t="s">
        <v>7209</v>
      </c>
      <c r="E39" t="s">
        <v>7210</v>
      </c>
      <c r="F39" t="s">
        <v>7211</v>
      </c>
      <c r="G39">
        <v>1</v>
      </c>
    </row>
    <row r="40" spans="1:7">
      <c r="C40" t="s">
        <v>7212</v>
      </c>
      <c r="D40" t="s">
        <v>7213</v>
      </c>
      <c r="E40" t="s">
        <v>7214</v>
      </c>
      <c r="F40" t="s">
        <v>7215</v>
      </c>
      <c r="G40">
        <v>0</v>
      </c>
    </row>
    <row r="41" spans="1:7">
      <c r="A41" t="s">
        <v>6873</v>
      </c>
      <c r="C41" t="s">
        <v>7216</v>
      </c>
      <c r="D41" t="s">
        <v>7217</v>
      </c>
      <c r="E41" t="s">
        <v>7218</v>
      </c>
      <c r="F41" t="s">
        <v>7219</v>
      </c>
      <c r="G41">
        <v>0</v>
      </c>
    </row>
    <row r="42" spans="1:7">
      <c r="A42" t="s">
        <v>6914</v>
      </c>
      <c r="C42" t="s">
        <v>7220</v>
      </c>
      <c r="D42" t="s">
        <v>7221</v>
      </c>
      <c r="E42" t="s">
        <v>7222</v>
      </c>
      <c r="F42" t="s">
        <v>7223</v>
      </c>
      <c r="G42">
        <v>2</v>
      </c>
    </row>
    <row r="43" spans="1:7">
      <c r="A43" s="30" t="s">
        <v>6960</v>
      </c>
      <c r="C43" t="s">
        <v>7224</v>
      </c>
      <c r="D43" t="s">
        <v>7225</v>
      </c>
      <c r="E43" t="s">
        <v>7226</v>
      </c>
      <c r="F43" t="s">
        <v>7227</v>
      </c>
      <c r="G43">
        <v>1</v>
      </c>
    </row>
    <row r="44" spans="1:7">
      <c r="A44" t="s">
        <v>7007</v>
      </c>
      <c r="C44" t="s">
        <v>7228</v>
      </c>
      <c r="D44" t="s">
        <v>7229</v>
      </c>
      <c r="E44" t="s">
        <v>7230</v>
      </c>
      <c r="F44" t="s">
        <v>7231</v>
      </c>
      <c r="G44">
        <v>2</v>
      </c>
    </row>
    <row r="45" spans="1:7">
      <c r="C45" t="s">
        <v>7232</v>
      </c>
      <c r="D45" t="s">
        <v>7233</v>
      </c>
      <c r="E45" t="s">
        <v>7234</v>
      </c>
      <c r="F45" t="s">
        <v>7235</v>
      </c>
      <c r="G45">
        <v>1</v>
      </c>
    </row>
    <row r="46" spans="1:7">
      <c r="A46" t="s">
        <v>7051</v>
      </c>
      <c r="C46" t="s">
        <v>7236</v>
      </c>
      <c r="D46" t="s">
        <v>7237</v>
      </c>
      <c r="E46" t="s">
        <v>7238</v>
      </c>
      <c r="F46" t="s">
        <v>7239</v>
      </c>
      <c r="G46">
        <v>2</v>
      </c>
    </row>
    <row r="47" spans="1:7">
      <c r="A47" t="s">
        <v>6915</v>
      </c>
      <c r="C47" t="s">
        <v>7240</v>
      </c>
      <c r="D47" t="s">
        <v>7241</v>
      </c>
      <c r="E47" t="s">
        <v>7242</v>
      </c>
      <c r="F47" t="s">
        <v>7243</v>
      </c>
      <c r="G47">
        <v>2</v>
      </c>
    </row>
    <row r="48" spans="1:7">
      <c r="A48" s="30" t="s">
        <v>6961</v>
      </c>
      <c r="C48" t="s">
        <v>7244</v>
      </c>
      <c r="D48" t="s">
        <v>7245</v>
      </c>
      <c r="E48" t="s">
        <v>7246</v>
      </c>
      <c r="F48" t="s">
        <v>7247</v>
      </c>
      <c r="G48">
        <v>0</v>
      </c>
    </row>
    <row r="49" spans="1:7">
      <c r="A49" t="s">
        <v>7008</v>
      </c>
      <c r="G49">
        <v>2</v>
      </c>
    </row>
    <row r="50" spans="1:7">
      <c r="G50">
        <v>2</v>
      </c>
    </row>
    <row r="51" spans="1:7">
      <c r="A51" t="s">
        <v>6874</v>
      </c>
      <c r="G51">
        <v>2</v>
      </c>
    </row>
    <row r="52" spans="1:7">
      <c r="A52" t="s">
        <v>6916</v>
      </c>
      <c r="G52">
        <v>2</v>
      </c>
    </row>
    <row r="53" spans="1:7">
      <c r="A53" s="30" t="s">
        <v>6962</v>
      </c>
      <c r="G53">
        <v>2</v>
      </c>
    </row>
    <row r="54" spans="1:7">
      <c r="A54" t="s">
        <v>7009</v>
      </c>
      <c r="G54">
        <v>2</v>
      </c>
    </row>
    <row r="55" spans="1:7">
      <c r="G55">
        <v>2</v>
      </c>
    </row>
    <row r="56" spans="1:7">
      <c r="A56" t="s">
        <v>6875</v>
      </c>
      <c r="G56">
        <v>2</v>
      </c>
    </row>
    <row r="57" spans="1:7">
      <c r="A57" s="30" t="s">
        <v>6917</v>
      </c>
      <c r="G57">
        <v>2</v>
      </c>
    </row>
    <row r="58" spans="1:7">
      <c r="A58" t="s">
        <v>6963</v>
      </c>
      <c r="G58">
        <v>2</v>
      </c>
    </row>
    <row r="59" spans="1:7">
      <c r="A59" t="s">
        <v>7010</v>
      </c>
      <c r="G59">
        <v>2</v>
      </c>
    </row>
    <row r="60" spans="1:7">
      <c r="G60">
        <v>2</v>
      </c>
    </row>
    <row r="61" spans="1:7">
      <c r="A61" t="s">
        <v>6876</v>
      </c>
      <c r="G61">
        <v>2</v>
      </c>
    </row>
    <row r="62" spans="1:7">
      <c r="A62" t="s">
        <v>6918</v>
      </c>
      <c r="G62">
        <v>2</v>
      </c>
    </row>
    <row r="63" spans="1:7">
      <c r="A63" s="30" t="s">
        <v>6964</v>
      </c>
      <c r="G63">
        <v>2</v>
      </c>
    </row>
    <row r="64" spans="1:7">
      <c r="A64" t="s">
        <v>7011</v>
      </c>
      <c r="G64">
        <v>2</v>
      </c>
    </row>
    <row r="65" spans="1:7">
      <c r="G65">
        <v>2</v>
      </c>
    </row>
    <row r="66" spans="1:7">
      <c r="A66" t="s">
        <v>6877</v>
      </c>
      <c r="G66">
        <v>2</v>
      </c>
    </row>
    <row r="67" spans="1:7">
      <c r="A67" s="30" t="s">
        <v>6919</v>
      </c>
      <c r="G67">
        <v>2</v>
      </c>
    </row>
    <row r="68" spans="1:7">
      <c r="A68" t="s">
        <v>6965</v>
      </c>
      <c r="G68">
        <v>2</v>
      </c>
    </row>
    <row r="69" spans="1:7">
      <c r="A69" t="s">
        <v>7012</v>
      </c>
      <c r="G69">
        <v>2</v>
      </c>
    </row>
    <row r="70" spans="1:7">
      <c r="G70">
        <v>2</v>
      </c>
    </row>
    <row r="71" spans="1:7">
      <c r="A71" t="s">
        <v>6878</v>
      </c>
      <c r="G71">
        <v>2</v>
      </c>
    </row>
    <row r="72" spans="1:7">
      <c r="A72" t="s">
        <v>6920</v>
      </c>
      <c r="G72">
        <v>2</v>
      </c>
    </row>
    <row r="73" spans="1:7">
      <c r="A73" t="s">
        <v>6966</v>
      </c>
      <c r="G73">
        <v>2</v>
      </c>
    </row>
    <row r="74" spans="1:7">
      <c r="A74" s="30" t="s">
        <v>7013</v>
      </c>
      <c r="G74">
        <v>2</v>
      </c>
    </row>
    <row r="75" spans="1:7">
      <c r="G75">
        <v>2</v>
      </c>
    </row>
    <row r="76" spans="1:7">
      <c r="A76" t="s">
        <v>6879</v>
      </c>
      <c r="G76">
        <v>2</v>
      </c>
    </row>
    <row r="77" spans="1:7">
      <c r="A77" t="s">
        <v>6921</v>
      </c>
      <c r="G77">
        <v>2</v>
      </c>
    </row>
    <row r="78" spans="1:7">
      <c r="A78" t="s">
        <v>6967</v>
      </c>
      <c r="G78">
        <v>2</v>
      </c>
    </row>
    <row r="79" spans="1:7">
      <c r="A79" s="30" t="s">
        <v>7014</v>
      </c>
      <c r="G79">
        <v>2</v>
      </c>
    </row>
    <row r="80" spans="1:7">
      <c r="G80">
        <v>2</v>
      </c>
    </row>
    <row r="81" spans="1:7">
      <c r="A81" t="s">
        <v>6880</v>
      </c>
      <c r="G81">
        <v>2</v>
      </c>
    </row>
    <row r="82" spans="1:7">
      <c r="A82" t="s">
        <v>6922</v>
      </c>
      <c r="G82">
        <v>2</v>
      </c>
    </row>
    <row r="83" spans="1:7">
      <c r="A83" t="s">
        <v>6968</v>
      </c>
      <c r="G83">
        <v>2</v>
      </c>
    </row>
    <row r="84" spans="1:7">
      <c r="A84" s="30" t="s">
        <v>7015</v>
      </c>
      <c r="G84">
        <v>2</v>
      </c>
    </row>
    <row r="85" spans="1:7">
      <c r="G85">
        <v>2</v>
      </c>
    </row>
    <row r="86" spans="1:7">
      <c r="A86" t="s">
        <v>6881</v>
      </c>
      <c r="G86">
        <v>2</v>
      </c>
    </row>
    <row r="87" spans="1:7">
      <c r="A87" t="s">
        <v>6923</v>
      </c>
      <c r="G87">
        <v>2</v>
      </c>
    </row>
    <row r="88" spans="1:7">
      <c r="A88" t="s">
        <v>6969</v>
      </c>
      <c r="G88">
        <v>2</v>
      </c>
    </row>
    <row r="89" spans="1:7">
      <c r="A89" s="30" t="s">
        <v>7016</v>
      </c>
      <c r="G89">
        <v>2</v>
      </c>
    </row>
    <row r="90" spans="1:7">
      <c r="G90">
        <v>2</v>
      </c>
    </row>
    <row r="91" spans="1:7">
      <c r="A91" t="s">
        <v>6882</v>
      </c>
      <c r="G91">
        <v>2</v>
      </c>
    </row>
    <row r="92" spans="1:7">
      <c r="A92" t="s">
        <v>6924</v>
      </c>
      <c r="G92">
        <v>2</v>
      </c>
    </row>
    <row r="93" spans="1:7">
      <c r="A93" t="s">
        <v>6970</v>
      </c>
      <c r="G93">
        <v>2</v>
      </c>
    </row>
    <row r="94" spans="1:7">
      <c r="A94" s="30" t="s">
        <v>7017</v>
      </c>
      <c r="G94">
        <v>2</v>
      </c>
    </row>
    <row r="95" spans="1:7">
      <c r="G95">
        <v>2</v>
      </c>
    </row>
    <row r="96" spans="1:7">
      <c r="A96" t="s">
        <v>6883</v>
      </c>
      <c r="G96">
        <v>2</v>
      </c>
    </row>
    <row r="97" spans="1:7">
      <c r="A97" s="30" t="s">
        <v>6925</v>
      </c>
      <c r="G97">
        <v>2</v>
      </c>
    </row>
    <row r="98" spans="1:7">
      <c r="A98" t="s">
        <v>6971</v>
      </c>
      <c r="G98">
        <v>2</v>
      </c>
    </row>
    <row r="99" spans="1:7">
      <c r="A99" t="s">
        <v>7018</v>
      </c>
      <c r="G99">
        <v>2</v>
      </c>
    </row>
    <row r="100" spans="1:7">
      <c r="G100">
        <v>2</v>
      </c>
    </row>
    <row r="101" spans="1:7">
      <c r="A101" t="s">
        <v>6884</v>
      </c>
      <c r="G101">
        <v>2</v>
      </c>
    </row>
    <row r="102" spans="1:7">
      <c r="A102" t="s">
        <v>6926</v>
      </c>
      <c r="G102">
        <v>2</v>
      </c>
    </row>
    <row r="103" spans="1:7">
      <c r="A103" s="30" t="s">
        <v>6972</v>
      </c>
      <c r="G103">
        <v>2</v>
      </c>
    </row>
    <row r="104" spans="1:7">
      <c r="A104" t="s">
        <v>7019</v>
      </c>
      <c r="G104">
        <v>2</v>
      </c>
    </row>
    <row r="105" spans="1:7">
      <c r="G105">
        <v>2</v>
      </c>
    </row>
    <row r="106" spans="1:7">
      <c r="A106" t="s">
        <v>6885</v>
      </c>
      <c r="G106">
        <v>2</v>
      </c>
    </row>
    <row r="107" spans="1:7">
      <c r="A107" t="s">
        <v>6927</v>
      </c>
      <c r="G107">
        <v>2</v>
      </c>
    </row>
    <row r="108" spans="1:7">
      <c r="A108" t="s">
        <v>6973</v>
      </c>
      <c r="G108">
        <v>2</v>
      </c>
    </row>
    <row r="109" spans="1:7">
      <c r="A109" s="30" t="s">
        <v>7020</v>
      </c>
      <c r="G109">
        <v>2</v>
      </c>
    </row>
    <row r="110" spans="1:7">
      <c r="G110">
        <v>2</v>
      </c>
    </row>
    <row r="111" spans="1:7">
      <c r="A111" t="s">
        <v>6886</v>
      </c>
      <c r="G111">
        <v>2</v>
      </c>
    </row>
    <row r="112" spans="1:7">
      <c r="A112" s="30" t="s">
        <v>6928</v>
      </c>
      <c r="G112">
        <v>2</v>
      </c>
    </row>
    <row r="113" spans="1:7">
      <c r="A113" t="s">
        <v>6974</v>
      </c>
      <c r="G113">
        <v>2</v>
      </c>
    </row>
    <row r="114" spans="1:7">
      <c r="A114" t="s">
        <v>7021</v>
      </c>
      <c r="G114">
        <v>2</v>
      </c>
    </row>
    <row r="115" spans="1:7">
      <c r="G115">
        <v>2</v>
      </c>
    </row>
    <row r="116" spans="1:7">
      <c r="A116" t="s">
        <v>6887</v>
      </c>
      <c r="G116">
        <v>2</v>
      </c>
    </row>
    <row r="117" spans="1:7">
      <c r="A117" t="s">
        <v>6929</v>
      </c>
      <c r="G117">
        <v>2</v>
      </c>
    </row>
    <row r="118" spans="1:7">
      <c r="A118" s="30" t="s">
        <v>6975</v>
      </c>
      <c r="G118">
        <v>2</v>
      </c>
    </row>
    <row r="119" spans="1:7">
      <c r="A119" t="s">
        <v>7022</v>
      </c>
      <c r="G119">
        <v>2</v>
      </c>
    </row>
    <row r="120" spans="1:7">
      <c r="G120">
        <v>2</v>
      </c>
    </row>
    <row r="121" spans="1:7">
      <c r="A121" t="s">
        <v>6888</v>
      </c>
      <c r="G121">
        <v>2</v>
      </c>
    </row>
    <row r="122" spans="1:7">
      <c r="A122" t="s">
        <v>6930</v>
      </c>
      <c r="G122">
        <v>2</v>
      </c>
    </row>
    <row r="123" spans="1:7">
      <c r="A123" s="30" t="s">
        <v>6976</v>
      </c>
      <c r="G123">
        <v>2</v>
      </c>
    </row>
    <row r="124" spans="1:7">
      <c r="A124" t="s">
        <v>7023</v>
      </c>
      <c r="G124">
        <v>2</v>
      </c>
    </row>
    <row r="125" spans="1:7">
      <c r="G125">
        <v>2</v>
      </c>
    </row>
    <row r="126" spans="1:7">
      <c r="A126" t="s">
        <v>7052</v>
      </c>
      <c r="G126">
        <v>2</v>
      </c>
    </row>
    <row r="127" spans="1:7">
      <c r="A127" t="s">
        <v>6931</v>
      </c>
      <c r="G127">
        <v>2</v>
      </c>
    </row>
    <row r="128" spans="1:7">
      <c r="A128" s="30" t="s">
        <v>6977</v>
      </c>
      <c r="G128">
        <v>2</v>
      </c>
    </row>
    <row r="129" spans="1:7">
      <c r="A129" t="s">
        <v>7024</v>
      </c>
      <c r="G129">
        <v>2</v>
      </c>
    </row>
    <row r="130" spans="1:7">
      <c r="G130">
        <v>2</v>
      </c>
    </row>
    <row r="131" spans="1:7">
      <c r="A131" t="s">
        <v>6889</v>
      </c>
      <c r="G131">
        <v>2</v>
      </c>
    </row>
    <row r="132" spans="1:7">
      <c r="A132" s="30" t="s">
        <v>6932</v>
      </c>
      <c r="G132">
        <v>2</v>
      </c>
    </row>
    <row r="133" spans="1:7">
      <c r="A133" t="s">
        <v>6978</v>
      </c>
      <c r="G133">
        <v>2</v>
      </c>
    </row>
    <row r="134" spans="1:7">
      <c r="A134" t="s">
        <v>7025</v>
      </c>
      <c r="G134">
        <v>2</v>
      </c>
    </row>
    <row r="135" spans="1:7">
      <c r="G135">
        <v>2</v>
      </c>
    </row>
    <row r="136" spans="1:7">
      <c r="A136" t="s">
        <v>6890</v>
      </c>
      <c r="G136">
        <v>2</v>
      </c>
    </row>
    <row r="137" spans="1:7">
      <c r="A137" t="s">
        <v>6933</v>
      </c>
      <c r="G137">
        <v>2</v>
      </c>
    </row>
    <row r="138" spans="1:7">
      <c r="A138" s="30" t="s">
        <v>6979</v>
      </c>
      <c r="G138">
        <v>2</v>
      </c>
    </row>
    <row r="139" spans="1:7">
      <c r="A139" t="s">
        <v>7026</v>
      </c>
      <c r="G139">
        <v>2</v>
      </c>
    </row>
    <row r="140" spans="1:7">
      <c r="G140">
        <v>2</v>
      </c>
    </row>
    <row r="141" spans="1:7">
      <c r="A141" t="s">
        <v>6891</v>
      </c>
      <c r="G141">
        <v>2</v>
      </c>
    </row>
    <row r="142" spans="1:7">
      <c r="A142" s="30" t="s">
        <v>6934</v>
      </c>
      <c r="G142">
        <v>2</v>
      </c>
    </row>
    <row r="143" spans="1:7">
      <c r="A143" t="s">
        <v>6980</v>
      </c>
      <c r="G143">
        <v>2</v>
      </c>
    </row>
    <row r="144" spans="1:7">
      <c r="A144" t="s">
        <v>7027</v>
      </c>
      <c r="G144">
        <v>2</v>
      </c>
    </row>
    <row r="145" spans="1:7">
      <c r="G145">
        <v>2</v>
      </c>
    </row>
    <row r="146" spans="1:7">
      <c r="A146" t="s">
        <v>6892</v>
      </c>
      <c r="G146">
        <v>2</v>
      </c>
    </row>
    <row r="147" spans="1:7">
      <c r="A147" t="s">
        <v>6935</v>
      </c>
      <c r="G147">
        <v>2</v>
      </c>
    </row>
    <row r="148" spans="1:7">
      <c r="A148" s="30" t="s">
        <v>6981</v>
      </c>
      <c r="G148">
        <v>2</v>
      </c>
    </row>
    <row r="149" spans="1:7">
      <c r="A149" t="s">
        <v>7028</v>
      </c>
      <c r="G149">
        <v>2</v>
      </c>
    </row>
    <row r="150" spans="1:7">
      <c r="G150">
        <v>2</v>
      </c>
    </row>
    <row r="151" spans="1:7">
      <c r="A151" t="s">
        <v>6893</v>
      </c>
      <c r="G151">
        <v>2</v>
      </c>
    </row>
    <row r="152" spans="1:7">
      <c r="A152" t="s">
        <v>6936</v>
      </c>
      <c r="G152">
        <v>2</v>
      </c>
    </row>
    <row r="153" spans="1:7">
      <c r="A153" s="30" t="s">
        <v>6982</v>
      </c>
      <c r="G153">
        <v>2</v>
      </c>
    </row>
    <row r="154" spans="1:7">
      <c r="A154" t="s">
        <v>7029</v>
      </c>
      <c r="G154">
        <v>2</v>
      </c>
    </row>
    <row r="155" spans="1:7">
      <c r="G155">
        <v>2</v>
      </c>
    </row>
    <row r="156" spans="1:7">
      <c r="A156" t="s">
        <v>6894</v>
      </c>
      <c r="G156">
        <v>2</v>
      </c>
    </row>
    <row r="157" spans="1:7">
      <c r="A157" t="s">
        <v>6937</v>
      </c>
      <c r="G157">
        <v>2</v>
      </c>
    </row>
    <row r="158" spans="1:7">
      <c r="A158" t="s">
        <v>6983</v>
      </c>
      <c r="G158">
        <v>2</v>
      </c>
    </row>
    <row r="159" spans="1:7">
      <c r="A159" s="30" t="s">
        <v>7030</v>
      </c>
      <c r="G159">
        <v>2</v>
      </c>
    </row>
    <row r="160" spans="1:7">
      <c r="G160">
        <v>2</v>
      </c>
    </row>
    <row r="161" spans="1:7">
      <c r="A161" t="s">
        <v>7053</v>
      </c>
      <c r="G161">
        <v>2</v>
      </c>
    </row>
    <row r="162" spans="1:7">
      <c r="A162" t="s">
        <v>6938</v>
      </c>
      <c r="G162">
        <v>2</v>
      </c>
    </row>
    <row r="163" spans="1:7">
      <c r="A163" t="s">
        <v>6984</v>
      </c>
      <c r="G163">
        <v>2</v>
      </c>
    </row>
    <row r="164" spans="1:7">
      <c r="A164" s="30" t="s">
        <v>7031</v>
      </c>
      <c r="G164">
        <v>2</v>
      </c>
    </row>
    <row r="165" spans="1:7">
      <c r="G165">
        <v>2</v>
      </c>
    </row>
    <row r="166" spans="1:7">
      <c r="A166" t="s">
        <v>6895</v>
      </c>
      <c r="G166">
        <v>2</v>
      </c>
    </row>
    <row r="167" spans="1:7">
      <c r="A167" s="30" t="s">
        <v>6939</v>
      </c>
      <c r="G167">
        <v>2</v>
      </c>
    </row>
    <row r="168" spans="1:7">
      <c r="A168" t="s">
        <v>6985</v>
      </c>
      <c r="G168">
        <v>2</v>
      </c>
    </row>
    <row r="169" spans="1:7">
      <c r="A169" t="s">
        <v>7032</v>
      </c>
      <c r="G169">
        <v>2</v>
      </c>
    </row>
    <row r="170" spans="1:7">
      <c r="G170">
        <v>2</v>
      </c>
    </row>
    <row r="171" spans="1:7">
      <c r="A171" t="s">
        <v>6896</v>
      </c>
      <c r="G171">
        <v>2</v>
      </c>
    </row>
    <row r="172" spans="1:7">
      <c r="A172" t="s">
        <v>6940</v>
      </c>
      <c r="G172">
        <v>2</v>
      </c>
    </row>
    <row r="173" spans="1:7">
      <c r="A173" t="s">
        <v>6986</v>
      </c>
      <c r="G173">
        <v>2</v>
      </c>
    </row>
    <row r="174" spans="1:7">
      <c r="A174" s="30" t="s">
        <v>7033</v>
      </c>
      <c r="G174">
        <v>2</v>
      </c>
    </row>
    <row r="175" spans="1:7">
      <c r="G175">
        <v>2</v>
      </c>
    </row>
    <row r="176" spans="1:7">
      <c r="A176" t="s">
        <v>6897</v>
      </c>
      <c r="G176">
        <v>2</v>
      </c>
    </row>
    <row r="177" spans="1:7">
      <c r="A177" t="s">
        <v>6941</v>
      </c>
      <c r="G177">
        <v>2</v>
      </c>
    </row>
    <row r="178" spans="1:7">
      <c r="A178" t="s">
        <v>6987</v>
      </c>
      <c r="G178">
        <v>2</v>
      </c>
    </row>
    <row r="179" spans="1:7">
      <c r="A179" s="30" t="s">
        <v>7034</v>
      </c>
      <c r="G179">
        <v>2</v>
      </c>
    </row>
    <row r="180" spans="1:7">
      <c r="G180">
        <v>2</v>
      </c>
    </row>
    <row r="181" spans="1:7">
      <c r="A181" t="s">
        <v>7054</v>
      </c>
      <c r="G181">
        <v>2</v>
      </c>
    </row>
    <row r="182" spans="1:7">
      <c r="A182" t="s">
        <v>6942</v>
      </c>
      <c r="G182">
        <v>2</v>
      </c>
    </row>
    <row r="183" spans="1:7">
      <c r="A183" t="s">
        <v>6988</v>
      </c>
      <c r="G183">
        <v>2</v>
      </c>
    </row>
    <row r="184" spans="1:7">
      <c r="A184" s="30" t="s">
        <v>7035</v>
      </c>
      <c r="G184">
        <v>2</v>
      </c>
    </row>
    <row r="185" spans="1:7">
      <c r="G185">
        <v>2</v>
      </c>
    </row>
    <row r="186" spans="1:7">
      <c r="A186" t="s">
        <v>6898</v>
      </c>
      <c r="G186">
        <v>2</v>
      </c>
    </row>
    <row r="187" spans="1:7">
      <c r="A187" s="30" t="s">
        <v>6943</v>
      </c>
      <c r="G187">
        <v>2</v>
      </c>
    </row>
    <row r="188" spans="1:7">
      <c r="A188" t="s">
        <v>6989</v>
      </c>
      <c r="G188">
        <v>2</v>
      </c>
    </row>
    <row r="189" spans="1:7">
      <c r="A189" t="s">
        <v>7036</v>
      </c>
      <c r="G189">
        <v>2</v>
      </c>
    </row>
    <row r="190" spans="1:7">
      <c r="G190">
        <v>2</v>
      </c>
    </row>
    <row r="191" spans="1:7">
      <c r="A191" t="s">
        <v>6899</v>
      </c>
      <c r="G191">
        <v>2</v>
      </c>
    </row>
    <row r="192" spans="1:7">
      <c r="A192" t="s">
        <v>6944</v>
      </c>
      <c r="G192">
        <v>2</v>
      </c>
    </row>
    <row r="193" spans="1:7">
      <c r="A193" s="30" t="s">
        <v>6990</v>
      </c>
      <c r="G193">
        <v>2</v>
      </c>
    </row>
    <row r="194" spans="1:7">
      <c r="A194" t="s">
        <v>7037</v>
      </c>
      <c r="G194">
        <v>2</v>
      </c>
    </row>
    <row r="195" spans="1:7">
      <c r="G195">
        <v>2</v>
      </c>
    </row>
    <row r="196" spans="1:7">
      <c r="A196" t="s">
        <v>6900</v>
      </c>
      <c r="G196">
        <v>2</v>
      </c>
    </row>
    <row r="197" spans="1:7">
      <c r="A197" s="30" t="s">
        <v>6945</v>
      </c>
      <c r="G197">
        <v>2</v>
      </c>
    </row>
    <row r="198" spans="1:7">
      <c r="A198" t="s">
        <v>6991</v>
      </c>
      <c r="G198">
        <v>2</v>
      </c>
    </row>
    <row r="199" spans="1:7">
      <c r="A199" t="s">
        <v>7038</v>
      </c>
      <c r="G199">
        <v>2</v>
      </c>
    </row>
    <row r="200" spans="1:7">
      <c r="G200">
        <v>2</v>
      </c>
    </row>
    <row r="201" spans="1:7">
      <c r="A201" t="s">
        <v>6901</v>
      </c>
      <c r="G201">
        <v>2</v>
      </c>
    </row>
    <row r="202" spans="1:7">
      <c r="A202" s="30" t="s">
        <v>6946</v>
      </c>
      <c r="G202">
        <v>2</v>
      </c>
    </row>
    <row r="203" spans="1:7">
      <c r="A203" t="s">
        <v>6992</v>
      </c>
      <c r="G203">
        <v>2</v>
      </c>
    </row>
    <row r="204" spans="1:7">
      <c r="A204" t="s">
        <v>7039</v>
      </c>
      <c r="G204">
        <v>2</v>
      </c>
    </row>
    <row r="205" spans="1:7">
      <c r="G205">
        <v>2</v>
      </c>
    </row>
    <row r="206" spans="1:7">
      <c r="A206" t="s">
        <v>6902</v>
      </c>
      <c r="G206">
        <v>2</v>
      </c>
    </row>
    <row r="207" spans="1:7">
      <c r="A207" t="s">
        <v>6947</v>
      </c>
      <c r="G207">
        <v>2</v>
      </c>
    </row>
    <row r="208" spans="1:7">
      <c r="A208" t="s">
        <v>6993</v>
      </c>
      <c r="G208">
        <v>2</v>
      </c>
    </row>
    <row r="209" spans="1:7">
      <c r="A209" s="30" t="s">
        <v>7040</v>
      </c>
      <c r="G209">
        <v>2</v>
      </c>
    </row>
    <row r="210" spans="1:7">
      <c r="G210">
        <v>2</v>
      </c>
    </row>
    <row r="211" spans="1:7">
      <c r="A211" t="s">
        <v>6903</v>
      </c>
      <c r="G211">
        <v>2</v>
      </c>
    </row>
    <row r="212" spans="1:7">
      <c r="A212" t="s">
        <v>6948</v>
      </c>
      <c r="G212">
        <v>2</v>
      </c>
    </row>
    <row r="213" spans="1:7">
      <c r="A213" s="30" t="s">
        <v>6994</v>
      </c>
      <c r="G213">
        <v>2</v>
      </c>
    </row>
    <row r="214" spans="1:7">
      <c r="A214" t="s">
        <v>7041</v>
      </c>
      <c r="G214">
        <v>2</v>
      </c>
    </row>
    <row r="215" spans="1:7">
      <c r="G215">
        <v>2</v>
      </c>
    </row>
    <row r="216" spans="1:7">
      <c r="A216" t="s">
        <v>6904</v>
      </c>
      <c r="G216">
        <v>2</v>
      </c>
    </row>
    <row r="217" spans="1:7">
      <c r="A217" t="s">
        <v>6949</v>
      </c>
      <c r="G217">
        <v>2</v>
      </c>
    </row>
    <row r="218" spans="1:7">
      <c r="A218" t="s">
        <v>6995</v>
      </c>
      <c r="G218">
        <v>2</v>
      </c>
    </row>
    <row r="219" spans="1:7">
      <c r="A219" s="30" t="s">
        <v>7042</v>
      </c>
      <c r="G219">
        <v>2</v>
      </c>
    </row>
    <row r="220" spans="1:7">
      <c r="G220">
        <v>2</v>
      </c>
    </row>
    <row r="221" spans="1:7">
      <c r="A221" t="s">
        <v>7055</v>
      </c>
      <c r="G221">
        <v>2</v>
      </c>
    </row>
    <row r="222" spans="1:7">
      <c r="A222" t="s">
        <v>6950</v>
      </c>
      <c r="G222">
        <v>2</v>
      </c>
    </row>
    <row r="223" spans="1:7">
      <c r="A223" s="30" t="s">
        <v>6996</v>
      </c>
      <c r="G223">
        <v>2</v>
      </c>
    </row>
    <row r="224" spans="1:7">
      <c r="A224" t="s">
        <v>7043</v>
      </c>
      <c r="G224">
        <v>2</v>
      </c>
    </row>
    <row r="225" spans="1:7">
      <c r="G225">
        <v>2</v>
      </c>
    </row>
    <row r="226" spans="1:7">
      <c r="A226" t="s">
        <v>7056</v>
      </c>
      <c r="G226">
        <v>2</v>
      </c>
    </row>
    <row r="227" spans="1:7">
      <c r="A227" t="s">
        <v>6951</v>
      </c>
      <c r="G227">
        <v>2</v>
      </c>
    </row>
    <row r="228" spans="1:7">
      <c r="A228" t="s">
        <v>6997</v>
      </c>
      <c r="G228">
        <v>2</v>
      </c>
    </row>
    <row r="229" spans="1:7">
      <c r="A229" s="30" t="s">
        <v>7044</v>
      </c>
      <c r="G229">
        <v>2</v>
      </c>
    </row>
    <row r="230" spans="1:7">
      <c r="G230">
        <v>2</v>
      </c>
    </row>
    <row r="231" spans="1:7">
      <c r="A231" t="s">
        <v>6905</v>
      </c>
      <c r="G231">
        <v>2</v>
      </c>
    </row>
    <row r="232" spans="1:7">
      <c r="A232" t="s">
        <v>6952</v>
      </c>
      <c r="G232">
        <v>2</v>
      </c>
    </row>
    <row r="233" spans="1:7">
      <c r="A233" t="s">
        <v>6998</v>
      </c>
      <c r="G233">
        <v>2</v>
      </c>
    </row>
    <row r="234" spans="1:7">
      <c r="A234" s="30" t="s">
        <v>7045</v>
      </c>
      <c r="G234">
        <v>2</v>
      </c>
    </row>
    <row r="235" spans="1:7">
      <c r="G235">
        <v>2</v>
      </c>
    </row>
    <row r="236" spans="1:7">
      <c r="A236" t="s">
        <v>6906</v>
      </c>
      <c r="G236">
        <v>2</v>
      </c>
    </row>
    <row r="237" spans="1:7">
      <c r="A237" s="30" t="s">
        <v>6953</v>
      </c>
      <c r="G237">
        <v>2</v>
      </c>
    </row>
    <row r="238" spans="1:7">
      <c r="A238" t="s">
        <v>6999</v>
      </c>
      <c r="G238">
        <v>2</v>
      </c>
    </row>
    <row r="239" spans="1:7">
      <c r="A239" t="s">
        <v>7046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74"/>
  <sheetViews>
    <sheetView topLeftCell="A21" workbookViewId="0">
      <selection activeCell="N32" sqref="N32"/>
    </sheetView>
  </sheetViews>
  <sheetFormatPr defaultRowHeight="16.5"/>
  <cols>
    <col min="1" max="1" width="75.875" customWidth="1"/>
  </cols>
  <sheetData>
    <row r="1" spans="1:7">
      <c r="A1" t="s">
        <v>6821</v>
      </c>
      <c r="B1" s="30" t="s">
        <v>6726</v>
      </c>
      <c r="C1" t="s">
        <v>6821</v>
      </c>
      <c r="D1" t="s">
        <v>6679</v>
      </c>
      <c r="E1" t="s">
        <v>6726</v>
      </c>
      <c r="F1" t="s">
        <v>6774</v>
      </c>
      <c r="G1">
        <v>1</v>
      </c>
    </row>
    <row r="2" spans="1:7">
      <c r="A2" t="s">
        <v>6679</v>
      </c>
      <c r="C2" t="s">
        <v>6822</v>
      </c>
      <c r="D2" t="s">
        <v>6680</v>
      </c>
      <c r="E2" t="s">
        <v>6727</v>
      </c>
      <c r="F2" t="s">
        <v>6775</v>
      </c>
      <c r="G2">
        <v>0</v>
      </c>
    </row>
    <row r="3" spans="1:7">
      <c r="A3" s="30" t="s">
        <v>6726</v>
      </c>
      <c r="C3" t="s">
        <v>6823</v>
      </c>
      <c r="D3" t="s">
        <v>6681</v>
      </c>
      <c r="E3" t="s">
        <v>6728</v>
      </c>
      <c r="F3" t="s">
        <v>6776</v>
      </c>
      <c r="G3">
        <v>0</v>
      </c>
    </row>
    <row r="4" spans="1:7">
      <c r="A4" t="s">
        <v>6774</v>
      </c>
      <c r="B4" t="s">
        <v>6678</v>
      </c>
      <c r="C4" t="s">
        <v>6824</v>
      </c>
      <c r="D4" t="s">
        <v>6682</v>
      </c>
      <c r="E4" t="s">
        <v>6729</v>
      </c>
      <c r="F4" t="s">
        <v>6777</v>
      </c>
      <c r="G4">
        <v>2</v>
      </c>
    </row>
    <row r="5" spans="1:7">
      <c r="C5" t="s">
        <v>6825</v>
      </c>
      <c r="D5" t="s">
        <v>6683</v>
      </c>
      <c r="E5" t="s">
        <v>6730</v>
      </c>
      <c r="F5" t="s">
        <v>6778</v>
      </c>
      <c r="G5">
        <v>0</v>
      </c>
    </row>
    <row r="6" spans="1:7">
      <c r="A6" t="s">
        <v>6822</v>
      </c>
      <c r="C6" t="s">
        <v>6826</v>
      </c>
      <c r="D6" t="s">
        <v>6684</v>
      </c>
      <c r="E6" t="s">
        <v>6731</v>
      </c>
      <c r="F6" t="s">
        <v>6779</v>
      </c>
      <c r="G6">
        <v>0</v>
      </c>
    </row>
    <row r="7" spans="1:7">
      <c r="A7" s="30" t="s">
        <v>6680</v>
      </c>
      <c r="C7" t="s">
        <v>6827</v>
      </c>
      <c r="D7" t="s">
        <v>6685</v>
      </c>
      <c r="E7" t="s">
        <v>6732</v>
      </c>
      <c r="F7" t="s">
        <v>6780</v>
      </c>
      <c r="G7">
        <v>1</v>
      </c>
    </row>
    <row r="8" spans="1:7">
      <c r="A8" t="s">
        <v>6727</v>
      </c>
      <c r="C8" t="s">
        <v>6828</v>
      </c>
      <c r="D8" t="s">
        <v>6686</v>
      </c>
      <c r="E8" t="s">
        <v>6733</v>
      </c>
      <c r="F8" t="s">
        <v>6781</v>
      </c>
      <c r="G8">
        <v>2</v>
      </c>
    </row>
    <row r="9" spans="1:7">
      <c r="A9" t="s">
        <v>6775</v>
      </c>
      <c r="C9" t="s">
        <v>6829</v>
      </c>
      <c r="D9" t="s">
        <v>6687</v>
      </c>
      <c r="E9" t="s">
        <v>6734</v>
      </c>
      <c r="F9" t="s">
        <v>6782</v>
      </c>
      <c r="G9">
        <v>2</v>
      </c>
    </row>
    <row r="10" spans="1:7">
      <c r="C10" t="s">
        <v>6830</v>
      </c>
      <c r="D10" t="s">
        <v>6688</v>
      </c>
      <c r="E10" t="s">
        <v>6735</v>
      </c>
      <c r="F10" t="s">
        <v>6783</v>
      </c>
      <c r="G10">
        <v>1</v>
      </c>
    </row>
    <row r="11" spans="1:7">
      <c r="A11" t="s">
        <v>6823</v>
      </c>
      <c r="C11" t="s">
        <v>6831</v>
      </c>
      <c r="D11" t="s">
        <v>6689</v>
      </c>
      <c r="E11" t="s">
        <v>6736</v>
      </c>
      <c r="F11" t="s">
        <v>6784</v>
      </c>
      <c r="G11">
        <v>2</v>
      </c>
    </row>
    <row r="12" spans="1:7">
      <c r="A12" s="30" t="s">
        <v>6681</v>
      </c>
      <c r="C12" t="s">
        <v>6832</v>
      </c>
      <c r="D12" t="s">
        <v>6690</v>
      </c>
      <c r="E12" t="s">
        <v>6737</v>
      </c>
      <c r="F12" t="s">
        <v>6785</v>
      </c>
      <c r="G12">
        <v>1</v>
      </c>
    </row>
    <row r="13" spans="1:7">
      <c r="A13" s="31" t="s">
        <v>6728</v>
      </c>
      <c r="C13" t="s">
        <v>6833</v>
      </c>
      <c r="D13" t="s">
        <v>6691</v>
      </c>
      <c r="E13" t="s">
        <v>6738</v>
      </c>
      <c r="F13" t="s">
        <v>6786</v>
      </c>
      <c r="G13">
        <v>1</v>
      </c>
    </row>
    <row r="14" spans="1:7">
      <c r="A14" t="s">
        <v>6776</v>
      </c>
      <c r="C14" t="s">
        <v>6834</v>
      </c>
      <c r="D14" t="s">
        <v>6692</v>
      </c>
      <c r="E14" t="s">
        <v>6739</v>
      </c>
      <c r="F14" t="s">
        <v>6787</v>
      </c>
      <c r="G14">
        <v>0</v>
      </c>
    </row>
    <row r="15" spans="1:7">
      <c r="C15" t="s">
        <v>6835</v>
      </c>
      <c r="D15" t="s">
        <v>6693</v>
      </c>
      <c r="E15" t="s">
        <v>6740</v>
      </c>
      <c r="F15" t="s">
        <v>6788</v>
      </c>
      <c r="G15">
        <v>1</v>
      </c>
    </row>
    <row r="16" spans="1:7">
      <c r="A16" t="s">
        <v>6824</v>
      </c>
      <c r="C16" t="s">
        <v>6836</v>
      </c>
      <c r="D16" t="s">
        <v>6694</v>
      </c>
      <c r="E16" t="s">
        <v>6741</v>
      </c>
      <c r="F16" t="s">
        <v>6789</v>
      </c>
      <c r="G16">
        <v>2</v>
      </c>
    </row>
    <row r="17" spans="1:7">
      <c r="A17" t="s">
        <v>6682</v>
      </c>
      <c r="C17" t="s">
        <v>6837</v>
      </c>
      <c r="D17" t="s">
        <v>6695</v>
      </c>
      <c r="E17" t="s">
        <v>6742</v>
      </c>
      <c r="F17" t="s">
        <v>6790</v>
      </c>
      <c r="G17">
        <v>1</v>
      </c>
    </row>
    <row r="18" spans="1:7">
      <c r="A18" t="s">
        <v>6729</v>
      </c>
      <c r="C18" t="s">
        <v>6838</v>
      </c>
      <c r="D18" t="s">
        <v>6696</v>
      </c>
      <c r="E18" t="s">
        <v>6743</v>
      </c>
      <c r="F18" t="s">
        <v>6791</v>
      </c>
      <c r="G18">
        <v>0</v>
      </c>
    </row>
    <row r="19" spans="1:7">
      <c r="A19" s="30" t="s">
        <v>6777</v>
      </c>
      <c r="C19" t="s">
        <v>6839</v>
      </c>
      <c r="D19" t="s">
        <v>6697</v>
      </c>
      <c r="E19" t="s">
        <v>6744</v>
      </c>
      <c r="F19" t="s">
        <v>6792</v>
      </c>
      <c r="G19">
        <v>1</v>
      </c>
    </row>
    <row r="20" spans="1:7">
      <c r="C20" t="s">
        <v>6840</v>
      </c>
      <c r="D20" t="s">
        <v>6698</v>
      </c>
      <c r="E20" t="s">
        <v>6745</v>
      </c>
      <c r="F20" t="s">
        <v>6793</v>
      </c>
      <c r="G20">
        <v>2</v>
      </c>
    </row>
    <row r="21" spans="1:7">
      <c r="A21" t="s">
        <v>6825</v>
      </c>
      <c r="C21" t="s">
        <v>6841</v>
      </c>
      <c r="D21" t="s">
        <v>6699</v>
      </c>
      <c r="E21" t="s">
        <v>6746</v>
      </c>
      <c r="F21" t="s">
        <v>6794</v>
      </c>
      <c r="G21">
        <v>2</v>
      </c>
    </row>
    <row r="22" spans="1:7">
      <c r="A22" s="30" t="s">
        <v>6683</v>
      </c>
      <c r="C22" t="s">
        <v>6842</v>
      </c>
      <c r="D22" t="s">
        <v>6700</v>
      </c>
      <c r="E22" t="s">
        <v>6747</v>
      </c>
      <c r="F22" t="s">
        <v>6795</v>
      </c>
      <c r="G22">
        <v>1</v>
      </c>
    </row>
    <row r="23" spans="1:7">
      <c r="A23" t="s">
        <v>6730</v>
      </c>
      <c r="C23" t="s">
        <v>6843</v>
      </c>
      <c r="D23" t="s">
        <v>6701</v>
      </c>
      <c r="E23" t="s">
        <v>6748</v>
      </c>
      <c r="F23" t="s">
        <v>6796</v>
      </c>
      <c r="G23">
        <v>0</v>
      </c>
    </row>
    <row r="24" spans="1:7">
      <c r="A24" t="s">
        <v>6778</v>
      </c>
      <c r="C24" t="s">
        <v>6844</v>
      </c>
      <c r="D24" t="s">
        <v>6702</v>
      </c>
      <c r="E24" t="s">
        <v>6749</v>
      </c>
      <c r="F24" t="s">
        <v>6797</v>
      </c>
      <c r="G24">
        <v>0</v>
      </c>
    </row>
    <row r="25" spans="1:7">
      <c r="C25" t="s">
        <v>6845</v>
      </c>
      <c r="D25" t="s">
        <v>6703</v>
      </c>
      <c r="E25" t="s">
        <v>6750</v>
      </c>
      <c r="F25" t="s">
        <v>6798</v>
      </c>
      <c r="G25">
        <v>0</v>
      </c>
    </row>
    <row r="26" spans="1:7">
      <c r="A26" t="s">
        <v>6826</v>
      </c>
      <c r="C26" t="s">
        <v>6846</v>
      </c>
      <c r="D26" t="s">
        <v>6704</v>
      </c>
      <c r="E26" t="s">
        <v>6751</v>
      </c>
      <c r="F26" t="s">
        <v>6799</v>
      </c>
      <c r="G26">
        <v>1</v>
      </c>
    </row>
    <row r="27" spans="1:7">
      <c r="A27" s="30" t="s">
        <v>6684</v>
      </c>
      <c r="C27" t="s">
        <v>6847</v>
      </c>
      <c r="D27" t="s">
        <v>6705</v>
      </c>
      <c r="E27" t="s">
        <v>6752</v>
      </c>
      <c r="F27" t="s">
        <v>6800</v>
      </c>
      <c r="G27">
        <v>0</v>
      </c>
    </row>
    <row r="28" spans="1:7">
      <c r="A28" t="s">
        <v>6731</v>
      </c>
      <c r="C28" t="s">
        <v>6848</v>
      </c>
      <c r="D28" t="s">
        <v>6706</v>
      </c>
      <c r="E28" t="s">
        <v>6753</v>
      </c>
      <c r="F28" t="s">
        <v>6801</v>
      </c>
      <c r="G28">
        <v>0</v>
      </c>
    </row>
    <row r="29" spans="1:7">
      <c r="A29" t="s">
        <v>6779</v>
      </c>
      <c r="C29" t="s">
        <v>6849</v>
      </c>
      <c r="D29" t="s">
        <v>6707</v>
      </c>
      <c r="E29" t="s">
        <v>6754</v>
      </c>
      <c r="F29" t="s">
        <v>6750</v>
      </c>
      <c r="G29">
        <v>1</v>
      </c>
    </row>
    <row r="30" spans="1:7">
      <c r="C30" t="s">
        <v>6850</v>
      </c>
      <c r="D30" t="s">
        <v>6708</v>
      </c>
      <c r="E30" t="s">
        <v>6755</v>
      </c>
      <c r="F30" t="s">
        <v>6802</v>
      </c>
      <c r="G30">
        <v>0</v>
      </c>
    </row>
    <row r="31" spans="1:7">
      <c r="A31" t="s">
        <v>6827</v>
      </c>
      <c r="C31" t="s">
        <v>6851</v>
      </c>
      <c r="D31" t="s">
        <v>6709</v>
      </c>
      <c r="E31" t="s">
        <v>6756</v>
      </c>
      <c r="F31" t="s">
        <v>6803</v>
      </c>
      <c r="G31">
        <v>0</v>
      </c>
    </row>
    <row r="32" spans="1:7">
      <c r="A32" t="s">
        <v>6685</v>
      </c>
      <c r="C32" t="s">
        <v>6852</v>
      </c>
      <c r="D32" t="s">
        <v>6710</v>
      </c>
      <c r="E32" t="s">
        <v>6757</v>
      </c>
      <c r="F32" t="s">
        <v>6804</v>
      </c>
      <c r="G32">
        <v>1</v>
      </c>
    </row>
    <row r="33" spans="1:7">
      <c r="A33" s="30" t="s">
        <v>6732</v>
      </c>
      <c r="C33" t="s">
        <v>6853</v>
      </c>
      <c r="D33" t="s">
        <v>6711</v>
      </c>
      <c r="E33" t="s">
        <v>6758</v>
      </c>
      <c r="F33" t="s">
        <v>6805</v>
      </c>
      <c r="G33">
        <v>1</v>
      </c>
    </row>
    <row r="34" spans="1:7">
      <c r="A34" t="s">
        <v>6780</v>
      </c>
      <c r="C34" t="s">
        <v>6854</v>
      </c>
      <c r="D34" t="s">
        <v>6712</v>
      </c>
      <c r="E34" t="s">
        <v>6759</v>
      </c>
      <c r="F34" t="s">
        <v>6806</v>
      </c>
      <c r="G34">
        <v>2</v>
      </c>
    </row>
    <row r="35" spans="1:7">
      <c r="C35" t="s">
        <v>6855</v>
      </c>
      <c r="D35" t="s">
        <v>6713</v>
      </c>
      <c r="E35" t="s">
        <v>6760</v>
      </c>
      <c r="F35" t="s">
        <v>6807</v>
      </c>
      <c r="G35">
        <v>1</v>
      </c>
    </row>
    <row r="36" spans="1:7">
      <c r="A36" t="s">
        <v>6828</v>
      </c>
      <c r="C36" t="s">
        <v>6856</v>
      </c>
      <c r="D36" t="s">
        <v>6714</v>
      </c>
      <c r="E36" t="s">
        <v>6761</v>
      </c>
      <c r="F36" t="s">
        <v>6808</v>
      </c>
      <c r="G36">
        <v>1</v>
      </c>
    </row>
    <row r="37" spans="1:7">
      <c r="A37" t="s">
        <v>6686</v>
      </c>
      <c r="C37" t="s">
        <v>6857</v>
      </c>
      <c r="D37" t="s">
        <v>6715</v>
      </c>
      <c r="E37" t="s">
        <v>6762</v>
      </c>
      <c r="F37" t="s">
        <v>6809</v>
      </c>
      <c r="G37">
        <v>0</v>
      </c>
    </row>
    <row r="38" spans="1:7">
      <c r="A38" t="s">
        <v>6733</v>
      </c>
      <c r="C38" t="s">
        <v>6858</v>
      </c>
      <c r="D38" t="s">
        <v>6716</v>
      </c>
      <c r="E38" t="s">
        <v>6763</v>
      </c>
      <c r="F38" t="s">
        <v>6810</v>
      </c>
      <c r="G38">
        <v>0</v>
      </c>
    </row>
    <row r="39" spans="1:7">
      <c r="A39" s="30" t="s">
        <v>6781</v>
      </c>
      <c r="C39" t="s">
        <v>6859</v>
      </c>
      <c r="D39" t="s">
        <v>6717</v>
      </c>
      <c r="E39" t="s">
        <v>6764</v>
      </c>
      <c r="F39" t="s">
        <v>6811</v>
      </c>
      <c r="G39">
        <v>1</v>
      </c>
    </row>
    <row r="40" spans="1:7">
      <c r="C40" t="s">
        <v>6860</v>
      </c>
      <c r="D40" t="s">
        <v>6718</v>
      </c>
      <c r="E40" t="s">
        <v>6765</v>
      </c>
      <c r="F40" t="s">
        <v>6812</v>
      </c>
      <c r="G40">
        <v>1</v>
      </c>
    </row>
    <row r="41" spans="1:7">
      <c r="A41" t="s">
        <v>6829</v>
      </c>
      <c r="C41" t="s">
        <v>6861</v>
      </c>
      <c r="D41" t="s">
        <v>6719</v>
      </c>
      <c r="E41" t="s">
        <v>6766</v>
      </c>
      <c r="F41" t="s">
        <v>6813</v>
      </c>
      <c r="G41">
        <v>0</v>
      </c>
    </row>
    <row r="42" spans="1:7">
      <c r="A42" t="s">
        <v>6687</v>
      </c>
      <c r="C42" t="s">
        <v>6862</v>
      </c>
      <c r="D42" t="s">
        <v>6720</v>
      </c>
      <c r="E42" t="s">
        <v>6767</v>
      </c>
      <c r="F42" t="s">
        <v>6814</v>
      </c>
      <c r="G42">
        <v>2</v>
      </c>
    </row>
    <row r="43" spans="1:7">
      <c r="A43" t="s">
        <v>6734</v>
      </c>
      <c r="C43" t="s">
        <v>6863</v>
      </c>
      <c r="D43" t="s">
        <v>6721</v>
      </c>
      <c r="E43" t="s">
        <v>6768</v>
      </c>
      <c r="F43" t="s">
        <v>6815</v>
      </c>
      <c r="G43">
        <v>0</v>
      </c>
    </row>
    <row r="44" spans="1:7">
      <c r="A44" s="30" t="s">
        <v>6782</v>
      </c>
      <c r="C44" t="s">
        <v>6864</v>
      </c>
      <c r="D44" t="s">
        <v>6722</v>
      </c>
      <c r="E44" t="s">
        <v>6769</v>
      </c>
      <c r="F44" t="s">
        <v>6816</v>
      </c>
      <c r="G44">
        <v>1</v>
      </c>
    </row>
    <row r="45" spans="1:7">
      <c r="C45" t="s">
        <v>6865</v>
      </c>
      <c r="D45" t="s">
        <v>6723</v>
      </c>
      <c r="E45" t="s">
        <v>6770</v>
      </c>
      <c r="F45" t="s">
        <v>6817</v>
      </c>
      <c r="G45">
        <v>2</v>
      </c>
    </row>
    <row r="46" spans="1:7">
      <c r="A46" t="s">
        <v>6830</v>
      </c>
      <c r="C46" t="s">
        <v>6866</v>
      </c>
      <c r="D46" t="s">
        <v>6724</v>
      </c>
      <c r="E46" t="s">
        <v>6771</v>
      </c>
      <c r="F46" t="s">
        <v>6818</v>
      </c>
      <c r="G46">
        <v>2</v>
      </c>
    </row>
    <row r="47" spans="1:7">
      <c r="A47" t="s">
        <v>6688</v>
      </c>
      <c r="C47" t="s">
        <v>6867</v>
      </c>
      <c r="D47" t="s">
        <v>6191</v>
      </c>
      <c r="E47" t="s">
        <v>6772</v>
      </c>
      <c r="F47" t="s">
        <v>6819</v>
      </c>
      <c r="G47">
        <v>1</v>
      </c>
    </row>
    <row r="48" spans="1:7">
      <c r="A48" s="30" t="s">
        <v>6735</v>
      </c>
      <c r="C48" t="s">
        <v>6868</v>
      </c>
      <c r="D48" t="s">
        <v>6725</v>
      </c>
      <c r="E48" t="s">
        <v>6773</v>
      </c>
      <c r="F48" t="s">
        <v>6820</v>
      </c>
      <c r="G48">
        <v>2</v>
      </c>
    </row>
    <row r="49" spans="1:7">
      <c r="A49" t="s">
        <v>6783</v>
      </c>
      <c r="C49" t="s">
        <v>6650</v>
      </c>
      <c r="D49" t="s">
        <v>6651</v>
      </c>
      <c r="E49" t="s">
        <v>6652</v>
      </c>
      <c r="F49" t="s">
        <v>6653</v>
      </c>
      <c r="G49">
        <v>1</v>
      </c>
    </row>
    <row r="50" spans="1:7">
      <c r="C50" t="s">
        <v>6654</v>
      </c>
      <c r="D50" t="s">
        <v>6655</v>
      </c>
      <c r="E50" t="s">
        <v>6656</v>
      </c>
      <c r="F50" t="s">
        <v>6657</v>
      </c>
      <c r="G50">
        <v>0</v>
      </c>
    </row>
    <row r="51" spans="1:7">
      <c r="A51" t="s">
        <v>6831</v>
      </c>
      <c r="C51" t="s">
        <v>6658</v>
      </c>
      <c r="D51" t="s">
        <v>6659</v>
      </c>
      <c r="E51" t="s">
        <v>6660</v>
      </c>
      <c r="F51" t="s">
        <v>6661</v>
      </c>
      <c r="G51">
        <v>2</v>
      </c>
    </row>
    <row r="52" spans="1:7">
      <c r="A52" t="s">
        <v>6689</v>
      </c>
      <c r="C52" t="s">
        <v>6662</v>
      </c>
      <c r="D52" t="s">
        <v>6663</v>
      </c>
      <c r="E52" t="s">
        <v>6664</v>
      </c>
      <c r="F52" t="s">
        <v>6665</v>
      </c>
      <c r="G52">
        <v>2</v>
      </c>
    </row>
    <row r="53" spans="1:7">
      <c r="A53" t="s">
        <v>6736</v>
      </c>
      <c r="C53" t="s">
        <v>6666</v>
      </c>
      <c r="D53" t="s">
        <v>6667</v>
      </c>
      <c r="E53" t="s">
        <v>6668</v>
      </c>
      <c r="F53" t="s">
        <v>6669</v>
      </c>
      <c r="G53">
        <v>0</v>
      </c>
    </row>
    <row r="54" spans="1:7">
      <c r="A54" s="30" t="s">
        <v>6784</v>
      </c>
      <c r="C54" t="s">
        <v>6670</v>
      </c>
      <c r="D54" t="s">
        <v>6671</v>
      </c>
      <c r="E54" t="s">
        <v>6672</v>
      </c>
      <c r="F54" t="s">
        <v>6673</v>
      </c>
      <c r="G54">
        <v>1</v>
      </c>
    </row>
    <row r="55" spans="1:7">
      <c r="C55" t="s">
        <v>6674</v>
      </c>
      <c r="D55" t="s">
        <v>6675</v>
      </c>
      <c r="E55" t="s">
        <v>6676</v>
      </c>
      <c r="F55" t="s">
        <v>6677</v>
      </c>
      <c r="G55">
        <v>1</v>
      </c>
    </row>
    <row r="56" spans="1:7">
      <c r="A56" t="s">
        <v>6832</v>
      </c>
    </row>
    <row r="57" spans="1:7">
      <c r="A57" t="s">
        <v>6690</v>
      </c>
    </row>
    <row r="58" spans="1:7">
      <c r="A58" s="30" t="s">
        <v>6737</v>
      </c>
    </row>
    <row r="59" spans="1:7">
      <c r="A59" t="s">
        <v>6785</v>
      </c>
    </row>
    <row r="61" spans="1:7">
      <c r="A61" t="s">
        <v>6833</v>
      </c>
    </row>
    <row r="62" spans="1:7">
      <c r="A62" t="s">
        <v>6691</v>
      </c>
    </row>
    <row r="63" spans="1:7">
      <c r="A63" s="30" t="s">
        <v>6738</v>
      </c>
    </row>
    <row r="64" spans="1:7">
      <c r="A64" t="s">
        <v>6786</v>
      </c>
    </row>
    <row r="66" spans="1:1">
      <c r="A66" t="s">
        <v>6834</v>
      </c>
    </row>
    <row r="67" spans="1:1">
      <c r="A67" s="30" t="s">
        <v>6692</v>
      </c>
    </row>
    <row r="68" spans="1:1">
      <c r="A68" t="s">
        <v>6739</v>
      </c>
    </row>
    <row r="69" spans="1:1">
      <c r="A69" t="s">
        <v>6787</v>
      </c>
    </row>
    <row r="71" spans="1:1">
      <c r="A71" t="s">
        <v>6835</v>
      </c>
    </row>
    <row r="72" spans="1:1">
      <c r="A72" t="s">
        <v>6693</v>
      </c>
    </row>
    <row r="73" spans="1:1">
      <c r="A73" s="30" t="s">
        <v>6740</v>
      </c>
    </row>
    <row r="74" spans="1:1">
      <c r="A74" t="s">
        <v>6788</v>
      </c>
    </row>
    <row r="76" spans="1:1">
      <c r="A76" t="s">
        <v>6836</v>
      </c>
    </row>
    <row r="77" spans="1:1">
      <c r="A77" t="s">
        <v>6694</v>
      </c>
    </row>
    <row r="78" spans="1:1">
      <c r="A78" t="s">
        <v>6741</v>
      </c>
    </row>
    <row r="79" spans="1:1">
      <c r="A79" s="30" t="s">
        <v>6789</v>
      </c>
    </row>
    <row r="81" spans="1:1">
      <c r="A81" t="s">
        <v>6837</v>
      </c>
    </row>
    <row r="82" spans="1:1">
      <c r="A82" t="s">
        <v>6695</v>
      </c>
    </row>
    <row r="83" spans="1:1">
      <c r="A83" s="30" t="s">
        <v>6742</v>
      </c>
    </row>
    <row r="84" spans="1:1">
      <c r="A84" t="s">
        <v>6790</v>
      </c>
    </row>
    <row r="86" spans="1:1">
      <c r="A86" t="s">
        <v>6838</v>
      </c>
    </row>
    <row r="87" spans="1:1">
      <c r="A87" s="30" t="s">
        <v>6696</v>
      </c>
    </row>
    <row r="88" spans="1:1">
      <c r="A88" t="s">
        <v>6743</v>
      </c>
    </row>
    <row r="89" spans="1:1">
      <c r="A89" s="31" t="s">
        <v>6791</v>
      </c>
    </row>
    <row r="91" spans="1:1">
      <c r="A91" t="s">
        <v>6839</v>
      </c>
    </row>
    <row r="92" spans="1:1">
      <c r="A92" t="s">
        <v>6697</v>
      </c>
    </row>
    <row r="93" spans="1:1">
      <c r="A93" s="30" t="s">
        <v>6744</v>
      </c>
    </row>
    <row r="94" spans="1:1">
      <c r="A94" t="s">
        <v>6792</v>
      </c>
    </row>
    <row r="96" spans="1:1">
      <c r="A96" t="s">
        <v>6840</v>
      </c>
    </row>
    <row r="97" spans="1:1">
      <c r="A97" t="s">
        <v>6698</v>
      </c>
    </row>
    <row r="98" spans="1:1">
      <c r="A98" t="s">
        <v>6745</v>
      </c>
    </row>
    <row r="99" spans="1:1">
      <c r="A99" s="30" t="s">
        <v>6793</v>
      </c>
    </row>
    <row r="101" spans="1:1">
      <c r="A101" t="s">
        <v>6841</v>
      </c>
    </row>
    <row r="102" spans="1:1">
      <c r="A102" t="s">
        <v>6699</v>
      </c>
    </row>
    <row r="103" spans="1:1">
      <c r="A103" t="s">
        <v>6746</v>
      </c>
    </row>
    <row r="104" spans="1:1">
      <c r="A104" s="30" t="s">
        <v>6794</v>
      </c>
    </row>
    <row r="106" spans="1:1">
      <c r="A106" t="s">
        <v>6842</v>
      </c>
    </row>
    <row r="107" spans="1:1">
      <c r="A107" t="s">
        <v>6700</v>
      </c>
    </row>
    <row r="108" spans="1:1">
      <c r="A108" s="30" t="s">
        <v>6747</v>
      </c>
    </row>
    <row r="109" spans="1:1">
      <c r="A109" t="s">
        <v>6795</v>
      </c>
    </row>
    <row r="111" spans="1:1">
      <c r="A111" t="s">
        <v>6843</v>
      </c>
    </row>
    <row r="112" spans="1:1">
      <c r="A112" s="30" t="s">
        <v>6701</v>
      </c>
    </row>
    <row r="113" spans="1:1">
      <c r="A113" t="s">
        <v>6748</v>
      </c>
    </row>
    <row r="114" spans="1:1">
      <c r="A114" t="s">
        <v>6796</v>
      </c>
    </row>
    <row r="116" spans="1:1">
      <c r="A116" t="s">
        <v>6844</v>
      </c>
    </row>
    <row r="117" spans="1:1">
      <c r="A117" s="30" t="s">
        <v>6702</v>
      </c>
    </row>
    <row r="118" spans="1:1">
      <c r="A118" t="s">
        <v>6749</v>
      </c>
    </row>
    <row r="119" spans="1:1">
      <c r="A119" t="s">
        <v>6797</v>
      </c>
    </row>
    <row r="121" spans="1:1">
      <c r="A121" t="s">
        <v>6845</v>
      </c>
    </row>
    <row r="122" spans="1:1">
      <c r="A122" s="30" t="s">
        <v>6703</v>
      </c>
    </row>
    <row r="123" spans="1:1">
      <c r="A123" t="s">
        <v>6750</v>
      </c>
    </row>
    <row r="124" spans="1:1">
      <c r="A124" t="s">
        <v>6798</v>
      </c>
    </row>
    <row r="126" spans="1:1">
      <c r="A126" t="s">
        <v>6846</v>
      </c>
    </row>
    <row r="127" spans="1:1">
      <c r="A127" t="s">
        <v>6704</v>
      </c>
    </row>
    <row r="128" spans="1:1">
      <c r="A128" s="30" t="s">
        <v>6751</v>
      </c>
    </row>
    <row r="129" spans="1:1">
      <c r="A129" t="s">
        <v>6799</v>
      </c>
    </row>
    <row r="131" spans="1:1">
      <c r="A131" t="s">
        <v>6847</v>
      </c>
    </row>
    <row r="132" spans="1:1">
      <c r="A132" s="30" t="s">
        <v>6705</v>
      </c>
    </row>
    <row r="133" spans="1:1">
      <c r="A133" t="s">
        <v>6752</v>
      </c>
    </row>
    <row r="134" spans="1:1">
      <c r="A134" t="s">
        <v>6800</v>
      </c>
    </row>
    <row r="136" spans="1:1">
      <c r="A136" t="s">
        <v>6848</v>
      </c>
    </row>
    <row r="137" spans="1:1">
      <c r="A137" s="30" t="s">
        <v>6706</v>
      </c>
    </row>
    <row r="138" spans="1:1">
      <c r="A138" t="s">
        <v>6753</v>
      </c>
    </row>
    <row r="139" spans="1:1">
      <c r="A139" t="s">
        <v>6801</v>
      </c>
    </row>
    <row r="141" spans="1:1">
      <c r="A141" t="s">
        <v>6849</v>
      </c>
    </row>
    <row r="142" spans="1:1">
      <c r="A142" t="s">
        <v>6707</v>
      </c>
    </row>
    <row r="143" spans="1:1">
      <c r="A143" s="30" t="s">
        <v>6754</v>
      </c>
    </row>
    <row r="144" spans="1:1">
      <c r="A144" t="s">
        <v>6750</v>
      </c>
    </row>
    <row r="146" spans="1:1">
      <c r="A146" t="s">
        <v>6850</v>
      </c>
    </row>
    <row r="147" spans="1:1">
      <c r="A147" s="30" t="s">
        <v>6708</v>
      </c>
    </row>
    <row r="148" spans="1:1">
      <c r="A148" t="s">
        <v>6755</v>
      </c>
    </row>
    <row r="149" spans="1:1">
      <c r="A149" t="s">
        <v>6802</v>
      </c>
    </row>
    <row r="151" spans="1:1">
      <c r="A151" t="s">
        <v>6851</v>
      </c>
    </row>
    <row r="152" spans="1:1">
      <c r="A152" s="30" t="s">
        <v>6709</v>
      </c>
    </row>
    <row r="153" spans="1:1">
      <c r="A153" t="s">
        <v>6756</v>
      </c>
    </row>
    <row r="154" spans="1:1">
      <c r="A154" t="s">
        <v>6803</v>
      </c>
    </row>
    <row r="156" spans="1:1">
      <c r="A156" t="s">
        <v>6852</v>
      </c>
    </row>
    <row r="157" spans="1:1">
      <c r="A157" t="s">
        <v>6710</v>
      </c>
    </row>
    <row r="158" spans="1:1">
      <c r="A158" s="30" t="s">
        <v>6757</v>
      </c>
    </row>
    <row r="159" spans="1:1">
      <c r="A159" t="s">
        <v>6804</v>
      </c>
    </row>
    <row r="161" spans="1:1">
      <c r="A161" t="s">
        <v>6853</v>
      </c>
    </row>
    <row r="162" spans="1:1">
      <c r="A162" t="s">
        <v>6711</v>
      </c>
    </row>
    <row r="163" spans="1:1">
      <c r="A163" s="30" t="s">
        <v>6758</v>
      </c>
    </row>
    <row r="164" spans="1:1">
      <c r="A164" t="s">
        <v>6805</v>
      </c>
    </row>
    <row r="166" spans="1:1">
      <c r="A166" t="s">
        <v>6854</v>
      </c>
    </row>
    <row r="167" spans="1:1">
      <c r="A167" t="s">
        <v>6712</v>
      </c>
    </row>
    <row r="168" spans="1:1">
      <c r="A168" t="s">
        <v>6759</v>
      </c>
    </row>
    <row r="169" spans="1:1">
      <c r="A169" s="30" t="s">
        <v>6806</v>
      </c>
    </row>
    <row r="171" spans="1:1">
      <c r="A171" t="s">
        <v>6855</v>
      </c>
    </row>
    <row r="172" spans="1:1">
      <c r="A172" t="s">
        <v>6713</v>
      </c>
    </row>
    <row r="173" spans="1:1">
      <c r="A173" s="30" t="s">
        <v>6760</v>
      </c>
    </row>
    <row r="174" spans="1:1">
      <c r="A174" t="s">
        <v>6807</v>
      </c>
    </row>
    <row r="176" spans="1:1">
      <c r="A176" t="s">
        <v>6856</v>
      </c>
    </row>
    <row r="177" spans="1:1">
      <c r="A177" t="s">
        <v>6714</v>
      </c>
    </row>
    <row r="178" spans="1:1">
      <c r="A178" s="30" t="s">
        <v>6761</v>
      </c>
    </row>
    <row r="179" spans="1:1">
      <c r="A179" t="s">
        <v>6808</v>
      </c>
    </row>
    <row r="181" spans="1:1">
      <c r="A181" t="s">
        <v>6857</v>
      </c>
    </row>
    <row r="182" spans="1:1">
      <c r="A182" s="30" t="s">
        <v>6715</v>
      </c>
    </row>
    <row r="183" spans="1:1">
      <c r="A183" t="s">
        <v>6762</v>
      </c>
    </row>
    <row r="184" spans="1:1">
      <c r="A184" t="s">
        <v>6809</v>
      </c>
    </row>
    <row r="186" spans="1:1">
      <c r="A186" t="s">
        <v>6858</v>
      </c>
    </row>
    <row r="187" spans="1:1">
      <c r="A187" s="30" t="s">
        <v>6716</v>
      </c>
    </row>
    <row r="188" spans="1:1">
      <c r="A188" t="s">
        <v>6763</v>
      </c>
    </row>
    <row r="189" spans="1:1">
      <c r="A189" t="s">
        <v>6810</v>
      </c>
    </row>
    <row r="191" spans="1:1">
      <c r="A191" t="s">
        <v>6859</v>
      </c>
    </row>
    <row r="192" spans="1:1">
      <c r="A192" t="s">
        <v>6717</v>
      </c>
    </row>
    <row r="193" spans="1:1">
      <c r="A193" s="30" t="s">
        <v>6764</v>
      </c>
    </row>
    <row r="194" spans="1:1">
      <c r="A194" t="s">
        <v>6811</v>
      </c>
    </row>
    <row r="196" spans="1:1">
      <c r="A196" t="s">
        <v>6860</v>
      </c>
    </row>
    <row r="197" spans="1:1">
      <c r="A197" t="s">
        <v>6718</v>
      </c>
    </row>
    <row r="198" spans="1:1">
      <c r="A198" s="30" t="s">
        <v>6765</v>
      </c>
    </row>
    <row r="199" spans="1:1">
      <c r="A199" t="s">
        <v>6812</v>
      </c>
    </row>
    <row r="201" spans="1:1">
      <c r="A201" t="s">
        <v>6861</v>
      </c>
    </row>
    <row r="202" spans="1:1">
      <c r="A202" s="30" t="s">
        <v>6719</v>
      </c>
    </row>
    <row r="203" spans="1:1">
      <c r="A203" t="s">
        <v>6766</v>
      </c>
    </row>
    <row r="204" spans="1:1">
      <c r="A204" t="s">
        <v>6813</v>
      </c>
    </row>
    <row r="206" spans="1:1">
      <c r="A206" t="s">
        <v>6862</v>
      </c>
    </row>
    <row r="207" spans="1:1">
      <c r="A207" t="s">
        <v>6720</v>
      </c>
    </row>
    <row r="208" spans="1:1">
      <c r="A208" t="s">
        <v>6767</v>
      </c>
    </row>
    <row r="209" spans="1:1">
      <c r="A209" s="30" t="s">
        <v>6814</v>
      </c>
    </row>
    <row r="211" spans="1:1">
      <c r="A211" t="s">
        <v>6863</v>
      </c>
    </row>
    <row r="212" spans="1:1">
      <c r="A212" s="30" t="s">
        <v>6721</v>
      </c>
    </row>
    <row r="213" spans="1:1">
      <c r="A213" t="s">
        <v>6768</v>
      </c>
    </row>
    <row r="214" spans="1:1">
      <c r="A214" t="s">
        <v>6815</v>
      </c>
    </row>
    <row r="216" spans="1:1">
      <c r="A216" t="s">
        <v>6864</v>
      </c>
    </row>
    <row r="217" spans="1:1">
      <c r="A217" t="s">
        <v>6722</v>
      </c>
    </row>
    <row r="218" spans="1:1">
      <c r="A218" s="30" t="s">
        <v>6769</v>
      </c>
    </row>
    <row r="219" spans="1:1">
      <c r="A219" t="s">
        <v>6816</v>
      </c>
    </row>
    <row r="221" spans="1:1">
      <c r="A221" t="s">
        <v>6865</v>
      </c>
    </row>
    <row r="222" spans="1:1">
      <c r="A222" t="s">
        <v>6723</v>
      </c>
    </row>
    <row r="223" spans="1:1">
      <c r="A223" t="s">
        <v>6770</v>
      </c>
    </row>
    <row r="224" spans="1:1">
      <c r="A224" s="30" t="s">
        <v>6817</v>
      </c>
    </row>
    <row r="226" spans="1:1">
      <c r="A226" t="s">
        <v>6866</v>
      </c>
    </row>
    <row r="227" spans="1:1">
      <c r="A227" t="s">
        <v>6724</v>
      </c>
    </row>
    <row r="228" spans="1:1">
      <c r="A228" t="s">
        <v>6771</v>
      </c>
    </row>
    <row r="229" spans="1:1">
      <c r="A229" s="30" t="s">
        <v>6818</v>
      </c>
    </row>
    <row r="231" spans="1:1">
      <c r="A231" t="s">
        <v>6867</v>
      </c>
    </row>
    <row r="232" spans="1:1">
      <c r="A232" t="s">
        <v>6191</v>
      </c>
    </row>
    <row r="233" spans="1:1">
      <c r="A233" s="30" t="s">
        <v>6772</v>
      </c>
    </row>
    <row r="234" spans="1:1">
      <c r="A234" t="s">
        <v>6819</v>
      </c>
    </row>
    <row r="236" spans="1:1">
      <c r="A236" t="s">
        <v>6868</v>
      </c>
    </row>
    <row r="237" spans="1:1">
      <c r="A237" t="s">
        <v>6725</v>
      </c>
    </row>
    <row r="238" spans="1:1">
      <c r="A238" t="s">
        <v>6773</v>
      </c>
    </row>
    <row r="239" spans="1:1">
      <c r="A239" s="30" t="s">
        <v>6820</v>
      </c>
    </row>
    <row r="241" spans="1:1">
      <c r="A241" t="s">
        <v>6650</v>
      </c>
    </row>
    <row r="242" spans="1:1">
      <c r="A242" t="s">
        <v>6651</v>
      </c>
    </row>
    <row r="243" spans="1:1">
      <c r="A243" s="30" t="s">
        <v>6652</v>
      </c>
    </row>
    <row r="244" spans="1:1">
      <c r="A244" t="s">
        <v>6653</v>
      </c>
    </row>
    <row r="246" spans="1:1">
      <c r="A246" t="s">
        <v>6654</v>
      </c>
    </row>
    <row r="247" spans="1:1">
      <c r="A247" s="30" t="s">
        <v>6655</v>
      </c>
    </row>
    <row r="248" spans="1:1">
      <c r="A248" t="s">
        <v>6656</v>
      </c>
    </row>
    <row r="249" spans="1:1">
      <c r="A249" t="s">
        <v>6657</v>
      </c>
    </row>
    <row r="251" spans="1:1">
      <c r="A251" t="s">
        <v>6658</v>
      </c>
    </row>
    <row r="252" spans="1:1">
      <c r="A252" t="s">
        <v>6659</v>
      </c>
    </row>
    <row r="253" spans="1:1">
      <c r="A253" t="s">
        <v>6660</v>
      </c>
    </row>
    <row r="254" spans="1:1">
      <c r="A254" s="30" t="s">
        <v>6661</v>
      </c>
    </row>
    <row r="256" spans="1:1">
      <c r="A256" t="s">
        <v>6662</v>
      </c>
    </row>
    <row r="257" spans="1:1">
      <c r="A257" t="s">
        <v>6663</v>
      </c>
    </row>
    <row r="258" spans="1:1">
      <c r="A258" t="s">
        <v>6664</v>
      </c>
    </row>
    <row r="259" spans="1:1">
      <c r="A259" s="30" t="s">
        <v>6665</v>
      </c>
    </row>
    <row r="261" spans="1:1">
      <c r="A261" t="s">
        <v>6666</v>
      </c>
    </row>
    <row r="262" spans="1:1">
      <c r="A262" s="30" t="s">
        <v>6667</v>
      </c>
    </row>
    <row r="263" spans="1:1">
      <c r="A263" t="s">
        <v>6668</v>
      </c>
    </row>
    <row r="264" spans="1:1">
      <c r="A264" t="s">
        <v>6669</v>
      </c>
    </row>
    <row r="266" spans="1:1">
      <c r="A266" t="s">
        <v>6670</v>
      </c>
    </row>
    <row r="267" spans="1:1">
      <c r="A267" t="s">
        <v>6671</v>
      </c>
    </row>
    <row r="268" spans="1:1">
      <c r="A268" s="30" t="s">
        <v>6672</v>
      </c>
    </row>
    <row r="269" spans="1:1">
      <c r="A269" t="s">
        <v>6673</v>
      </c>
    </row>
    <row r="271" spans="1:1">
      <c r="A271" t="s">
        <v>6674</v>
      </c>
    </row>
    <row r="272" spans="1:1">
      <c r="A272" t="s">
        <v>6675</v>
      </c>
    </row>
    <row r="273" spans="1:1">
      <c r="A273" s="30" t="s">
        <v>6676</v>
      </c>
    </row>
    <row r="274" spans="1:1">
      <c r="A274" t="s">
        <v>6677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01"/>
  <sheetViews>
    <sheetView workbookViewId="0">
      <selection activeCell="B1" sqref="B1"/>
    </sheetView>
  </sheetViews>
  <sheetFormatPr defaultColWidth="10" defaultRowHeight="16.5"/>
  <cols>
    <col min="1" max="1" width="59.25" customWidth="1"/>
    <col min="3" max="3" width="74.125" customWidth="1"/>
  </cols>
  <sheetData>
    <row r="1" spans="1:7">
      <c r="A1" t="s">
        <v>6092</v>
      </c>
      <c r="B1" s="29" t="s">
        <v>6230</v>
      </c>
      <c r="C1" t="s">
        <v>6365</v>
      </c>
      <c r="D1" t="s">
        <v>6366</v>
      </c>
      <c r="E1" t="s">
        <v>6367</v>
      </c>
      <c r="F1" t="s">
        <v>6368</v>
      </c>
      <c r="G1">
        <v>1</v>
      </c>
    </row>
    <row r="2" spans="1:7">
      <c r="A2" t="s">
        <v>6163</v>
      </c>
      <c r="C2" t="s">
        <v>6369</v>
      </c>
      <c r="D2" t="s">
        <v>6370</v>
      </c>
      <c r="E2" t="s">
        <v>6371</v>
      </c>
      <c r="F2" t="s">
        <v>6372</v>
      </c>
      <c r="G2">
        <v>1</v>
      </c>
    </row>
    <row r="3" spans="1:7">
      <c r="A3" s="29" t="s">
        <v>6230</v>
      </c>
      <c r="C3" t="s">
        <v>6373</v>
      </c>
      <c r="D3" t="s">
        <v>6374</v>
      </c>
      <c r="E3" t="s">
        <v>6375</v>
      </c>
      <c r="F3" t="s">
        <v>6376</v>
      </c>
      <c r="G3">
        <v>1</v>
      </c>
    </row>
    <row r="4" spans="1:7">
      <c r="A4" t="s">
        <v>6297</v>
      </c>
      <c r="C4" t="s">
        <v>6377</v>
      </c>
      <c r="D4" t="s">
        <v>6378</v>
      </c>
      <c r="E4" t="s">
        <v>6379</v>
      </c>
      <c r="F4" t="s">
        <v>6380</v>
      </c>
      <c r="G4">
        <v>2</v>
      </c>
    </row>
    <row r="5" spans="1:7">
      <c r="C5" t="s">
        <v>6381</v>
      </c>
      <c r="D5" t="s">
        <v>6382</v>
      </c>
      <c r="E5" t="s">
        <v>6383</v>
      </c>
      <c r="F5" t="s">
        <v>6384</v>
      </c>
      <c r="G5">
        <v>1</v>
      </c>
    </row>
    <row r="6" spans="1:7">
      <c r="A6" t="s">
        <v>6093</v>
      </c>
      <c r="C6" t="s">
        <v>6385</v>
      </c>
      <c r="D6" t="s">
        <v>6386</v>
      </c>
      <c r="E6" t="s">
        <v>6387</v>
      </c>
      <c r="F6" t="s">
        <v>6388</v>
      </c>
      <c r="G6">
        <v>2</v>
      </c>
    </row>
    <row r="7" spans="1:7">
      <c r="A7" t="s">
        <v>6164</v>
      </c>
      <c r="C7" t="s">
        <v>6389</v>
      </c>
      <c r="D7" t="s">
        <v>6390</v>
      </c>
      <c r="E7" t="s">
        <v>6391</v>
      </c>
      <c r="F7" t="s">
        <v>6392</v>
      </c>
      <c r="G7">
        <v>0</v>
      </c>
    </row>
    <row r="8" spans="1:7">
      <c r="A8" s="29" t="s">
        <v>6021</v>
      </c>
      <c r="C8" t="s">
        <v>6393</v>
      </c>
      <c r="D8" t="s">
        <v>6394</v>
      </c>
      <c r="E8" t="s">
        <v>6395</v>
      </c>
      <c r="F8" t="s">
        <v>6396</v>
      </c>
      <c r="G8">
        <v>0</v>
      </c>
    </row>
    <row r="9" spans="1:7">
      <c r="A9" t="s">
        <v>6298</v>
      </c>
      <c r="C9" t="s">
        <v>6397</v>
      </c>
      <c r="D9" t="s">
        <v>6398</v>
      </c>
      <c r="E9" t="s">
        <v>6399</v>
      </c>
      <c r="F9" t="s">
        <v>6400</v>
      </c>
      <c r="G9">
        <v>2</v>
      </c>
    </row>
    <row r="10" spans="1:7">
      <c r="C10" t="s">
        <v>6401</v>
      </c>
      <c r="D10" t="s">
        <v>6402</v>
      </c>
      <c r="E10" t="s">
        <v>6403</v>
      </c>
      <c r="F10" t="s">
        <v>6404</v>
      </c>
      <c r="G10">
        <v>2</v>
      </c>
    </row>
    <row r="11" spans="1:7">
      <c r="A11" t="s">
        <v>6094</v>
      </c>
      <c r="C11" t="s">
        <v>6405</v>
      </c>
      <c r="D11" t="s">
        <v>6406</v>
      </c>
      <c r="E11" t="s">
        <v>6407</v>
      </c>
      <c r="F11" t="s">
        <v>6408</v>
      </c>
      <c r="G11">
        <v>0</v>
      </c>
    </row>
    <row r="12" spans="1:7">
      <c r="A12" t="s">
        <v>6165</v>
      </c>
      <c r="C12" t="s">
        <v>6409</v>
      </c>
      <c r="D12" t="s">
        <v>6410</v>
      </c>
      <c r="E12" t="s">
        <v>6411</v>
      </c>
      <c r="F12" t="s">
        <v>6412</v>
      </c>
      <c r="G12">
        <v>1</v>
      </c>
    </row>
    <row r="13" spans="1:7">
      <c r="A13" s="29" t="s">
        <v>1238</v>
      </c>
      <c r="C13" t="s">
        <v>6413</v>
      </c>
      <c r="D13" t="s">
        <v>6414</v>
      </c>
      <c r="E13" t="s">
        <v>6415</v>
      </c>
      <c r="F13" t="s">
        <v>6416</v>
      </c>
      <c r="G13">
        <v>1</v>
      </c>
    </row>
    <row r="14" spans="1:7">
      <c r="A14" t="s">
        <v>6299</v>
      </c>
      <c r="C14" t="s">
        <v>6417</v>
      </c>
      <c r="D14" t="s">
        <v>6418</v>
      </c>
      <c r="E14" t="s">
        <v>6419</v>
      </c>
      <c r="F14" t="s">
        <v>6420</v>
      </c>
      <c r="G14">
        <v>0</v>
      </c>
    </row>
    <row r="15" spans="1:7">
      <c r="C15" t="s">
        <v>6421</v>
      </c>
      <c r="D15" t="s">
        <v>6422</v>
      </c>
      <c r="E15" t="s">
        <v>6423</v>
      </c>
      <c r="F15" t="s">
        <v>6424</v>
      </c>
      <c r="G15">
        <v>1</v>
      </c>
    </row>
    <row r="16" spans="1:7">
      <c r="A16" t="s">
        <v>6095</v>
      </c>
      <c r="C16" t="s">
        <v>6425</v>
      </c>
      <c r="D16" t="s">
        <v>6426</v>
      </c>
      <c r="E16" t="s">
        <v>6427</v>
      </c>
      <c r="F16" t="s">
        <v>6428</v>
      </c>
      <c r="G16">
        <v>1</v>
      </c>
    </row>
    <row r="17" spans="1:7">
      <c r="A17" t="s">
        <v>6166</v>
      </c>
      <c r="C17" t="s">
        <v>6429</v>
      </c>
      <c r="D17" t="s">
        <v>6430</v>
      </c>
      <c r="E17" t="s">
        <v>6431</v>
      </c>
      <c r="F17" t="s">
        <v>6432</v>
      </c>
      <c r="G17">
        <v>1</v>
      </c>
    </row>
    <row r="18" spans="1:7">
      <c r="A18" t="s">
        <v>6231</v>
      </c>
      <c r="C18" t="s">
        <v>6433</v>
      </c>
      <c r="D18" t="s">
        <v>6434</v>
      </c>
      <c r="E18" t="s">
        <v>6435</v>
      </c>
      <c r="F18" t="s">
        <v>6436</v>
      </c>
      <c r="G18">
        <v>1</v>
      </c>
    </row>
    <row r="19" spans="1:7">
      <c r="A19" s="29" t="s">
        <v>6300</v>
      </c>
      <c r="C19" t="s">
        <v>6437</v>
      </c>
      <c r="D19" t="s">
        <v>6438</v>
      </c>
      <c r="E19" t="s">
        <v>6439</v>
      </c>
      <c r="F19" t="s">
        <v>6440</v>
      </c>
      <c r="G19">
        <v>0</v>
      </c>
    </row>
    <row r="20" spans="1:7">
      <c r="C20" t="s">
        <v>6441</v>
      </c>
      <c r="D20" t="s">
        <v>6442</v>
      </c>
      <c r="E20" t="s">
        <v>6443</v>
      </c>
      <c r="F20" t="s">
        <v>6444</v>
      </c>
      <c r="G20">
        <v>1</v>
      </c>
    </row>
    <row r="21" spans="1:7">
      <c r="A21" t="s">
        <v>6096</v>
      </c>
      <c r="C21" t="s">
        <v>6445</v>
      </c>
      <c r="D21" t="s">
        <v>6446</v>
      </c>
      <c r="E21" t="s">
        <v>6447</v>
      </c>
      <c r="F21" t="s">
        <v>6448</v>
      </c>
      <c r="G21">
        <v>2</v>
      </c>
    </row>
    <row r="22" spans="1:7">
      <c r="A22" t="s">
        <v>6167</v>
      </c>
      <c r="C22" t="s">
        <v>6449</v>
      </c>
      <c r="D22" t="s">
        <v>6450</v>
      </c>
      <c r="E22" t="s">
        <v>6451</v>
      </c>
      <c r="F22" t="s">
        <v>6452</v>
      </c>
      <c r="G22">
        <v>0</v>
      </c>
    </row>
    <row r="23" spans="1:7">
      <c r="A23" s="29" t="s">
        <v>6232</v>
      </c>
      <c r="C23" t="s">
        <v>6453</v>
      </c>
      <c r="D23" t="s">
        <v>6454</v>
      </c>
      <c r="E23" t="s">
        <v>6455</v>
      </c>
      <c r="F23" t="s">
        <v>6456</v>
      </c>
      <c r="G23">
        <v>2</v>
      </c>
    </row>
    <row r="24" spans="1:7">
      <c r="A24" t="s">
        <v>6301</v>
      </c>
      <c r="C24" t="s">
        <v>6457</v>
      </c>
      <c r="D24" t="s">
        <v>6458</v>
      </c>
      <c r="E24" t="s">
        <v>6459</v>
      </c>
      <c r="F24" t="s">
        <v>6460</v>
      </c>
      <c r="G24">
        <v>0</v>
      </c>
    </row>
    <row r="25" spans="1:7">
      <c r="C25" t="s">
        <v>6461</v>
      </c>
      <c r="D25" t="s">
        <v>6462</v>
      </c>
      <c r="E25" t="s">
        <v>6463</v>
      </c>
      <c r="F25" t="s">
        <v>6464</v>
      </c>
      <c r="G25">
        <v>1</v>
      </c>
    </row>
    <row r="26" spans="1:7">
      <c r="A26" t="s">
        <v>6097</v>
      </c>
      <c r="C26" t="s">
        <v>6465</v>
      </c>
      <c r="D26" t="s">
        <v>6466</v>
      </c>
      <c r="E26" t="s">
        <v>6467</v>
      </c>
      <c r="F26" t="s">
        <v>6468</v>
      </c>
      <c r="G26">
        <v>2</v>
      </c>
    </row>
    <row r="27" spans="1:7">
      <c r="A27" t="s">
        <v>6168</v>
      </c>
      <c r="C27" t="s">
        <v>6469</v>
      </c>
      <c r="D27" t="s">
        <v>6470</v>
      </c>
      <c r="E27" t="s">
        <v>6471</v>
      </c>
      <c r="F27" t="s">
        <v>6472</v>
      </c>
      <c r="G27">
        <v>0</v>
      </c>
    </row>
    <row r="28" spans="1:7">
      <c r="A28" t="s">
        <v>6233</v>
      </c>
      <c r="C28" t="s">
        <v>6473</v>
      </c>
      <c r="D28" t="s">
        <v>6474</v>
      </c>
      <c r="E28" t="s">
        <v>6475</v>
      </c>
      <c r="F28" t="s">
        <v>6476</v>
      </c>
      <c r="G28">
        <v>1</v>
      </c>
    </row>
    <row r="29" spans="1:7">
      <c r="A29" s="29" t="s">
        <v>6302</v>
      </c>
      <c r="C29" t="s">
        <v>6477</v>
      </c>
      <c r="D29" t="s">
        <v>6478</v>
      </c>
      <c r="E29" t="s">
        <v>6479</v>
      </c>
      <c r="F29" t="s">
        <v>6480</v>
      </c>
      <c r="G29">
        <v>0</v>
      </c>
    </row>
    <row r="30" spans="1:7">
      <c r="C30" t="s">
        <v>6481</v>
      </c>
      <c r="D30" t="s">
        <v>6482</v>
      </c>
      <c r="E30" t="s">
        <v>6483</v>
      </c>
      <c r="F30" t="s">
        <v>6484</v>
      </c>
      <c r="G30">
        <v>1</v>
      </c>
    </row>
    <row r="31" spans="1:7">
      <c r="A31" t="s">
        <v>6098</v>
      </c>
      <c r="C31" t="s">
        <v>6485</v>
      </c>
      <c r="D31" t="s">
        <v>6486</v>
      </c>
      <c r="E31" t="s">
        <v>6487</v>
      </c>
      <c r="F31" t="s">
        <v>6488</v>
      </c>
      <c r="G31">
        <v>2</v>
      </c>
    </row>
    <row r="32" spans="1:7">
      <c r="A32" s="29" t="s">
        <v>6169</v>
      </c>
      <c r="C32" t="s">
        <v>6489</v>
      </c>
      <c r="D32" t="s">
        <v>6490</v>
      </c>
      <c r="E32" t="s">
        <v>6491</v>
      </c>
      <c r="F32" t="s">
        <v>6492</v>
      </c>
      <c r="G32">
        <v>1</v>
      </c>
    </row>
    <row r="33" spans="1:7">
      <c r="A33" t="s">
        <v>6234</v>
      </c>
      <c r="C33" t="s">
        <v>6493</v>
      </c>
      <c r="D33" t="s">
        <v>6494</v>
      </c>
      <c r="E33" t="s">
        <v>6495</v>
      </c>
      <c r="F33" t="s">
        <v>6496</v>
      </c>
      <c r="G33">
        <v>2</v>
      </c>
    </row>
    <row r="34" spans="1:7">
      <c r="A34" t="s">
        <v>6303</v>
      </c>
      <c r="C34" t="s">
        <v>6497</v>
      </c>
      <c r="D34" t="s">
        <v>6498</v>
      </c>
      <c r="E34" t="s">
        <v>6499</v>
      </c>
      <c r="F34" t="s">
        <v>6500</v>
      </c>
      <c r="G34">
        <v>2</v>
      </c>
    </row>
    <row r="35" spans="1:7">
      <c r="C35" t="s">
        <v>6501</v>
      </c>
      <c r="D35" t="s">
        <v>6502</v>
      </c>
      <c r="E35" t="s">
        <v>6503</v>
      </c>
      <c r="F35" t="s">
        <v>6504</v>
      </c>
      <c r="G35">
        <v>0</v>
      </c>
    </row>
    <row r="36" spans="1:7">
      <c r="A36" t="s">
        <v>6099</v>
      </c>
      <c r="C36" t="s">
        <v>6505</v>
      </c>
      <c r="D36" t="s">
        <v>6506</v>
      </c>
      <c r="E36" t="s">
        <v>6507</v>
      </c>
      <c r="F36" t="s">
        <v>6508</v>
      </c>
      <c r="G36">
        <v>2</v>
      </c>
    </row>
    <row r="37" spans="1:7">
      <c r="A37" s="29" t="s">
        <v>6170</v>
      </c>
      <c r="C37" t="s">
        <v>6509</v>
      </c>
      <c r="D37" t="s">
        <v>6510</v>
      </c>
      <c r="E37" t="s">
        <v>6511</v>
      </c>
      <c r="F37" t="s">
        <v>6512</v>
      </c>
      <c r="G37">
        <v>2</v>
      </c>
    </row>
    <row r="38" spans="1:7">
      <c r="A38" t="s">
        <v>6235</v>
      </c>
      <c r="C38" t="s">
        <v>6513</v>
      </c>
      <c r="D38" t="s">
        <v>6514</v>
      </c>
      <c r="E38" t="s">
        <v>6515</v>
      </c>
      <c r="F38" t="s">
        <v>6516</v>
      </c>
      <c r="G38">
        <v>1</v>
      </c>
    </row>
    <row r="39" spans="1:7">
      <c r="A39" t="s">
        <v>6304</v>
      </c>
      <c r="C39" t="s">
        <v>6517</v>
      </c>
      <c r="D39" t="s">
        <v>6518</v>
      </c>
      <c r="E39" t="s">
        <v>6519</v>
      </c>
      <c r="F39" t="s">
        <v>6520</v>
      </c>
      <c r="G39">
        <v>0</v>
      </c>
    </row>
    <row r="40" spans="1:7">
      <c r="C40" t="s">
        <v>6521</v>
      </c>
      <c r="D40">
        <v>1987</v>
      </c>
      <c r="E40" t="s">
        <v>6522</v>
      </c>
      <c r="F40" t="s">
        <v>6523</v>
      </c>
      <c r="G40">
        <v>0</v>
      </c>
    </row>
    <row r="41" spans="1:7">
      <c r="A41" t="s">
        <v>6100</v>
      </c>
      <c r="C41" t="s">
        <v>6524</v>
      </c>
      <c r="D41" t="s">
        <v>6525</v>
      </c>
      <c r="E41" t="s">
        <v>6526</v>
      </c>
      <c r="F41" t="s">
        <v>6527</v>
      </c>
      <c r="G41">
        <v>1</v>
      </c>
    </row>
    <row r="42" spans="1:7">
      <c r="A42" t="s">
        <v>4006</v>
      </c>
      <c r="C42" t="s">
        <v>6528</v>
      </c>
      <c r="D42" t="s">
        <v>6529</v>
      </c>
      <c r="E42" t="s">
        <v>6530</v>
      </c>
      <c r="F42" t="s">
        <v>6531</v>
      </c>
      <c r="G42">
        <v>0</v>
      </c>
    </row>
    <row r="43" spans="1:7">
      <c r="A43" t="s">
        <v>6236</v>
      </c>
      <c r="C43" t="s">
        <v>6532</v>
      </c>
      <c r="D43" t="s">
        <v>6533</v>
      </c>
      <c r="E43" t="s">
        <v>6534</v>
      </c>
      <c r="F43" t="s">
        <v>6535</v>
      </c>
      <c r="G43">
        <v>0</v>
      </c>
    </row>
    <row r="44" spans="1:7">
      <c r="A44" s="29" t="s">
        <v>4005</v>
      </c>
      <c r="C44" t="s">
        <v>6536</v>
      </c>
      <c r="D44" t="s">
        <v>6537</v>
      </c>
      <c r="E44" t="s">
        <v>6538</v>
      </c>
      <c r="F44" t="s">
        <v>6539</v>
      </c>
      <c r="G44">
        <v>1</v>
      </c>
    </row>
    <row r="45" spans="1:7">
      <c r="C45" t="s">
        <v>6540</v>
      </c>
      <c r="D45" t="s">
        <v>6541</v>
      </c>
      <c r="E45" t="s">
        <v>6542</v>
      </c>
      <c r="F45" t="s">
        <v>6543</v>
      </c>
      <c r="G45">
        <v>1</v>
      </c>
    </row>
    <row r="46" spans="1:7">
      <c r="A46" t="s">
        <v>6101</v>
      </c>
      <c r="C46" t="s">
        <v>6544</v>
      </c>
      <c r="D46" t="s">
        <v>6545</v>
      </c>
      <c r="E46" t="s">
        <v>6546</v>
      </c>
      <c r="F46" t="s">
        <v>6547</v>
      </c>
      <c r="G46">
        <v>0</v>
      </c>
    </row>
    <row r="47" spans="1:7">
      <c r="A47" t="s">
        <v>6171</v>
      </c>
      <c r="C47" t="s">
        <v>6548</v>
      </c>
      <c r="D47" t="s">
        <v>6549</v>
      </c>
      <c r="E47" t="s">
        <v>6550</v>
      </c>
      <c r="F47" t="s">
        <v>6551</v>
      </c>
      <c r="G47">
        <v>2</v>
      </c>
    </row>
    <row r="48" spans="1:7">
      <c r="A48" t="s">
        <v>6237</v>
      </c>
      <c r="C48" t="s">
        <v>6552</v>
      </c>
      <c r="D48" t="s">
        <v>6553</v>
      </c>
      <c r="E48" t="s">
        <v>6554</v>
      </c>
      <c r="F48" t="s">
        <v>6555</v>
      </c>
      <c r="G48">
        <v>2</v>
      </c>
    </row>
    <row r="49" spans="1:7">
      <c r="A49" s="29" t="s">
        <v>6305</v>
      </c>
      <c r="C49" t="s">
        <v>6556</v>
      </c>
      <c r="D49" t="s">
        <v>6557</v>
      </c>
      <c r="E49" t="s">
        <v>6558</v>
      </c>
      <c r="F49" t="s">
        <v>6559</v>
      </c>
      <c r="G49">
        <v>0</v>
      </c>
    </row>
    <row r="50" spans="1:7">
      <c r="C50" t="s">
        <v>6560</v>
      </c>
      <c r="D50" t="s">
        <v>6561</v>
      </c>
      <c r="E50" t="s">
        <v>6562</v>
      </c>
      <c r="F50" t="s">
        <v>6563</v>
      </c>
      <c r="G50">
        <v>0</v>
      </c>
    </row>
    <row r="51" spans="1:7">
      <c r="A51" t="s">
        <v>6172</v>
      </c>
      <c r="C51" t="s">
        <v>6564</v>
      </c>
      <c r="D51" t="s">
        <v>6565</v>
      </c>
      <c r="E51" t="s">
        <v>6566</v>
      </c>
      <c r="F51" t="s">
        <v>6567</v>
      </c>
      <c r="G51">
        <v>2</v>
      </c>
    </row>
    <row r="52" spans="1:7">
      <c r="A52" s="29" t="s">
        <v>6173</v>
      </c>
      <c r="C52" t="s">
        <v>6568</v>
      </c>
      <c r="D52" t="s">
        <v>6569</v>
      </c>
      <c r="E52" t="s">
        <v>6570</v>
      </c>
      <c r="F52" t="s">
        <v>6571</v>
      </c>
      <c r="G52">
        <v>0</v>
      </c>
    </row>
    <row r="53" spans="1:7">
      <c r="A53" t="s">
        <v>6238</v>
      </c>
      <c r="C53" t="s">
        <v>6572</v>
      </c>
      <c r="D53" t="s">
        <v>6573</v>
      </c>
      <c r="E53" t="s">
        <v>6574</v>
      </c>
      <c r="F53" t="s">
        <v>6575</v>
      </c>
      <c r="G53">
        <v>1</v>
      </c>
    </row>
    <row r="54" spans="1:7">
      <c r="A54" t="s">
        <v>6306</v>
      </c>
      <c r="C54" t="s">
        <v>6576</v>
      </c>
      <c r="D54" t="s">
        <v>6577</v>
      </c>
      <c r="E54" t="s">
        <v>6578</v>
      </c>
      <c r="F54" t="s">
        <v>6579</v>
      </c>
      <c r="G54">
        <v>0</v>
      </c>
    </row>
    <row r="55" spans="1:7">
      <c r="C55" t="s">
        <v>6580</v>
      </c>
      <c r="D55" t="s">
        <v>6581</v>
      </c>
      <c r="E55" t="s">
        <v>6582</v>
      </c>
      <c r="F55" t="s">
        <v>6583</v>
      </c>
      <c r="G55">
        <v>2</v>
      </c>
    </row>
    <row r="56" spans="1:7">
      <c r="A56" t="s">
        <v>6102</v>
      </c>
      <c r="C56" t="s">
        <v>6584</v>
      </c>
      <c r="D56">
        <v>6</v>
      </c>
      <c r="E56">
        <v>7</v>
      </c>
      <c r="F56">
        <v>12</v>
      </c>
      <c r="G56">
        <v>0</v>
      </c>
    </row>
    <row r="57" spans="1:7">
      <c r="A57" t="s">
        <v>393</v>
      </c>
      <c r="C57" t="s">
        <v>6585</v>
      </c>
      <c r="D57" t="s">
        <v>6586</v>
      </c>
      <c r="E57" t="s">
        <v>6587</v>
      </c>
      <c r="F57" t="s">
        <v>6588</v>
      </c>
      <c r="G57">
        <v>1</v>
      </c>
    </row>
    <row r="58" spans="1:7">
      <c r="A58" s="29" t="s">
        <v>6239</v>
      </c>
      <c r="C58" t="s">
        <v>6589</v>
      </c>
      <c r="D58" t="s">
        <v>6590</v>
      </c>
      <c r="E58" t="s">
        <v>6591</v>
      </c>
      <c r="F58" t="s">
        <v>6592</v>
      </c>
      <c r="G58">
        <v>1</v>
      </c>
    </row>
    <row r="59" spans="1:7">
      <c r="A59" t="s">
        <v>6307</v>
      </c>
      <c r="C59" t="s">
        <v>6593</v>
      </c>
      <c r="D59" t="s">
        <v>6594</v>
      </c>
      <c r="E59" t="s">
        <v>6595</v>
      </c>
      <c r="F59" t="s">
        <v>6596</v>
      </c>
      <c r="G59">
        <v>0</v>
      </c>
    </row>
    <row r="60" spans="1:7">
      <c r="C60" t="s">
        <v>6597</v>
      </c>
      <c r="D60" t="s">
        <v>6598</v>
      </c>
      <c r="E60" t="s">
        <v>6599</v>
      </c>
      <c r="F60" t="s">
        <v>6600</v>
      </c>
      <c r="G60">
        <v>2</v>
      </c>
    </row>
    <row r="61" spans="1:7">
      <c r="A61" t="s">
        <v>6103</v>
      </c>
      <c r="C61" t="s">
        <v>6601</v>
      </c>
      <c r="D61" t="s">
        <v>6602</v>
      </c>
      <c r="E61" t="s">
        <v>6603</v>
      </c>
      <c r="F61" t="s">
        <v>6604</v>
      </c>
      <c r="G61">
        <v>0</v>
      </c>
    </row>
    <row r="62" spans="1:7">
      <c r="A62" t="s">
        <v>6174</v>
      </c>
      <c r="C62" t="s">
        <v>6605</v>
      </c>
      <c r="D62" t="s">
        <v>6606</v>
      </c>
      <c r="E62" t="s">
        <v>6607</v>
      </c>
      <c r="F62" t="s">
        <v>6608</v>
      </c>
      <c r="G62">
        <v>1</v>
      </c>
    </row>
    <row r="63" spans="1:7">
      <c r="A63" s="29" t="s">
        <v>6240</v>
      </c>
      <c r="C63" t="s">
        <v>6609</v>
      </c>
      <c r="D63" t="s">
        <v>6610</v>
      </c>
      <c r="E63" t="s">
        <v>6611</v>
      </c>
      <c r="F63" t="s">
        <v>6612</v>
      </c>
      <c r="G63">
        <v>2</v>
      </c>
    </row>
    <row r="64" spans="1:7">
      <c r="A64" t="s">
        <v>6308</v>
      </c>
      <c r="C64" t="s">
        <v>6613</v>
      </c>
      <c r="D64" t="s">
        <v>6614</v>
      </c>
      <c r="E64" t="s">
        <v>6615</v>
      </c>
      <c r="F64" t="s">
        <v>6616</v>
      </c>
      <c r="G64">
        <v>1</v>
      </c>
    </row>
    <row r="65" spans="1:7">
      <c r="C65" t="s">
        <v>6617</v>
      </c>
      <c r="D65" t="s">
        <v>6618</v>
      </c>
      <c r="E65" t="s">
        <v>6619</v>
      </c>
      <c r="F65" t="s">
        <v>6620</v>
      </c>
      <c r="G65">
        <v>1</v>
      </c>
    </row>
    <row r="66" spans="1:7">
      <c r="A66" t="s">
        <v>6104</v>
      </c>
      <c r="C66" t="s">
        <v>6621</v>
      </c>
      <c r="D66" t="s">
        <v>6622</v>
      </c>
      <c r="E66" t="s">
        <v>6623</v>
      </c>
      <c r="F66" t="s">
        <v>6624</v>
      </c>
      <c r="G66">
        <v>2</v>
      </c>
    </row>
    <row r="67" spans="1:7">
      <c r="A67" s="29" t="s">
        <v>6175</v>
      </c>
      <c r="C67" t="s">
        <v>6625</v>
      </c>
      <c r="D67" t="s">
        <v>6626</v>
      </c>
      <c r="E67" t="s">
        <v>6627</v>
      </c>
      <c r="F67" t="s">
        <v>6628</v>
      </c>
      <c r="G67">
        <v>2</v>
      </c>
    </row>
    <row r="68" spans="1:7">
      <c r="A68" t="s">
        <v>6241</v>
      </c>
      <c r="C68" t="s">
        <v>6629</v>
      </c>
      <c r="D68" t="s">
        <v>6630</v>
      </c>
      <c r="E68" t="s">
        <v>6631</v>
      </c>
      <c r="F68" t="s">
        <v>6632</v>
      </c>
      <c r="G68">
        <v>1</v>
      </c>
    </row>
    <row r="69" spans="1:7">
      <c r="A69" t="s">
        <v>6309</v>
      </c>
      <c r="C69" t="s">
        <v>6633</v>
      </c>
      <c r="D69" t="s">
        <v>6634</v>
      </c>
      <c r="E69" t="s">
        <v>6635</v>
      </c>
      <c r="F69" t="s">
        <v>6636</v>
      </c>
      <c r="G69">
        <v>1</v>
      </c>
    </row>
    <row r="70" spans="1:7">
      <c r="C70" t="s">
        <v>6637</v>
      </c>
      <c r="D70" t="s">
        <v>6638</v>
      </c>
      <c r="E70" t="s">
        <v>6639</v>
      </c>
      <c r="F70" t="s">
        <v>6640</v>
      </c>
      <c r="G70">
        <v>0</v>
      </c>
    </row>
    <row r="71" spans="1:7">
      <c r="A71" t="s">
        <v>6105</v>
      </c>
      <c r="C71" t="s">
        <v>6641</v>
      </c>
      <c r="D71" t="s">
        <v>6642</v>
      </c>
      <c r="E71" t="s">
        <v>6643</v>
      </c>
      <c r="F71" t="s">
        <v>6644</v>
      </c>
      <c r="G71">
        <v>1</v>
      </c>
    </row>
    <row r="72" spans="1:7">
      <c r="A72" t="s">
        <v>6176</v>
      </c>
      <c r="C72" t="s">
        <v>6645</v>
      </c>
      <c r="D72" t="s">
        <v>6646</v>
      </c>
      <c r="E72" t="s">
        <v>6647</v>
      </c>
      <c r="F72" t="s">
        <v>6648</v>
      </c>
      <c r="G72">
        <v>1</v>
      </c>
    </row>
    <row r="73" spans="1:7">
      <c r="A73" s="29" t="s">
        <v>6242</v>
      </c>
      <c r="G73">
        <v>2</v>
      </c>
    </row>
    <row r="74" spans="1:7">
      <c r="A74" t="s">
        <v>6310</v>
      </c>
      <c r="G74">
        <v>2</v>
      </c>
    </row>
    <row r="75" spans="1:7">
      <c r="G75">
        <v>2</v>
      </c>
    </row>
    <row r="76" spans="1:7">
      <c r="A76" t="s">
        <v>6106</v>
      </c>
      <c r="G76">
        <v>2</v>
      </c>
    </row>
    <row r="77" spans="1:7">
      <c r="A77" t="s">
        <v>6177</v>
      </c>
      <c r="G77">
        <v>2</v>
      </c>
    </row>
    <row r="78" spans="1:7">
      <c r="A78" s="29" t="s">
        <v>6243</v>
      </c>
      <c r="G78">
        <v>2</v>
      </c>
    </row>
    <row r="79" spans="1:7">
      <c r="A79" t="s">
        <v>6311</v>
      </c>
      <c r="G79">
        <v>2</v>
      </c>
    </row>
    <row r="80" spans="1:7">
      <c r="G80">
        <v>2</v>
      </c>
    </row>
    <row r="81" spans="1:7">
      <c r="A81" t="s">
        <v>6107</v>
      </c>
      <c r="G81">
        <v>2</v>
      </c>
    </row>
    <row r="82" spans="1:7">
      <c r="A82" t="s">
        <v>1736</v>
      </c>
      <c r="G82">
        <v>2</v>
      </c>
    </row>
    <row r="83" spans="1:7">
      <c r="A83" s="29" t="s">
        <v>6244</v>
      </c>
      <c r="G83">
        <v>2</v>
      </c>
    </row>
    <row r="84" spans="1:7">
      <c r="A84" t="s">
        <v>1738</v>
      </c>
      <c r="G84">
        <v>2</v>
      </c>
    </row>
    <row r="85" spans="1:7">
      <c r="G85">
        <v>2</v>
      </c>
    </row>
    <row r="86" spans="1:7">
      <c r="A86" t="s">
        <v>6108</v>
      </c>
      <c r="G86">
        <v>2</v>
      </c>
    </row>
    <row r="87" spans="1:7">
      <c r="A87" t="s">
        <v>141</v>
      </c>
      <c r="G87">
        <v>2</v>
      </c>
    </row>
    <row r="88" spans="1:7">
      <c r="A88" s="29" t="s">
        <v>626</v>
      </c>
      <c r="G88">
        <v>2</v>
      </c>
    </row>
    <row r="89" spans="1:7">
      <c r="A89" t="s">
        <v>6062</v>
      </c>
      <c r="G89">
        <v>2</v>
      </c>
    </row>
    <row r="90" spans="1:7">
      <c r="G90">
        <v>2</v>
      </c>
    </row>
    <row r="91" spans="1:7">
      <c r="A91" t="s">
        <v>6109</v>
      </c>
      <c r="G91">
        <v>2</v>
      </c>
    </row>
    <row r="92" spans="1:7">
      <c r="A92" s="29" t="s">
        <v>6178</v>
      </c>
      <c r="G92">
        <v>2</v>
      </c>
    </row>
    <row r="93" spans="1:7">
      <c r="A93" t="s">
        <v>6245</v>
      </c>
      <c r="G93">
        <v>2</v>
      </c>
    </row>
    <row r="94" spans="1:7">
      <c r="A94" t="s">
        <v>6312</v>
      </c>
      <c r="G94">
        <v>2</v>
      </c>
    </row>
    <row r="95" spans="1:7">
      <c r="G95">
        <v>2</v>
      </c>
    </row>
    <row r="96" spans="1:7">
      <c r="A96" t="s">
        <v>6110</v>
      </c>
      <c r="G96">
        <v>2</v>
      </c>
    </row>
    <row r="97" spans="1:7">
      <c r="A97" t="s">
        <v>6179</v>
      </c>
      <c r="G97">
        <v>2</v>
      </c>
    </row>
    <row r="98" spans="1:7">
      <c r="A98" s="29" t="s">
        <v>6246</v>
      </c>
      <c r="G98">
        <v>2</v>
      </c>
    </row>
    <row r="99" spans="1:7">
      <c r="A99" t="s">
        <v>6313</v>
      </c>
      <c r="G99">
        <v>2</v>
      </c>
    </row>
    <row r="100" spans="1:7">
      <c r="G100">
        <v>2</v>
      </c>
    </row>
    <row r="101" spans="1:7">
      <c r="A101" t="s">
        <v>6111</v>
      </c>
      <c r="G101">
        <v>2</v>
      </c>
    </row>
    <row r="102" spans="1:7">
      <c r="A102" t="s">
        <v>6180</v>
      </c>
      <c r="G102">
        <v>2</v>
      </c>
    </row>
    <row r="103" spans="1:7">
      <c r="A103" t="s">
        <v>6247</v>
      </c>
      <c r="G103">
        <v>2</v>
      </c>
    </row>
    <row r="104" spans="1:7">
      <c r="A104" s="29" t="s">
        <v>6314</v>
      </c>
      <c r="G104">
        <v>2</v>
      </c>
    </row>
    <row r="105" spans="1:7">
      <c r="G105">
        <v>2</v>
      </c>
    </row>
    <row r="106" spans="1:7">
      <c r="A106" t="s">
        <v>6112</v>
      </c>
      <c r="G106">
        <v>2</v>
      </c>
    </row>
    <row r="107" spans="1:7">
      <c r="A107" s="29" t="s">
        <v>6181</v>
      </c>
      <c r="G107">
        <v>2</v>
      </c>
    </row>
    <row r="108" spans="1:7">
      <c r="A108" t="s">
        <v>6248</v>
      </c>
      <c r="G108">
        <v>2</v>
      </c>
    </row>
    <row r="109" spans="1:7">
      <c r="A109" t="s">
        <v>6315</v>
      </c>
      <c r="G109">
        <v>2</v>
      </c>
    </row>
    <row r="110" spans="1:7">
      <c r="G110">
        <v>2</v>
      </c>
    </row>
    <row r="111" spans="1:7">
      <c r="A111" t="s">
        <v>6113</v>
      </c>
      <c r="G111">
        <v>2</v>
      </c>
    </row>
    <row r="112" spans="1:7">
      <c r="A112" t="s">
        <v>6182</v>
      </c>
      <c r="G112">
        <v>2</v>
      </c>
    </row>
    <row r="113" spans="1:7">
      <c r="A113" t="s">
        <v>6249</v>
      </c>
      <c r="G113">
        <v>2</v>
      </c>
    </row>
    <row r="114" spans="1:7">
      <c r="A114" s="29" t="s">
        <v>6316</v>
      </c>
      <c r="G114">
        <v>2</v>
      </c>
    </row>
    <row r="115" spans="1:7">
      <c r="G115">
        <v>2</v>
      </c>
    </row>
    <row r="116" spans="1:7">
      <c r="A116" t="s">
        <v>6114</v>
      </c>
      <c r="G116">
        <v>2</v>
      </c>
    </row>
    <row r="117" spans="1:7">
      <c r="A117" s="29" t="s">
        <v>6183</v>
      </c>
      <c r="G117">
        <v>2</v>
      </c>
    </row>
    <row r="118" spans="1:7">
      <c r="A118" t="s">
        <v>560</v>
      </c>
      <c r="G118">
        <v>2</v>
      </c>
    </row>
    <row r="119" spans="1:7">
      <c r="A119" t="s">
        <v>6317</v>
      </c>
      <c r="G119">
        <v>2</v>
      </c>
    </row>
    <row r="120" spans="1:7">
      <c r="G120">
        <v>2</v>
      </c>
    </row>
    <row r="121" spans="1:7">
      <c r="A121" t="s">
        <v>6115</v>
      </c>
      <c r="G121">
        <v>2</v>
      </c>
    </row>
    <row r="122" spans="1:7">
      <c r="A122" t="s">
        <v>6184</v>
      </c>
      <c r="G122">
        <v>2</v>
      </c>
    </row>
    <row r="123" spans="1:7">
      <c r="A123" s="29" t="s">
        <v>6250</v>
      </c>
      <c r="G123">
        <v>2</v>
      </c>
    </row>
    <row r="124" spans="1:7">
      <c r="A124" t="s">
        <v>6318</v>
      </c>
      <c r="G124">
        <v>2</v>
      </c>
    </row>
    <row r="125" spans="1:7">
      <c r="G125">
        <v>2</v>
      </c>
    </row>
    <row r="126" spans="1:7">
      <c r="A126" t="s">
        <v>6116</v>
      </c>
      <c r="G126">
        <v>2</v>
      </c>
    </row>
    <row r="127" spans="1:7">
      <c r="A127" t="s">
        <v>6185</v>
      </c>
      <c r="G127">
        <v>2</v>
      </c>
    </row>
    <row r="128" spans="1:7">
      <c r="A128" t="s">
        <v>6251</v>
      </c>
      <c r="G128">
        <v>2</v>
      </c>
    </row>
    <row r="129" spans="1:7">
      <c r="A129" s="29" t="s">
        <v>6319</v>
      </c>
      <c r="G129">
        <v>2</v>
      </c>
    </row>
    <row r="130" spans="1:7">
      <c r="G130">
        <v>2</v>
      </c>
    </row>
    <row r="131" spans="1:7">
      <c r="A131" t="s">
        <v>6117</v>
      </c>
      <c r="G131">
        <v>2</v>
      </c>
    </row>
    <row r="132" spans="1:7">
      <c r="A132" s="29" t="s">
        <v>6186</v>
      </c>
      <c r="G132">
        <v>2</v>
      </c>
    </row>
    <row r="133" spans="1:7">
      <c r="A133" t="s">
        <v>6252</v>
      </c>
      <c r="G133">
        <v>2</v>
      </c>
    </row>
    <row r="134" spans="1:7">
      <c r="A134" t="s">
        <v>6320</v>
      </c>
      <c r="G134">
        <v>2</v>
      </c>
    </row>
    <row r="135" spans="1:7">
      <c r="G135">
        <v>2</v>
      </c>
    </row>
    <row r="136" spans="1:7">
      <c r="A136" t="s">
        <v>6118</v>
      </c>
      <c r="G136">
        <v>2</v>
      </c>
    </row>
    <row r="137" spans="1:7">
      <c r="A137" t="s">
        <v>6187</v>
      </c>
      <c r="G137">
        <v>2</v>
      </c>
    </row>
    <row r="138" spans="1:7">
      <c r="A138" s="29" t="s">
        <v>6253</v>
      </c>
      <c r="G138">
        <v>2</v>
      </c>
    </row>
    <row r="139" spans="1:7">
      <c r="A139" t="s">
        <v>6321</v>
      </c>
      <c r="G139">
        <v>2</v>
      </c>
    </row>
    <row r="140" spans="1:7">
      <c r="G140">
        <v>2</v>
      </c>
    </row>
    <row r="141" spans="1:7">
      <c r="A141" t="s">
        <v>6119</v>
      </c>
      <c r="G141">
        <v>2</v>
      </c>
    </row>
    <row r="142" spans="1:7">
      <c r="A142" s="29" t="s">
        <v>6188</v>
      </c>
      <c r="G142">
        <v>2</v>
      </c>
    </row>
    <row r="143" spans="1:7">
      <c r="A143" t="s">
        <v>6254</v>
      </c>
      <c r="G143">
        <v>2</v>
      </c>
    </row>
    <row r="144" spans="1:7">
      <c r="A144" t="s">
        <v>6322</v>
      </c>
      <c r="G144">
        <v>2</v>
      </c>
    </row>
    <row r="145" spans="1:7">
      <c r="G145">
        <v>2</v>
      </c>
    </row>
    <row r="146" spans="1:7">
      <c r="A146" t="s">
        <v>6120</v>
      </c>
      <c r="G146">
        <v>2</v>
      </c>
    </row>
    <row r="147" spans="1:7">
      <c r="A147" t="s">
        <v>6189</v>
      </c>
      <c r="G147">
        <v>2</v>
      </c>
    </row>
    <row r="148" spans="1:7">
      <c r="A148" s="29" t="s">
        <v>6255</v>
      </c>
      <c r="G148">
        <v>2</v>
      </c>
    </row>
    <row r="149" spans="1:7">
      <c r="A149" t="s">
        <v>6323</v>
      </c>
      <c r="G149">
        <v>2</v>
      </c>
    </row>
    <row r="150" spans="1:7">
      <c r="G150">
        <v>2</v>
      </c>
    </row>
    <row r="151" spans="1:7">
      <c r="A151" t="s">
        <v>6121</v>
      </c>
      <c r="G151">
        <v>2</v>
      </c>
    </row>
    <row r="152" spans="1:7">
      <c r="A152" t="s">
        <v>6190</v>
      </c>
      <c r="G152">
        <v>2</v>
      </c>
    </row>
    <row r="153" spans="1:7">
      <c r="A153" t="s">
        <v>6256</v>
      </c>
      <c r="G153">
        <v>2</v>
      </c>
    </row>
    <row r="154" spans="1:7">
      <c r="A154" s="29" t="s">
        <v>6324</v>
      </c>
      <c r="G154">
        <v>2</v>
      </c>
    </row>
    <row r="155" spans="1:7">
      <c r="G155">
        <v>2</v>
      </c>
    </row>
    <row r="156" spans="1:7">
      <c r="A156" t="s">
        <v>6122</v>
      </c>
      <c r="G156">
        <v>2</v>
      </c>
    </row>
    <row r="157" spans="1:7">
      <c r="A157" t="s">
        <v>6191</v>
      </c>
      <c r="G157">
        <v>2</v>
      </c>
    </row>
    <row r="158" spans="1:7">
      <c r="A158" s="29" t="s">
        <v>6257</v>
      </c>
      <c r="G158">
        <v>2</v>
      </c>
    </row>
    <row r="159" spans="1:7">
      <c r="A159" t="s">
        <v>6325</v>
      </c>
      <c r="G159">
        <v>2</v>
      </c>
    </row>
    <row r="160" spans="1:7">
      <c r="G160">
        <v>2</v>
      </c>
    </row>
    <row r="161" spans="1:7">
      <c r="A161" t="s">
        <v>6123</v>
      </c>
      <c r="G161">
        <v>2</v>
      </c>
    </row>
    <row r="162" spans="1:7">
      <c r="A162" t="s">
        <v>6192</v>
      </c>
      <c r="G162">
        <v>2</v>
      </c>
    </row>
    <row r="163" spans="1:7">
      <c r="A163" t="s">
        <v>6258</v>
      </c>
      <c r="G163">
        <v>2</v>
      </c>
    </row>
    <row r="164" spans="1:7">
      <c r="A164" s="29" t="s">
        <v>6326</v>
      </c>
      <c r="G164">
        <v>2</v>
      </c>
    </row>
    <row r="165" spans="1:7">
      <c r="G165">
        <v>2</v>
      </c>
    </row>
    <row r="166" spans="1:7">
      <c r="A166" t="s">
        <v>6124</v>
      </c>
      <c r="G166">
        <v>2</v>
      </c>
    </row>
    <row r="167" spans="1:7">
      <c r="A167" t="s">
        <v>6193</v>
      </c>
      <c r="G167">
        <v>2</v>
      </c>
    </row>
    <row r="168" spans="1:7">
      <c r="A168" t="s">
        <v>6259</v>
      </c>
      <c r="G168">
        <v>2</v>
      </c>
    </row>
    <row r="169" spans="1:7">
      <c r="A169" s="29" t="s">
        <v>6327</v>
      </c>
      <c r="G169">
        <v>2</v>
      </c>
    </row>
    <row r="170" spans="1:7">
      <c r="G170">
        <v>2</v>
      </c>
    </row>
    <row r="171" spans="1:7">
      <c r="A171" t="s">
        <v>6125</v>
      </c>
      <c r="G171">
        <v>2</v>
      </c>
    </row>
    <row r="172" spans="1:7">
      <c r="A172" s="29" t="s">
        <v>6194</v>
      </c>
      <c r="G172">
        <v>2</v>
      </c>
    </row>
    <row r="173" spans="1:7">
      <c r="A173" t="s">
        <v>6260</v>
      </c>
      <c r="G173">
        <v>2</v>
      </c>
    </row>
    <row r="174" spans="1:7">
      <c r="A174" t="s">
        <v>6328</v>
      </c>
      <c r="G174">
        <v>2</v>
      </c>
    </row>
    <row r="175" spans="1:7">
      <c r="G175">
        <v>2</v>
      </c>
    </row>
    <row r="176" spans="1:7">
      <c r="A176" t="s">
        <v>6126</v>
      </c>
      <c r="G176">
        <v>2</v>
      </c>
    </row>
    <row r="177" spans="1:7">
      <c r="A177" t="s">
        <v>6195</v>
      </c>
      <c r="G177">
        <v>2</v>
      </c>
    </row>
    <row r="178" spans="1:7">
      <c r="A178" t="s">
        <v>6261</v>
      </c>
      <c r="G178">
        <v>2</v>
      </c>
    </row>
    <row r="179" spans="1:7">
      <c r="A179" s="29" t="s">
        <v>6329</v>
      </c>
      <c r="G179">
        <v>2</v>
      </c>
    </row>
    <row r="180" spans="1:7">
      <c r="G180">
        <v>2</v>
      </c>
    </row>
    <row r="181" spans="1:7">
      <c r="A181" t="s">
        <v>6127</v>
      </c>
      <c r="G181">
        <v>2</v>
      </c>
    </row>
    <row r="182" spans="1:7">
      <c r="A182" t="s">
        <v>6196</v>
      </c>
      <c r="G182">
        <v>2</v>
      </c>
    </row>
    <row r="183" spans="1:7">
      <c r="A183" t="s">
        <v>6262</v>
      </c>
      <c r="G183">
        <v>2</v>
      </c>
    </row>
    <row r="184" spans="1:7">
      <c r="A184" s="29" t="s">
        <v>6330</v>
      </c>
      <c r="G184">
        <v>2</v>
      </c>
    </row>
    <row r="185" spans="1:7">
      <c r="G185">
        <v>2</v>
      </c>
    </row>
    <row r="186" spans="1:7">
      <c r="A186" t="s">
        <v>6128</v>
      </c>
      <c r="G186">
        <v>2</v>
      </c>
    </row>
    <row r="187" spans="1:7">
      <c r="A187" t="s">
        <v>6197</v>
      </c>
      <c r="G187">
        <v>2</v>
      </c>
    </row>
    <row r="188" spans="1:7">
      <c r="A188" s="29" t="s">
        <v>6263</v>
      </c>
      <c r="G188">
        <v>2</v>
      </c>
    </row>
    <row r="189" spans="1:7">
      <c r="A189" t="s">
        <v>6331</v>
      </c>
      <c r="G189">
        <v>2</v>
      </c>
    </row>
    <row r="190" spans="1:7">
      <c r="G190">
        <v>2</v>
      </c>
    </row>
    <row r="191" spans="1:7">
      <c r="A191" t="s">
        <v>6129</v>
      </c>
      <c r="G191">
        <v>2</v>
      </c>
    </row>
    <row r="192" spans="1:7">
      <c r="A192" s="29" t="s">
        <v>6198</v>
      </c>
      <c r="G192">
        <v>2</v>
      </c>
    </row>
    <row r="193" spans="1:7">
      <c r="A193" t="s">
        <v>6264</v>
      </c>
      <c r="G193">
        <v>2</v>
      </c>
    </row>
    <row r="194" spans="1:7">
      <c r="A194" t="s">
        <v>6332</v>
      </c>
      <c r="G194">
        <v>2</v>
      </c>
    </row>
    <row r="195" spans="1:7">
      <c r="G195">
        <v>2</v>
      </c>
    </row>
    <row r="196" spans="1:7">
      <c r="A196" t="s">
        <v>6130</v>
      </c>
      <c r="G196">
        <v>2</v>
      </c>
    </row>
    <row r="197" spans="1:7">
      <c r="A197" s="29">
        <v>1987</v>
      </c>
      <c r="G197">
        <v>2</v>
      </c>
    </row>
    <row r="198" spans="1:7">
      <c r="A198" t="s">
        <v>6265</v>
      </c>
      <c r="G198">
        <v>2</v>
      </c>
    </row>
    <row r="199" spans="1:7">
      <c r="A199" t="s">
        <v>6333</v>
      </c>
      <c r="G199">
        <v>2</v>
      </c>
    </row>
    <row r="200" spans="1:7">
      <c r="G200">
        <v>2</v>
      </c>
    </row>
    <row r="201" spans="1:7">
      <c r="A201" t="s">
        <v>6131</v>
      </c>
      <c r="G201">
        <v>2</v>
      </c>
    </row>
    <row r="202" spans="1:7">
      <c r="A202" t="s">
        <v>6199</v>
      </c>
      <c r="G202">
        <v>2</v>
      </c>
    </row>
    <row r="203" spans="1:7">
      <c r="A203" s="29" t="s">
        <v>6266</v>
      </c>
      <c r="G203">
        <v>2</v>
      </c>
    </row>
    <row r="204" spans="1:7">
      <c r="A204" t="s">
        <v>6334</v>
      </c>
      <c r="G204">
        <v>2</v>
      </c>
    </row>
    <row r="205" spans="1:7">
      <c r="G205">
        <v>2</v>
      </c>
    </row>
    <row r="206" spans="1:7">
      <c r="A206" t="s">
        <v>6132</v>
      </c>
      <c r="G206">
        <v>2</v>
      </c>
    </row>
    <row r="207" spans="1:7">
      <c r="A207" s="29" t="s">
        <v>6200</v>
      </c>
      <c r="G207">
        <v>2</v>
      </c>
    </row>
    <row r="208" spans="1:7">
      <c r="A208" t="s">
        <v>6267</v>
      </c>
      <c r="G208">
        <v>2</v>
      </c>
    </row>
    <row r="209" spans="1:7">
      <c r="A209" t="s">
        <v>6335</v>
      </c>
      <c r="G209">
        <v>2</v>
      </c>
    </row>
    <row r="210" spans="1:7">
      <c r="G210">
        <v>2</v>
      </c>
    </row>
    <row r="211" spans="1:7">
      <c r="A211" t="s">
        <v>6133</v>
      </c>
      <c r="G211">
        <v>2</v>
      </c>
    </row>
    <row r="212" spans="1:7">
      <c r="A212" s="29" t="s">
        <v>6201</v>
      </c>
      <c r="G212">
        <v>2</v>
      </c>
    </row>
    <row r="213" spans="1:7">
      <c r="A213" t="s">
        <v>6268</v>
      </c>
      <c r="G213">
        <v>2</v>
      </c>
    </row>
    <row r="214" spans="1:7">
      <c r="A214" t="s">
        <v>6336</v>
      </c>
      <c r="G214">
        <v>2</v>
      </c>
    </row>
    <row r="215" spans="1:7">
      <c r="G215">
        <v>2</v>
      </c>
    </row>
    <row r="216" spans="1:7">
      <c r="A216" t="s">
        <v>6134</v>
      </c>
      <c r="G216">
        <v>2</v>
      </c>
    </row>
    <row r="217" spans="1:7">
      <c r="A217" t="s">
        <v>6202</v>
      </c>
      <c r="G217">
        <v>2</v>
      </c>
    </row>
    <row r="218" spans="1:7">
      <c r="A218" s="29" t="s">
        <v>6269</v>
      </c>
      <c r="G218">
        <v>2</v>
      </c>
    </row>
    <row r="219" spans="1:7">
      <c r="A219" t="s">
        <v>6337</v>
      </c>
      <c r="G219">
        <v>2</v>
      </c>
    </row>
    <row r="220" spans="1:7">
      <c r="G220">
        <v>2</v>
      </c>
    </row>
    <row r="221" spans="1:7">
      <c r="A221" t="s">
        <v>6135</v>
      </c>
      <c r="G221">
        <v>2</v>
      </c>
    </row>
    <row r="222" spans="1:7">
      <c r="A222" t="s">
        <v>6203</v>
      </c>
      <c r="G222">
        <v>2</v>
      </c>
    </row>
    <row r="223" spans="1:7">
      <c r="A223" s="29" t="s">
        <v>6270</v>
      </c>
      <c r="G223">
        <v>2</v>
      </c>
    </row>
    <row r="224" spans="1:7">
      <c r="A224" t="s">
        <v>6338</v>
      </c>
      <c r="G224">
        <v>2</v>
      </c>
    </row>
    <row r="225" spans="1:7">
      <c r="G225">
        <v>2</v>
      </c>
    </row>
    <row r="226" spans="1:7">
      <c r="A226" t="s">
        <v>6136</v>
      </c>
      <c r="G226">
        <v>2</v>
      </c>
    </row>
    <row r="227" spans="1:7">
      <c r="A227" s="29" t="s">
        <v>6204</v>
      </c>
      <c r="G227">
        <v>2</v>
      </c>
    </row>
    <row r="228" spans="1:7">
      <c r="A228" t="s">
        <v>6271</v>
      </c>
      <c r="G228">
        <v>2</v>
      </c>
    </row>
    <row r="229" spans="1:7">
      <c r="A229" t="s">
        <v>6339</v>
      </c>
      <c r="G229">
        <v>2</v>
      </c>
    </row>
    <row r="230" spans="1:7">
      <c r="G230">
        <v>2</v>
      </c>
    </row>
    <row r="231" spans="1:7">
      <c r="A231" t="s">
        <v>6137</v>
      </c>
      <c r="G231">
        <v>2</v>
      </c>
    </row>
    <row r="232" spans="1:7">
      <c r="A232" t="s">
        <v>6205</v>
      </c>
      <c r="G232">
        <v>2</v>
      </c>
    </row>
    <row r="233" spans="1:7">
      <c r="A233" t="s">
        <v>6272</v>
      </c>
      <c r="G233">
        <v>2</v>
      </c>
    </row>
    <row r="234" spans="1:7">
      <c r="A234" s="29" t="s">
        <v>6340</v>
      </c>
      <c r="G234">
        <v>2</v>
      </c>
    </row>
    <row r="235" spans="1:7">
      <c r="G235">
        <v>2</v>
      </c>
    </row>
    <row r="236" spans="1:7">
      <c r="A236" t="s">
        <v>6138</v>
      </c>
      <c r="G236">
        <v>2</v>
      </c>
    </row>
    <row r="237" spans="1:7">
      <c r="A237" t="s">
        <v>6206</v>
      </c>
      <c r="G237">
        <v>2</v>
      </c>
    </row>
    <row r="238" spans="1:7">
      <c r="A238" t="s">
        <v>6273</v>
      </c>
      <c r="G238">
        <v>2</v>
      </c>
    </row>
    <row r="239" spans="1:7">
      <c r="A239" s="29" t="s">
        <v>6341</v>
      </c>
      <c r="G239">
        <v>2</v>
      </c>
    </row>
    <row r="240" spans="1:7">
      <c r="G240">
        <v>2</v>
      </c>
    </row>
    <row r="241" spans="1:7">
      <c r="A241" t="s">
        <v>6139</v>
      </c>
      <c r="G241">
        <v>2</v>
      </c>
    </row>
    <row r="242" spans="1:7">
      <c r="A242" s="29" t="s">
        <v>6207</v>
      </c>
      <c r="G242">
        <v>2</v>
      </c>
    </row>
    <row r="243" spans="1:7">
      <c r="A243" t="s">
        <v>6274</v>
      </c>
      <c r="G243">
        <v>2</v>
      </c>
    </row>
    <row r="244" spans="1:7">
      <c r="A244" t="s">
        <v>6342</v>
      </c>
      <c r="G244">
        <v>2</v>
      </c>
    </row>
    <row r="245" spans="1:7">
      <c r="G245">
        <v>2</v>
      </c>
    </row>
    <row r="246" spans="1:7">
      <c r="A246" t="s">
        <v>6140</v>
      </c>
      <c r="G246">
        <v>2</v>
      </c>
    </row>
    <row r="247" spans="1:7">
      <c r="A247" s="29" t="s">
        <v>6208</v>
      </c>
      <c r="G247">
        <v>2</v>
      </c>
    </row>
    <row r="248" spans="1:7">
      <c r="A248" t="s">
        <v>6275</v>
      </c>
      <c r="G248">
        <v>2</v>
      </c>
    </row>
    <row r="249" spans="1:7">
      <c r="A249" t="s">
        <v>6343</v>
      </c>
      <c r="G249">
        <v>2</v>
      </c>
    </row>
    <row r="250" spans="1:7">
      <c r="G250">
        <v>2</v>
      </c>
    </row>
    <row r="251" spans="1:7">
      <c r="A251" t="s">
        <v>6141</v>
      </c>
      <c r="G251">
        <v>2</v>
      </c>
    </row>
    <row r="252" spans="1:7">
      <c r="A252" t="s">
        <v>6209</v>
      </c>
      <c r="G252">
        <v>2</v>
      </c>
    </row>
    <row r="253" spans="1:7">
      <c r="A253" t="s">
        <v>6276</v>
      </c>
      <c r="G253">
        <v>2</v>
      </c>
    </row>
    <row r="254" spans="1:7">
      <c r="A254" s="29" t="s">
        <v>6344</v>
      </c>
      <c r="G254">
        <v>2</v>
      </c>
    </row>
    <row r="255" spans="1:7">
      <c r="G255">
        <v>2</v>
      </c>
    </row>
    <row r="256" spans="1:7">
      <c r="A256" t="s">
        <v>6142</v>
      </c>
      <c r="G256">
        <v>2</v>
      </c>
    </row>
    <row r="257" spans="1:7">
      <c r="A257" s="29" t="s">
        <v>6210</v>
      </c>
      <c r="G257">
        <v>2</v>
      </c>
    </row>
    <row r="258" spans="1:7">
      <c r="A258" t="s">
        <v>6277</v>
      </c>
      <c r="G258">
        <v>2</v>
      </c>
    </row>
    <row r="259" spans="1:7">
      <c r="A259" t="s">
        <v>6345</v>
      </c>
      <c r="G259">
        <v>2</v>
      </c>
    </row>
    <row r="260" spans="1:7">
      <c r="G260">
        <v>2</v>
      </c>
    </row>
    <row r="261" spans="1:7">
      <c r="A261" t="s">
        <v>6143</v>
      </c>
      <c r="G261">
        <v>2</v>
      </c>
    </row>
    <row r="262" spans="1:7">
      <c r="A262" t="s">
        <v>6211</v>
      </c>
      <c r="G262">
        <v>2</v>
      </c>
    </row>
    <row r="263" spans="1:7">
      <c r="A263" s="29" t="s">
        <v>6278</v>
      </c>
      <c r="G263">
        <v>2</v>
      </c>
    </row>
    <row r="264" spans="1:7">
      <c r="A264" t="s">
        <v>6346</v>
      </c>
      <c r="G264">
        <v>2</v>
      </c>
    </row>
    <row r="265" spans="1:7">
      <c r="G265">
        <v>2</v>
      </c>
    </row>
    <row r="266" spans="1:7">
      <c r="A266" t="s">
        <v>6144</v>
      </c>
      <c r="G266">
        <v>2</v>
      </c>
    </row>
    <row r="267" spans="1:7">
      <c r="A267" s="29" t="s">
        <v>6212</v>
      </c>
      <c r="G267">
        <v>2</v>
      </c>
    </row>
    <row r="268" spans="1:7">
      <c r="A268" t="s">
        <v>6279</v>
      </c>
      <c r="G268">
        <v>2</v>
      </c>
    </row>
    <row r="269" spans="1:7">
      <c r="A269" t="s">
        <v>6347</v>
      </c>
      <c r="G269">
        <v>2</v>
      </c>
    </row>
    <row r="270" spans="1:7">
      <c r="G270">
        <v>2</v>
      </c>
    </row>
    <row r="271" spans="1:7">
      <c r="A271" t="s">
        <v>6145</v>
      </c>
      <c r="G271">
        <v>2</v>
      </c>
    </row>
    <row r="272" spans="1:7">
      <c r="A272" t="s">
        <v>6213</v>
      </c>
      <c r="G272">
        <v>2</v>
      </c>
    </row>
    <row r="273" spans="1:7">
      <c r="A273" t="s">
        <v>6280</v>
      </c>
      <c r="G273">
        <v>2</v>
      </c>
    </row>
    <row r="274" spans="1:7">
      <c r="A274" s="29" t="s">
        <v>6348</v>
      </c>
      <c r="G274">
        <v>2</v>
      </c>
    </row>
    <row r="275" spans="1:7">
      <c r="G275">
        <v>2</v>
      </c>
    </row>
    <row r="276" spans="1:7">
      <c r="A276" t="s">
        <v>6146</v>
      </c>
      <c r="G276">
        <v>2</v>
      </c>
    </row>
    <row r="277" spans="1:7">
      <c r="A277" s="29">
        <v>6</v>
      </c>
      <c r="G277">
        <v>2</v>
      </c>
    </row>
    <row r="278" spans="1:7">
      <c r="A278">
        <v>7</v>
      </c>
      <c r="G278">
        <v>2</v>
      </c>
    </row>
    <row r="279" spans="1:7">
      <c r="A279">
        <v>12</v>
      </c>
      <c r="G279">
        <v>2</v>
      </c>
    </row>
    <row r="280" spans="1:7">
      <c r="G280">
        <v>2</v>
      </c>
    </row>
    <row r="281" spans="1:7">
      <c r="A281" t="s">
        <v>6147</v>
      </c>
      <c r="G281">
        <v>2</v>
      </c>
    </row>
    <row r="282" spans="1:7">
      <c r="A282" t="s">
        <v>6214</v>
      </c>
      <c r="G282">
        <v>2</v>
      </c>
    </row>
    <row r="283" spans="1:7">
      <c r="A283" s="29" t="s">
        <v>6281</v>
      </c>
      <c r="G283">
        <v>2</v>
      </c>
    </row>
    <row r="284" spans="1:7">
      <c r="A284" t="s">
        <v>6349</v>
      </c>
      <c r="G284">
        <v>2</v>
      </c>
    </row>
    <row r="285" spans="1:7">
      <c r="G285">
        <v>2</v>
      </c>
    </row>
    <row r="286" spans="1:7">
      <c r="A286" t="s">
        <v>6148</v>
      </c>
      <c r="G286">
        <v>2</v>
      </c>
    </row>
    <row r="287" spans="1:7">
      <c r="A287" t="s">
        <v>6215</v>
      </c>
      <c r="G287">
        <v>2</v>
      </c>
    </row>
    <row r="288" spans="1:7">
      <c r="A288" s="29" t="s">
        <v>6282</v>
      </c>
      <c r="G288">
        <v>2</v>
      </c>
    </row>
    <row r="289" spans="1:7">
      <c r="A289" t="s">
        <v>6350</v>
      </c>
      <c r="G289">
        <v>2</v>
      </c>
    </row>
    <row r="290" spans="1:7">
      <c r="G290">
        <v>2</v>
      </c>
    </row>
    <row r="291" spans="1:7">
      <c r="A291" t="s">
        <v>6149</v>
      </c>
      <c r="G291">
        <v>2</v>
      </c>
    </row>
    <row r="292" spans="1:7">
      <c r="A292" s="29" t="s">
        <v>6216</v>
      </c>
      <c r="G292">
        <v>2</v>
      </c>
    </row>
    <row r="293" spans="1:7">
      <c r="A293" t="s">
        <v>6283</v>
      </c>
      <c r="G293">
        <v>2</v>
      </c>
    </row>
    <row r="294" spans="1:7">
      <c r="A294" t="s">
        <v>6351</v>
      </c>
      <c r="G294">
        <v>2</v>
      </c>
    </row>
    <row r="295" spans="1:7">
      <c r="G295">
        <v>2</v>
      </c>
    </row>
    <row r="296" spans="1:7">
      <c r="A296" t="s">
        <v>6150</v>
      </c>
      <c r="G296">
        <v>2</v>
      </c>
    </row>
    <row r="297" spans="1:7">
      <c r="A297" t="s">
        <v>6217</v>
      </c>
      <c r="G297">
        <v>2</v>
      </c>
    </row>
    <row r="298" spans="1:7">
      <c r="A298" t="s">
        <v>6284</v>
      </c>
      <c r="G298">
        <v>2</v>
      </c>
    </row>
    <row r="299" spans="1:7">
      <c r="A299" s="29" t="s">
        <v>6352</v>
      </c>
      <c r="G299">
        <v>2</v>
      </c>
    </row>
    <row r="300" spans="1:7">
      <c r="G300">
        <v>2</v>
      </c>
    </row>
    <row r="301" spans="1:7">
      <c r="A301" t="s">
        <v>6151</v>
      </c>
      <c r="G301">
        <v>2</v>
      </c>
    </row>
    <row r="302" spans="1:7">
      <c r="A302" s="29" t="s">
        <v>6218</v>
      </c>
      <c r="G302">
        <v>2</v>
      </c>
    </row>
    <row r="303" spans="1:7">
      <c r="A303" t="s">
        <v>6285</v>
      </c>
      <c r="G303">
        <v>2</v>
      </c>
    </row>
    <row r="304" spans="1:7">
      <c r="A304" t="s">
        <v>6353</v>
      </c>
      <c r="G304">
        <v>2</v>
      </c>
    </row>
    <row r="305" spans="1:7">
      <c r="G305">
        <v>2</v>
      </c>
    </row>
    <row r="306" spans="1:7">
      <c r="A306" t="s">
        <v>6152</v>
      </c>
      <c r="G306">
        <v>2</v>
      </c>
    </row>
    <row r="307" spans="1:7">
      <c r="A307" t="s">
        <v>6219</v>
      </c>
      <c r="G307">
        <v>2</v>
      </c>
    </row>
    <row r="308" spans="1:7">
      <c r="A308" s="29" t="s">
        <v>6286</v>
      </c>
      <c r="G308">
        <v>2</v>
      </c>
    </row>
    <row r="309" spans="1:7">
      <c r="A309" t="s">
        <v>6354</v>
      </c>
      <c r="G309">
        <v>2</v>
      </c>
    </row>
    <row r="310" spans="1:7">
      <c r="G310">
        <v>2</v>
      </c>
    </row>
    <row r="311" spans="1:7">
      <c r="A311" t="s">
        <v>6153</v>
      </c>
      <c r="G311">
        <v>2</v>
      </c>
    </row>
    <row r="312" spans="1:7">
      <c r="A312" t="s">
        <v>6220</v>
      </c>
      <c r="G312">
        <v>2</v>
      </c>
    </row>
    <row r="313" spans="1:7">
      <c r="A313" t="s">
        <v>6287</v>
      </c>
      <c r="G313">
        <v>2</v>
      </c>
    </row>
    <row r="314" spans="1:7">
      <c r="A314" s="29" t="s">
        <v>6355</v>
      </c>
      <c r="G314">
        <v>2</v>
      </c>
    </row>
    <row r="315" spans="1:7">
      <c r="G315">
        <v>2</v>
      </c>
    </row>
    <row r="316" spans="1:7">
      <c r="A316" t="s">
        <v>6154</v>
      </c>
      <c r="G316">
        <v>2</v>
      </c>
    </row>
    <row r="317" spans="1:7">
      <c r="A317" t="s">
        <v>6221</v>
      </c>
      <c r="G317">
        <v>2</v>
      </c>
    </row>
    <row r="318" spans="1:7">
      <c r="A318" s="29" t="s">
        <v>6288</v>
      </c>
      <c r="G318">
        <v>2</v>
      </c>
    </row>
    <row r="319" spans="1:7">
      <c r="A319" t="s">
        <v>6356</v>
      </c>
      <c r="G319">
        <v>2</v>
      </c>
    </row>
    <row r="320" spans="1:7">
      <c r="G320">
        <v>2</v>
      </c>
    </row>
    <row r="321" spans="1:7">
      <c r="A321" t="s">
        <v>6155</v>
      </c>
      <c r="G321">
        <v>2</v>
      </c>
    </row>
    <row r="322" spans="1:7">
      <c r="A322" t="s">
        <v>6222</v>
      </c>
      <c r="G322">
        <v>2</v>
      </c>
    </row>
    <row r="323" spans="1:7">
      <c r="A323" s="29" t="s">
        <v>6289</v>
      </c>
      <c r="G323">
        <v>2</v>
      </c>
    </row>
    <row r="324" spans="1:7">
      <c r="A324" t="s">
        <v>6357</v>
      </c>
      <c r="G324">
        <v>2</v>
      </c>
    </row>
    <row r="325" spans="1:7">
      <c r="G325">
        <v>2</v>
      </c>
    </row>
    <row r="326" spans="1:7">
      <c r="A326" t="s">
        <v>6156</v>
      </c>
      <c r="G326">
        <v>2</v>
      </c>
    </row>
    <row r="327" spans="1:7">
      <c r="A327" t="s">
        <v>6223</v>
      </c>
      <c r="G327">
        <v>2</v>
      </c>
    </row>
    <row r="328" spans="1:7">
      <c r="A328" t="s">
        <v>6290</v>
      </c>
      <c r="G328">
        <v>2</v>
      </c>
    </row>
    <row r="329" spans="1:7">
      <c r="A329" s="29" t="s">
        <v>6358</v>
      </c>
      <c r="G329">
        <v>2</v>
      </c>
    </row>
    <row r="330" spans="1:7">
      <c r="G330">
        <v>2</v>
      </c>
    </row>
    <row r="331" spans="1:7">
      <c r="A331" t="s">
        <v>6157</v>
      </c>
      <c r="G331">
        <v>2</v>
      </c>
    </row>
    <row r="332" spans="1:7">
      <c r="A332" t="s">
        <v>6224</v>
      </c>
      <c r="G332">
        <v>2</v>
      </c>
    </row>
    <row r="333" spans="1:7">
      <c r="A333" t="s">
        <v>6291</v>
      </c>
      <c r="G333">
        <v>2</v>
      </c>
    </row>
    <row r="334" spans="1:7">
      <c r="A334" s="29" t="s">
        <v>6359</v>
      </c>
      <c r="G334">
        <v>2</v>
      </c>
    </row>
    <row r="335" spans="1:7">
      <c r="G335">
        <v>2</v>
      </c>
    </row>
    <row r="336" spans="1:7">
      <c r="A336" t="s">
        <v>6158</v>
      </c>
      <c r="G336">
        <v>2</v>
      </c>
    </row>
    <row r="337" spans="1:7">
      <c r="A337" t="s">
        <v>6225</v>
      </c>
      <c r="G337">
        <v>2</v>
      </c>
    </row>
    <row r="338" spans="1:7">
      <c r="A338" s="29" t="s">
        <v>6292</v>
      </c>
      <c r="G338">
        <v>2</v>
      </c>
    </row>
    <row r="339" spans="1:7">
      <c r="A339" t="s">
        <v>6360</v>
      </c>
      <c r="G339">
        <v>2</v>
      </c>
    </row>
    <row r="340" spans="1:7">
      <c r="G340">
        <v>2</v>
      </c>
    </row>
    <row r="341" spans="1:7">
      <c r="A341" t="s">
        <v>6159</v>
      </c>
      <c r="G341">
        <v>2</v>
      </c>
    </row>
    <row r="342" spans="1:7">
      <c r="A342" t="s">
        <v>6226</v>
      </c>
      <c r="G342">
        <v>2</v>
      </c>
    </row>
    <row r="343" spans="1:7">
      <c r="A343" s="29" t="s">
        <v>6293</v>
      </c>
      <c r="G343">
        <v>2</v>
      </c>
    </row>
    <row r="344" spans="1:7">
      <c r="A344" t="s">
        <v>6361</v>
      </c>
      <c r="G344">
        <v>2</v>
      </c>
    </row>
    <row r="345" spans="1:7">
      <c r="G345">
        <v>2</v>
      </c>
    </row>
    <row r="346" spans="1:7">
      <c r="A346" t="s">
        <v>6160</v>
      </c>
      <c r="G346">
        <v>2</v>
      </c>
    </row>
    <row r="347" spans="1:7">
      <c r="A347" s="29" t="s">
        <v>6227</v>
      </c>
      <c r="G347">
        <v>2</v>
      </c>
    </row>
    <row r="348" spans="1:7">
      <c r="A348" t="s">
        <v>6294</v>
      </c>
      <c r="G348">
        <v>2</v>
      </c>
    </row>
    <row r="349" spans="1:7">
      <c r="A349" t="s">
        <v>6362</v>
      </c>
      <c r="G349">
        <v>2</v>
      </c>
    </row>
    <row r="350" spans="1:7">
      <c r="G350">
        <v>2</v>
      </c>
    </row>
    <row r="351" spans="1:7">
      <c r="A351" t="s">
        <v>6161</v>
      </c>
      <c r="G351">
        <v>2</v>
      </c>
    </row>
    <row r="352" spans="1:7">
      <c r="A352" t="s">
        <v>6228</v>
      </c>
      <c r="G352">
        <v>2</v>
      </c>
    </row>
    <row r="353" spans="1:7">
      <c r="A353" s="29" t="s">
        <v>6295</v>
      </c>
      <c r="G353">
        <v>2</v>
      </c>
    </row>
    <row r="354" spans="1:7">
      <c r="A354" t="s">
        <v>6363</v>
      </c>
      <c r="G354">
        <v>2</v>
      </c>
    </row>
    <row r="355" spans="1:7">
      <c r="G355">
        <v>2</v>
      </c>
    </row>
    <row r="356" spans="1:7">
      <c r="A356" t="s">
        <v>6162</v>
      </c>
      <c r="G356">
        <v>2</v>
      </c>
    </row>
    <row r="357" spans="1:7">
      <c r="A357" t="s">
        <v>6229</v>
      </c>
      <c r="G357">
        <v>2</v>
      </c>
    </row>
    <row r="358" spans="1:7">
      <c r="A358" s="29" t="s">
        <v>6296</v>
      </c>
      <c r="G358">
        <v>2</v>
      </c>
    </row>
    <row r="359" spans="1:7">
      <c r="A359" t="s">
        <v>6364</v>
      </c>
      <c r="G359">
        <v>2</v>
      </c>
    </row>
    <row r="360" spans="1:7">
      <c r="G360">
        <v>2</v>
      </c>
    </row>
    <row r="361" spans="1:7">
      <c r="G361">
        <v>2</v>
      </c>
    </row>
    <row r="362" spans="1:7">
      <c r="G362">
        <v>2</v>
      </c>
    </row>
    <row r="363" spans="1:7">
      <c r="G363">
        <v>2</v>
      </c>
    </row>
    <row r="364" spans="1:7">
      <c r="G364">
        <v>2</v>
      </c>
    </row>
    <row r="365" spans="1:7">
      <c r="G365">
        <v>2</v>
      </c>
    </row>
    <row r="366" spans="1:7">
      <c r="G366">
        <v>2</v>
      </c>
    </row>
    <row r="367" spans="1:7">
      <c r="G367">
        <v>2</v>
      </c>
    </row>
    <row r="368" spans="1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244"/>
  <sheetViews>
    <sheetView topLeftCell="A1050" zoomScaleNormal="100" workbookViewId="0">
      <selection activeCell="A1073" sqref="A1073"/>
    </sheetView>
  </sheetViews>
  <sheetFormatPr defaultRowHeight="17.25"/>
  <cols>
    <col min="1" max="1" width="69" style="1" customWidth="1"/>
    <col min="3" max="3" width="40.5" style="26" bestFit="1" customWidth="1"/>
  </cols>
  <sheetData>
    <row r="1" spans="1:8">
      <c r="A1" s="8" t="s">
        <v>0</v>
      </c>
      <c r="B1" s="10" t="s">
        <v>4255</v>
      </c>
      <c r="C1" s="25" t="s">
        <v>7668</v>
      </c>
      <c r="D1" s="2" t="s">
        <v>4994</v>
      </c>
      <c r="E1" s="5" t="s">
        <v>5901</v>
      </c>
      <c r="F1" s="5" t="s">
        <v>4995</v>
      </c>
      <c r="G1" s="6">
        <v>1</v>
      </c>
    </row>
    <row r="2" spans="1:8" ht="30">
      <c r="A2" s="9" t="s">
        <v>1</v>
      </c>
      <c r="B2" s="2"/>
      <c r="C2" s="25" t="s">
        <v>5693</v>
      </c>
      <c r="D2" s="2" t="s">
        <v>4497</v>
      </c>
      <c r="E2" s="2" t="s">
        <v>4498</v>
      </c>
      <c r="F2" s="2" t="s">
        <v>4499</v>
      </c>
      <c r="G2">
        <v>0</v>
      </c>
      <c r="H2" s="6"/>
    </row>
    <row r="3" spans="1:8" ht="34.5">
      <c r="A3" s="10" t="s">
        <v>4255</v>
      </c>
      <c r="B3" s="2"/>
      <c r="C3" s="25" t="s">
        <v>4500</v>
      </c>
      <c r="D3" s="2" t="s">
        <v>7669</v>
      </c>
      <c r="E3" s="2" t="s">
        <v>4996</v>
      </c>
      <c r="F3" s="2" t="s">
        <v>7670</v>
      </c>
      <c r="G3">
        <v>2</v>
      </c>
      <c r="H3" s="6"/>
    </row>
    <row r="4" spans="1:8" ht="54.75" customHeight="1">
      <c r="A4" s="9" t="s">
        <v>2</v>
      </c>
      <c r="B4" s="2"/>
      <c r="C4" s="25" t="s">
        <v>5694</v>
      </c>
      <c r="D4" s="2" t="s">
        <v>4997</v>
      </c>
      <c r="E4" s="2" t="s">
        <v>4501</v>
      </c>
      <c r="F4" s="2" t="s">
        <v>4998</v>
      </c>
      <c r="G4">
        <v>2</v>
      </c>
      <c r="H4" s="6"/>
    </row>
    <row r="5" spans="1:8" ht="34.5">
      <c r="A5" s="11"/>
      <c r="B5" s="2"/>
      <c r="C5" s="25" t="s">
        <v>4502</v>
      </c>
      <c r="D5" s="2" t="s">
        <v>4503</v>
      </c>
      <c r="E5" s="2" t="s">
        <v>5695</v>
      </c>
      <c r="F5" s="2" t="s">
        <v>4999</v>
      </c>
      <c r="G5">
        <v>1</v>
      </c>
      <c r="H5" s="6"/>
    </row>
    <row r="6" spans="1:8">
      <c r="A6" s="9" t="s">
        <v>3</v>
      </c>
      <c r="B6" s="2"/>
      <c r="C6" s="25" t="s">
        <v>7671</v>
      </c>
      <c r="D6" s="2" t="s">
        <v>7672</v>
      </c>
      <c r="E6" s="2" t="s">
        <v>5000</v>
      </c>
      <c r="F6" s="2" t="s">
        <v>5001</v>
      </c>
      <c r="G6">
        <v>2</v>
      </c>
      <c r="H6" s="6"/>
    </row>
    <row r="7" spans="1:8">
      <c r="A7" s="10" t="s">
        <v>4</v>
      </c>
      <c r="B7" s="2"/>
      <c r="C7" s="25" t="s">
        <v>4520</v>
      </c>
      <c r="D7" s="2" t="s">
        <v>5649</v>
      </c>
      <c r="E7" s="2" t="s">
        <v>5414</v>
      </c>
      <c r="F7" s="2" t="s">
        <v>4504</v>
      </c>
      <c r="G7">
        <v>1</v>
      </c>
      <c r="H7" s="6"/>
    </row>
    <row r="8" spans="1:8" ht="34.5">
      <c r="A8" s="9" t="s">
        <v>5</v>
      </c>
      <c r="B8" s="2"/>
      <c r="C8" s="25" t="s">
        <v>5902</v>
      </c>
      <c r="D8" s="2" t="s">
        <v>7673</v>
      </c>
      <c r="E8" s="2" t="s">
        <v>4505</v>
      </c>
      <c r="F8" s="2" t="s">
        <v>4506</v>
      </c>
      <c r="G8">
        <v>0</v>
      </c>
      <c r="H8" s="6"/>
    </row>
    <row r="9" spans="1:8" ht="30">
      <c r="A9" s="9" t="s">
        <v>6</v>
      </c>
      <c r="B9" s="2"/>
      <c r="C9" s="25" t="s">
        <v>5002</v>
      </c>
      <c r="D9" s="2" t="s">
        <v>4507</v>
      </c>
      <c r="E9" s="2" t="s">
        <v>5003</v>
      </c>
      <c r="F9" s="2" t="s">
        <v>5004</v>
      </c>
      <c r="G9">
        <v>1</v>
      </c>
      <c r="H9" s="6"/>
    </row>
    <row r="10" spans="1:8" ht="34.5">
      <c r="A10" s="11"/>
      <c r="B10" s="2"/>
      <c r="C10" s="25" t="s">
        <v>4508</v>
      </c>
      <c r="D10" s="2" t="s">
        <v>5005</v>
      </c>
      <c r="E10" s="2" t="s">
        <v>4509</v>
      </c>
      <c r="F10" s="2" t="s">
        <v>4510</v>
      </c>
      <c r="G10">
        <v>1</v>
      </c>
      <c r="H10" s="6"/>
    </row>
    <row r="11" spans="1:8">
      <c r="A11" s="9" t="s">
        <v>7</v>
      </c>
      <c r="B11" s="2"/>
      <c r="C11" s="25" t="s">
        <v>5006</v>
      </c>
      <c r="D11" s="2" t="s">
        <v>4511</v>
      </c>
      <c r="E11" s="2" t="s">
        <v>5007</v>
      </c>
      <c r="F11" s="2" t="s">
        <v>7674</v>
      </c>
      <c r="G11">
        <v>1</v>
      </c>
      <c r="H11" s="6"/>
    </row>
    <row r="12" spans="1:8" ht="34.5">
      <c r="A12" s="9" t="s">
        <v>8</v>
      </c>
      <c r="B12" s="2"/>
      <c r="C12" s="25" t="s">
        <v>5008</v>
      </c>
      <c r="D12" s="2" t="s">
        <v>5009</v>
      </c>
      <c r="E12" s="2" t="s">
        <v>4521</v>
      </c>
      <c r="F12" s="2" t="s">
        <v>4522</v>
      </c>
      <c r="G12">
        <v>2</v>
      </c>
      <c r="H12" s="6"/>
    </row>
    <row r="13" spans="1:8">
      <c r="A13" s="9" t="s">
        <v>9</v>
      </c>
      <c r="C13" s="25" t="s">
        <v>5795</v>
      </c>
      <c r="D13" t="s">
        <v>7675</v>
      </c>
      <c r="E13" t="s">
        <v>4523</v>
      </c>
      <c r="F13" t="s">
        <v>4524</v>
      </c>
      <c r="G13">
        <v>0</v>
      </c>
    </row>
    <row r="14" spans="1:8" ht="34.5">
      <c r="A14" s="10" t="s">
        <v>10</v>
      </c>
      <c r="C14" s="25" t="s">
        <v>5010</v>
      </c>
      <c r="D14" t="s">
        <v>4525</v>
      </c>
      <c r="E14" t="s">
        <v>5011</v>
      </c>
      <c r="F14" t="s">
        <v>5012</v>
      </c>
      <c r="G14">
        <v>2</v>
      </c>
    </row>
    <row r="15" spans="1:8">
      <c r="A15" s="11"/>
      <c r="C15" s="26" t="s">
        <v>5415</v>
      </c>
      <c r="D15" t="s">
        <v>4795</v>
      </c>
      <c r="E15" t="s">
        <v>5014</v>
      </c>
      <c r="F15" t="s">
        <v>7676</v>
      </c>
      <c r="G15">
        <v>1</v>
      </c>
    </row>
    <row r="16" spans="1:8">
      <c r="A16" s="9" t="s">
        <v>11</v>
      </c>
      <c r="C16" s="26" t="s">
        <v>5015</v>
      </c>
      <c r="D16" t="s">
        <v>5796</v>
      </c>
      <c r="E16" t="s">
        <v>7677</v>
      </c>
      <c r="F16" t="s">
        <v>5696</v>
      </c>
      <c r="G16">
        <v>0</v>
      </c>
    </row>
    <row r="17" spans="1:7">
      <c r="A17" s="9" t="s">
        <v>12</v>
      </c>
      <c r="C17" s="26" t="s">
        <v>7678</v>
      </c>
      <c r="D17" t="s">
        <v>5697</v>
      </c>
      <c r="E17" t="s">
        <v>5698</v>
      </c>
      <c r="F17" t="s">
        <v>4526</v>
      </c>
      <c r="G17">
        <v>2</v>
      </c>
    </row>
    <row r="18" spans="1:7">
      <c r="A18" s="9" t="s">
        <v>13</v>
      </c>
      <c r="C18" s="26" t="s">
        <v>5903</v>
      </c>
      <c r="D18" t="s">
        <v>4527</v>
      </c>
      <c r="E18" t="s">
        <v>5416</v>
      </c>
      <c r="F18" t="s">
        <v>5016</v>
      </c>
      <c r="G18">
        <v>1</v>
      </c>
    </row>
    <row r="19" spans="1:7">
      <c r="A19" s="10" t="s">
        <v>14</v>
      </c>
      <c r="C19" s="26" t="s">
        <v>5699</v>
      </c>
      <c r="D19" t="s">
        <v>5017</v>
      </c>
      <c r="E19" t="s">
        <v>7679</v>
      </c>
      <c r="F19" t="s">
        <v>7680</v>
      </c>
      <c r="G19">
        <v>2</v>
      </c>
    </row>
    <row r="20" spans="1:7">
      <c r="A20" s="11"/>
      <c r="C20" s="26" t="s">
        <v>5019</v>
      </c>
      <c r="D20" t="s">
        <v>5020</v>
      </c>
      <c r="E20" t="s">
        <v>4528</v>
      </c>
      <c r="F20" t="s">
        <v>5021</v>
      </c>
      <c r="G20">
        <v>2</v>
      </c>
    </row>
    <row r="21" spans="1:7">
      <c r="A21" s="9" t="s">
        <v>15</v>
      </c>
      <c r="C21" s="26" t="s">
        <v>4529</v>
      </c>
      <c r="D21" t="s">
        <v>4530</v>
      </c>
      <c r="E21" t="s">
        <v>5022</v>
      </c>
      <c r="F21" t="s">
        <v>4531</v>
      </c>
      <c r="G21">
        <v>1</v>
      </c>
    </row>
    <row r="22" spans="1:7">
      <c r="A22" s="9" t="s">
        <v>16</v>
      </c>
      <c r="C22" s="26" t="s">
        <v>5023</v>
      </c>
      <c r="D22" t="s">
        <v>5024</v>
      </c>
      <c r="E22" t="s">
        <v>4532</v>
      </c>
      <c r="F22" t="s">
        <v>5025</v>
      </c>
      <c r="G22">
        <v>1</v>
      </c>
    </row>
    <row r="23" spans="1:7">
      <c r="A23" s="10" t="s">
        <v>17</v>
      </c>
      <c r="C23" s="26" t="s">
        <v>5026</v>
      </c>
      <c r="D23" t="s">
        <v>4533</v>
      </c>
      <c r="E23" t="s">
        <v>4534</v>
      </c>
      <c r="F23" t="s">
        <v>4535</v>
      </c>
      <c r="G23">
        <v>2</v>
      </c>
    </row>
    <row r="24" spans="1:7">
      <c r="A24" s="9" t="s">
        <v>18</v>
      </c>
      <c r="C24" s="26" t="s">
        <v>5904</v>
      </c>
      <c r="D24" s="22">
        <v>0.16874999999999998</v>
      </c>
      <c r="E24" s="22">
        <v>0.67291666666666661</v>
      </c>
      <c r="F24" s="22">
        <v>0.12638888888888888</v>
      </c>
      <c r="G24">
        <v>2</v>
      </c>
    </row>
    <row r="25" spans="1:7">
      <c r="A25" s="11"/>
      <c r="C25" s="26" t="s">
        <v>5701</v>
      </c>
      <c r="D25" t="s">
        <v>7681</v>
      </c>
      <c r="E25" t="s">
        <v>4536</v>
      </c>
      <c r="F25" t="s">
        <v>5028</v>
      </c>
      <c r="G25">
        <v>0</v>
      </c>
    </row>
    <row r="26" spans="1:7">
      <c r="A26" s="9" t="s">
        <v>19</v>
      </c>
      <c r="C26" s="26" t="s">
        <v>5702</v>
      </c>
      <c r="D26" t="s">
        <v>5703</v>
      </c>
      <c r="E26" t="s">
        <v>4537</v>
      </c>
      <c r="F26" t="s">
        <v>5704</v>
      </c>
      <c r="G26">
        <v>0</v>
      </c>
    </row>
    <row r="27" spans="1:7">
      <c r="A27" s="9" t="s">
        <v>20</v>
      </c>
      <c r="C27" s="26" t="s">
        <v>5029</v>
      </c>
      <c r="D27" t="s">
        <v>4538</v>
      </c>
      <c r="E27" t="s">
        <v>4664</v>
      </c>
      <c r="F27" t="s">
        <v>5152</v>
      </c>
      <c r="G27">
        <v>0</v>
      </c>
    </row>
    <row r="28" spans="1:7">
      <c r="A28" s="9" t="s">
        <v>21</v>
      </c>
      <c r="C28" s="26" t="s">
        <v>5031</v>
      </c>
      <c r="D28" t="s">
        <v>4539</v>
      </c>
      <c r="E28" t="s">
        <v>5705</v>
      </c>
      <c r="F28" t="s">
        <v>5032</v>
      </c>
      <c r="G28">
        <v>2</v>
      </c>
    </row>
    <row r="29" spans="1:7">
      <c r="A29" s="10" t="s">
        <v>22</v>
      </c>
      <c r="C29" s="26" t="s">
        <v>5033</v>
      </c>
      <c r="D29" t="s">
        <v>4540</v>
      </c>
      <c r="E29" t="s">
        <v>5034</v>
      </c>
      <c r="F29" t="s">
        <v>5797</v>
      </c>
      <c r="G29">
        <v>1</v>
      </c>
    </row>
    <row r="30" spans="1:7">
      <c r="A30" s="9"/>
      <c r="C30" s="26" t="s">
        <v>7682</v>
      </c>
      <c r="D30" t="s">
        <v>5706</v>
      </c>
      <c r="E30" t="s">
        <v>5905</v>
      </c>
      <c r="F30" t="s">
        <v>7683</v>
      </c>
      <c r="G30">
        <v>2</v>
      </c>
    </row>
    <row r="31" spans="1:7">
      <c r="A31" s="9" t="s">
        <v>23</v>
      </c>
      <c r="C31" s="26" t="s">
        <v>5798</v>
      </c>
      <c r="D31" t="s">
        <v>4541</v>
      </c>
      <c r="E31" t="s">
        <v>5906</v>
      </c>
      <c r="F31" t="s">
        <v>4542</v>
      </c>
      <c r="G31">
        <v>2</v>
      </c>
    </row>
    <row r="32" spans="1:7">
      <c r="A32" s="11" t="s">
        <v>24</v>
      </c>
      <c r="C32" s="26" t="s">
        <v>4543</v>
      </c>
      <c r="D32" t="s">
        <v>4544</v>
      </c>
      <c r="E32" t="s">
        <v>5035</v>
      </c>
      <c r="F32" t="s">
        <v>5036</v>
      </c>
      <c r="G32">
        <v>2</v>
      </c>
    </row>
    <row r="33" spans="1:7">
      <c r="A33" s="12" t="s">
        <v>25</v>
      </c>
      <c r="C33" s="26" t="s">
        <v>5037</v>
      </c>
      <c r="D33" t="s">
        <v>4545</v>
      </c>
      <c r="E33" t="s">
        <v>7684</v>
      </c>
      <c r="F33" t="s">
        <v>4546</v>
      </c>
      <c r="G33">
        <v>2</v>
      </c>
    </row>
    <row r="34" spans="1:7">
      <c r="A34" s="11" t="s">
        <v>26</v>
      </c>
      <c r="C34" s="26" t="s">
        <v>5907</v>
      </c>
      <c r="D34" t="s">
        <v>5038</v>
      </c>
      <c r="E34" t="s">
        <v>4547</v>
      </c>
      <c r="F34" t="s">
        <v>4548</v>
      </c>
      <c r="G34">
        <v>1</v>
      </c>
    </row>
    <row r="35" spans="1:7">
      <c r="A35" s="9"/>
      <c r="C35" s="26" t="s">
        <v>5039</v>
      </c>
      <c r="D35" t="s">
        <v>4549</v>
      </c>
      <c r="E35" t="s">
        <v>5799</v>
      </c>
      <c r="F35" t="s">
        <v>5707</v>
      </c>
      <c r="G35">
        <v>2</v>
      </c>
    </row>
    <row r="36" spans="1:7">
      <c r="A36" s="9" t="s">
        <v>27</v>
      </c>
      <c r="C36" s="26" t="s">
        <v>5908</v>
      </c>
      <c r="D36" t="s">
        <v>5040</v>
      </c>
      <c r="E36" t="s">
        <v>5041</v>
      </c>
      <c r="F36" t="s">
        <v>5042</v>
      </c>
      <c r="G36">
        <v>0</v>
      </c>
    </row>
    <row r="37" spans="1:7">
      <c r="A37" s="12" t="s">
        <v>28</v>
      </c>
      <c r="C37" s="26" t="s">
        <v>7531</v>
      </c>
      <c r="D37" t="s">
        <v>5800</v>
      </c>
      <c r="E37" t="s">
        <v>4551</v>
      </c>
      <c r="F37" t="s">
        <v>5909</v>
      </c>
      <c r="G37">
        <v>2</v>
      </c>
    </row>
    <row r="38" spans="1:7">
      <c r="A38" s="13" t="s">
        <v>29</v>
      </c>
      <c r="C38" s="26" t="s">
        <v>4552</v>
      </c>
      <c r="D38">
        <v>1390</v>
      </c>
      <c r="E38">
        <v>1301</v>
      </c>
      <c r="F38">
        <v>1339</v>
      </c>
      <c r="G38">
        <v>0</v>
      </c>
    </row>
    <row r="39" spans="1:7">
      <c r="A39" s="13" t="s">
        <v>30</v>
      </c>
      <c r="C39" s="26" t="s">
        <v>5708</v>
      </c>
      <c r="D39" t="s">
        <v>5417</v>
      </c>
      <c r="E39" t="s">
        <v>4553</v>
      </c>
      <c r="F39" t="s">
        <v>5709</v>
      </c>
      <c r="G39">
        <v>2</v>
      </c>
    </row>
    <row r="40" spans="1:7">
      <c r="A40" s="11"/>
      <c r="C40" s="26" t="s">
        <v>4554</v>
      </c>
      <c r="D40" t="s">
        <v>5139</v>
      </c>
      <c r="E40" t="s">
        <v>5572</v>
      </c>
      <c r="F40" t="s">
        <v>5043</v>
      </c>
      <c r="G40">
        <v>0</v>
      </c>
    </row>
    <row r="41" spans="1:7">
      <c r="A41" s="9" t="s">
        <v>31</v>
      </c>
      <c r="C41" s="26" t="s">
        <v>5710</v>
      </c>
      <c r="D41" t="s">
        <v>5801</v>
      </c>
      <c r="E41" t="s">
        <v>5910</v>
      </c>
      <c r="F41" t="s">
        <v>7685</v>
      </c>
      <c r="G41">
        <v>0</v>
      </c>
    </row>
    <row r="42" spans="1:7">
      <c r="A42" s="11" t="s">
        <v>32</v>
      </c>
      <c r="C42" s="26" t="s">
        <v>4557</v>
      </c>
      <c r="D42" t="s">
        <v>7686</v>
      </c>
      <c r="E42" t="s">
        <v>5044</v>
      </c>
      <c r="F42" t="s">
        <v>5045</v>
      </c>
      <c r="G42">
        <v>2</v>
      </c>
    </row>
    <row r="43" spans="1:7">
      <c r="A43" s="12" t="s">
        <v>33</v>
      </c>
      <c r="C43" s="26" t="s">
        <v>5711</v>
      </c>
      <c r="D43" t="s">
        <v>5046</v>
      </c>
      <c r="E43" t="s">
        <v>5911</v>
      </c>
      <c r="F43" t="s">
        <v>4558</v>
      </c>
      <c r="G43">
        <v>2</v>
      </c>
    </row>
    <row r="44" spans="1:7">
      <c r="A44" s="11" t="s">
        <v>34</v>
      </c>
      <c r="C44" s="26" t="s">
        <v>4559</v>
      </c>
      <c r="D44" t="s">
        <v>5047</v>
      </c>
      <c r="E44" t="s">
        <v>5048</v>
      </c>
      <c r="F44" t="s">
        <v>5802</v>
      </c>
      <c r="G44">
        <v>1</v>
      </c>
    </row>
    <row r="45" spans="1:7">
      <c r="A45" s="11"/>
      <c r="C45" s="26" t="s">
        <v>5418</v>
      </c>
      <c r="D45" t="s">
        <v>5049</v>
      </c>
      <c r="E45" t="s">
        <v>4560</v>
      </c>
      <c r="F45" t="s">
        <v>4561</v>
      </c>
      <c r="G45">
        <v>0</v>
      </c>
    </row>
    <row r="46" spans="1:7">
      <c r="A46" s="9" t="s">
        <v>35</v>
      </c>
      <c r="C46" s="26" t="s">
        <v>4562</v>
      </c>
      <c r="D46" t="s">
        <v>5712</v>
      </c>
      <c r="E46" t="s">
        <v>4563</v>
      </c>
      <c r="F46" t="s">
        <v>5713</v>
      </c>
      <c r="G46">
        <v>1</v>
      </c>
    </row>
    <row r="47" spans="1:7">
      <c r="A47" s="11" t="s">
        <v>36</v>
      </c>
      <c r="C47" s="26" t="s">
        <v>5050</v>
      </c>
      <c r="D47" t="s">
        <v>5051</v>
      </c>
      <c r="E47" t="s">
        <v>5052</v>
      </c>
      <c r="F47" t="s">
        <v>4564</v>
      </c>
      <c r="G47">
        <v>0</v>
      </c>
    </row>
    <row r="48" spans="1:7">
      <c r="A48" s="12" t="s">
        <v>37</v>
      </c>
      <c r="C48" s="26" t="s">
        <v>5912</v>
      </c>
      <c r="D48" t="s">
        <v>5053</v>
      </c>
      <c r="E48" t="s">
        <v>4565</v>
      </c>
      <c r="F48" t="s">
        <v>4566</v>
      </c>
      <c r="G48">
        <v>0</v>
      </c>
    </row>
    <row r="49" spans="1:7">
      <c r="A49" s="11" t="s">
        <v>38</v>
      </c>
      <c r="C49" s="26" t="s">
        <v>5714</v>
      </c>
      <c r="D49" t="s">
        <v>5054</v>
      </c>
      <c r="E49" t="s">
        <v>7687</v>
      </c>
      <c r="F49" t="s">
        <v>4567</v>
      </c>
      <c r="G49">
        <v>0</v>
      </c>
    </row>
    <row r="50" spans="1:7">
      <c r="A50" s="11"/>
      <c r="C50" s="26" t="s">
        <v>5715</v>
      </c>
      <c r="D50" t="s">
        <v>5803</v>
      </c>
      <c r="E50" t="s">
        <v>5804</v>
      </c>
      <c r="F50" t="s">
        <v>5055</v>
      </c>
      <c r="G50">
        <v>0</v>
      </c>
    </row>
    <row r="51" spans="1:7">
      <c r="A51" s="9" t="s">
        <v>39</v>
      </c>
      <c r="C51" s="26" t="s">
        <v>5805</v>
      </c>
      <c r="D51" t="s">
        <v>5806</v>
      </c>
      <c r="E51" t="s">
        <v>5056</v>
      </c>
      <c r="F51" t="s">
        <v>4568</v>
      </c>
      <c r="G51">
        <v>2</v>
      </c>
    </row>
    <row r="52" spans="1:7">
      <c r="A52" s="11" t="s">
        <v>40</v>
      </c>
      <c r="C52" s="26" t="s">
        <v>4569</v>
      </c>
      <c r="D52" t="s">
        <v>7688</v>
      </c>
      <c r="E52" t="s">
        <v>5913</v>
      </c>
      <c r="F52" t="s">
        <v>5057</v>
      </c>
      <c r="G52">
        <v>1</v>
      </c>
    </row>
    <row r="53" spans="1:7">
      <c r="A53" s="12" t="s">
        <v>41</v>
      </c>
      <c r="C53" s="26" t="s">
        <v>5058</v>
      </c>
      <c r="D53" t="s">
        <v>5807</v>
      </c>
      <c r="E53" t="s">
        <v>4570</v>
      </c>
      <c r="F53" t="s">
        <v>5808</v>
      </c>
      <c r="G53">
        <v>0</v>
      </c>
    </row>
    <row r="54" spans="1:7">
      <c r="A54" s="11" t="s">
        <v>42</v>
      </c>
      <c r="C54" s="26" t="s">
        <v>5059</v>
      </c>
      <c r="D54" t="s">
        <v>5914</v>
      </c>
      <c r="E54" t="s">
        <v>5419</v>
      </c>
      <c r="F54" t="s">
        <v>5060</v>
      </c>
      <c r="G54">
        <v>2</v>
      </c>
    </row>
    <row r="55" spans="1:7">
      <c r="A55" s="11"/>
      <c r="C55" s="26" t="s">
        <v>5061</v>
      </c>
      <c r="D55" t="s">
        <v>5062</v>
      </c>
      <c r="E55" t="s">
        <v>4571</v>
      </c>
      <c r="F55" t="s">
        <v>4572</v>
      </c>
      <c r="G55">
        <v>2</v>
      </c>
    </row>
    <row r="56" spans="1:7">
      <c r="A56" s="9" t="s">
        <v>43</v>
      </c>
      <c r="C56" s="26" t="s">
        <v>4573</v>
      </c>
      <c r="D56" t="s">
        <v>5809</v>
      </c>
      <c r="E56" t="s">
        <v>4574</v>
      </c>
      <c r="F56" t="s">
        <v>5716</v>
      </c>
      <c r="G56">
        <v>2</v>
      </c>
    </row>
    <row r="57" spans="1:7">
      <c r="A57" s="11" t="s">
        <v>44</v>
      </c>
      <c r="C57" s="26" t="s">
        <v>5063</v>
      </c>
      <c r="D57" t="s">
        <v>7532</v>
      </c>
      <c r="E57" t="s">
        <v>5064</v>
      </c>
      <c r="F57" t="s">
        <v>5065</v>
      </c>
      <c r="G57">
        <v>0</v>
      </c>
    </row>
    <row r="58" spans="1:7">
      <c r="A58" s="11" t="s">
        <v>45</v>
      </c>
      <c r="C58" s="26" t="s">
        <v>5066</v>
      </c>
      <c r="D58" t="s">
        <v>4576</v>
      </c>
      <c r="E58" t="s">
        <v>5067</v>
      </c>
      <c r="F58" t="s">
        <v>4577</v>
      </c>
      <c r="G58">
        <v>0</v>
      </c>
    </row>
    <row r="59" spans="1:7">
      <c r="A59" s="12" t="s">
        <v>46</v>
      </c>
      <c r="C59" s="26" t="s">
        <v>4578</v>
      </c>
      <c r="D59" s="23">
        <v>7.3078703703703706E-4</v>
      </c>
      <c r="E59" s="24">
        <v>0.12783564814814816</v>
      </c>
      <c r="F59" s="23">
        <v>7.1317129629629627E-4</v>
      </c>
      <c r="G59">
        <v>2</v>
      </c>
    </row>
    <row r="60" spans="1:7">
      <c r="A60" s="11"/>
      <c r="C60" s="26" t="s">
        <v>5068</v>
      </c>
      <c r="D60" t="s">
        <v>5069</v>
      </c>
      <c r="E60" t="s">
        <v>5070</v>
      </c>
      <c r="F60" t="s">
        <v>5071</v>
      </c>
      <c r="G60">
        <v>0</v>
      </c>
    </row>
    <row r="61" spans="1:7">
      <c r="A61" s="9" t="s">
        <v>47</v>
      </c>
      <c r="C61" s="26" t="s">
        <v>4579</v>
      </c>
      <c r="D61" t="s">
        <v>5072</v>
      </c>
      <c r="E61" t="s">
        <v>5915</v>
      </c>
      <c r="F61" t="s">
        <v>7689</v>
      </c>
      <c r="G61">
        <v>1</v>
      </c>
    </row>
    <row r="62" spans="1:7">
      <c r="A62" s="12" t="s">
        <v>48</v>
      </c>
      <c r="C62" s="26" t="s">
        <v>5073</v>
      </c>
      <c r="D62" t="s">
        <v>5717</v>
      </c>
      <c r="E62" t="s">
        <v>4580</v>
      </c>
      <c r="F62" t="s">
        <v>5074</v>
      </c>
      <c r="G62">
        <v>2</v>
      </c>
    </row>
    <row r="63" spans="1:7">
      <c r="A63" s="13" t="s">
        <v>49</v>
      </c>
      <c r="C63" s="26" t="s">
        <v>5810</v>
      </c>
      <c r="D63" t="s">
        <v>4581</v>
      </c>
      <c r="E63" t="s">
        <v>4582</v>
      </c>
      <c r="F63" t="s">
        <v>5075</v>
      </c>
      <c r="G63">
        <v>2</v>
      </c>
    </row>
    <row r="64" spans="1:7">
      <c r="A64" s="13" t="s">
        <v>50</v>
      </c>
      <c r="C64" s="26" t="s">
        <v>7690</v>
      </c>
      <c r="D64" t="s">
        <v>7691</v>
      </c>
      <c r="E64" t="s">
        <v>7692</v>
      </c>
      <c r="F64" t="s">
        <v>5076</v>
      </c>
      <c r="G64">
        <v>0</v>
      </c>
    </row>
    <row r="65" spans="1:7">
      <c r="A65" s="13"/>
      <c r="C65" s="26" t="s">
        <v>7693</v>
      </c>
      <c r="D65" t="s">
        <v>4583</v>
      </c>
      <c r="E65" t="s">
        <v>5077</v>
      </c>
      <c r="F65" t="s">
        <v>5078</v>
      </c>
      <c r="G65">
        <v>1</v>
      </c>
    </row>
    <row r="66" spans="1:7">
      <c r="A66" s="9" t="s">
        <v>51</v>
      </c>
      <c r="C66" s="26" t="s">
        <v>5811</v>
      </c>
      <c r="D66" t="s">
        <v>4762</v>
      </c>
      <c r="E66" t="s">
        <v>4584</v>
      </c>
      <c r="F66" t="s">
        <v>5181</v>
      </c>
      <c r="G66">
        <v>0</v>
      </c>
    </row>
    <row r="67" spans="1:7">
      <c r="A67" s="9" t="s">
        <v>52</v>
      </c>
      <c r="C67" s="26" t="s">
        <v>7533</v>
      </c>
      <c r="D67" t="s">
        <v>5420</v>
      </c>
      <c r="E67" t="s">
        <v>5079</v>
      </c>
      <c r="F67" t="s">
        <v>4585</v>
      </c>
      <c r="G67">
        <v>1</v>
      </c>
    </row>
    <row r="68" spans="1:7">
      <c r="A68" s="9" t="s">
        <v>53</v>
      </c>
      <c r="C68" s="26" t="s">
        <v>7694</v>
      </c>
      <c r="D68" t="s">
        <v>5080</v>
      </c>
      <c r="E68" t="s">
        <v>4587</v>
      </c>
      <c r="F68" t="s">
        <v>5081</v>
      </c>
      <c r="G68">
        <v>2</v>
      </c>
    </row>
    <row r="69" spans="1:7">
      <c r="A69" s="10" t="s">
        <v>54</v>
      </c>
      <c r="C69" s="26" t="s">
        <v>5813</v>
      </c>
      <c r="D69" t="s">
        <v>5814</v>
      </c>
      <c r="E69" t="s">
        <v>5815</v>
      </c>
      <c r="F69" t="s">
        <v>5082</v>
      </c>
      <c r="G69">
        <v>1</v>
      </c>
    </row>
    <row r="70" spans="1:7">
      <c r="A70" s="11"/>
      <c r="C70" s="26" t="s">
        <v>5083</v>
      </c>
      <c r="D70" t="s">
        <v>4588</v>
      </c>
      <c r="E70" t="s">
        <v>5816</v>
      </c>
      <c r="F70" t="s">
        <v>4589</v>
      </c>
      <c r="G70">
        <v>2</v>
      </c>
    </row>
    <row r="71" spans="1:7">
      <c r="A71" s="9" t="s">
        <v>55</v>
      </c>
      <c r="C71" s="26" t="s">
        <v>4590</v>
      </c>
      <c r="D71" t="s">
        <v>5817</v>
      </c>
      <c r="E71" t="s">
        <v>4591</v>
      </c>
      <c r="F71" t="s">
        <v>4592</v>
      </c>
      <c r="G71">
        <v>2</v>
      </c>
    </row>
    <row r="72" spans="1:7">
      <c r="A72" s="9" t="s">
        <v>56</v>
      </c>
      <c r="C72" s="26" t="s">
        <v>5818</v>
      </c>
      <c r="D72" t="s">
        <v>5819</v>
      </c>
      <c r="E72" t="s">
        <v>5820</v>
      </c>
      <c r="F72" t="s">
        <v>5084</v>
      </c>
      <c r="G72">
        <v>1</v>
      </c>
    </row>
    <row r="73" spans="1:7">
      <c r="A73" s="10" t="s">
        <v>57</v>
      </c>
      <c r="C73" s="26" t="s">
        <v>4593</v>
      </c>
      <c r="D73" t="s">
        <v>5821</v>
      </c>
      <c r="E73" t="s">
        <v>4594</v>
      </c>
      <c r="F73" t="s">
        <v>5822</v>
      </c>
      <c r="G73">
        <v>2</v>
      </c>
    </row>
    <row r="74" spans="1:7">
      <c r="A74" s="9" t="s">
        <v>58</v>
      </c>
      <c r="C74" s="26" t="s">
        <v>5085</v>
      </c>
      <c r="D74" t="s">
        <v>5823</v>
      </c>
      <c r="E74" t="s">
        <v>4957</v>
      </c>
      <c r="F74" t="s">
        <v>4595</v>
      </c>
      <c r="G74">
        <v>0</v>
      </c>
    </row>
    <row r="75" spans="1:7">
      <c r="A75" s="11"/>
      <c r="C75" s="26" t="s">
        <v>5086</v>
      </c>
      <c r="D75" t="s">
        <v>7695</v>
      </c>
      <c r="E75" t="s">
        <v>5087</v>
      </c>
      <c r="F75" t="s">
        <v>5088</v>
      </c>
      <c r="G75">
        <v>1</v>
      </c>
    </row>
    <row r="76" spans="1:7">
      <c r="A76" s="9" t="s">
        <v>59</v>
      </c>
      <c r="C76" s="26" t="s">
        <v>5718</v>
      </c>
      <c r="D76" t="s">
        <v>5089</v>
      </c>
      <c r="E76" t="s">
        <v>5824</v>
      </c>
      <c r="F76" t="s">
        <v>4596</v>
      </c>
      <c r="G76">
        <v>1</v>
      </c>
    </row>
    <row r="77" spans="1:7">
      <c r="A77" s="10" t="s">
        <v>60</v>
      </c>
      <c r="C77" s="26" t="s">
        <v>5090</v>
      </c>
      <c r="D77" t="s">
        <v>5091</v>
      </c>
      <c r="E77" t="s">
        <v>7696</v>
      </c>
      <c r="F77" t="s">
        <v>5092</v>
      </c>
      <c r="G77">
        <v>1</v>
      </c>
    </row>
    <row r="78" spans="1:7">
      <c r="A78" s="9" t="s">
        <v>61</v>
      </c>
      <c r="C78" s="26" t="s">
        <v>4597</v>
      </c>
      <c r="D78" t="s">
        <v>4598</v>
      </c>
      <c r="E78" t="s">
        <v>4599</v>
      </c>
      <c r="F78" t="s">
        <v>5093</v>
      </c>
      <c r="G78">
        <v>1</v>
      </c>
    </row>
    <row r="79" spans="1:7">
      <c r="A79" s="9" t="s">
        <v>62</v>
      </c>
      <c r="C79" s="26" t="s">
        <v>4600</v>
      </c>
      <c r="D79" t="s">
        <v>4601</v>
      </c>
      <c r="E79" t="s">
        <v>5094</v>
      </c>
      <c r="F79" t="s">
        <v>5095</v>
      </c>
      <c r="G79">
        <v>2</v>
      </c>
    </row>
    <row r="80" spans="1:7">
      <c r="A80" s="9"/>
      <c r="C80" s="26" t="s">
        <v>5096</v>
      </c>
      <c r="D80" t="s">
        <v>7697</v>
      </c>
      <c r="E80" t="s">
        <v>4602</v>
      </c>
      <c r="F80" t="s">
        <v>7698</v>
      </c>
      <c r="G80">
        <v>1</v>
      </c>
    </row>
    <row r="81" spans="1:7">
      <c r="A81" s="9" t="s">
        <v>63</v>
      </c>
      <c r="C81" s="26" t="s">
        <v>7699</v>
      </c>
      <c r="D81" t="s">
        <v>5916</v>
      </c>
      <c r="E81" t="s">
        <v>4603</v>
      </c>
      <c r="F81" t="s">
        <v>5917</v>
      </c>
      <c r="G81">
        <v>2</v>
      </c>
    </row>
    <row r="82" spans="1:7">
      <c r="A82" s="9" t="s">
        <v>64</v>
      </c>
      <c r="C82" s="26" t="s">
        <v>5097</v>
      </c>
      <c r="D82" t="s">
        <v>5098</v>
      </c>
      <c r="E82" t="s">
        <v>4604</v>
      </c>
      <c r="F82" t="s">
        <v>5825</v>
      </c>
      <c r="G82">
        <v>2</v>
      </c>
    </row>
    <row r="83" spans="1:7">
      <c r="A83" s="9" t="s">
        <v>65</v>
      </c>
      <c r="C83" s="26" t="s">
        <v>5099</v>
      </c>
      <c r="D83" t="s">
        <v>4605</v>
      </c>
      <c r="E83" t="s">
        <v>5100</v>
      </c>
      <c r="F83" t="s">
        <v>4606</v>
      </c>
      <c r="G83">
        <v>1</v>
      </c>
    </row>
    <row r="84" spans="1:7">
      <c r="A84" s="10" t="s">
        <v>66</v>
      </c>
      <c r="C84" s="26" t="s">
        <v>5101</v>
      </c>
      <c r="D84" t="s">
        <v>4607</v>
      </c>
      <c r="E84" t="s">
        <v>7700</v>
      </c>
      <c r="F84" t="s">
        <v>4608</v>
      </c>
      <c r="G84">
        <v>0</v>
      </c>
    </row>
    <row r="85" spans="1:7">
      <c r="A85" s="11"/>
      <c r="C85" s="26" t="s">
        <v>5102</v>
      </c>
      <c r="D85" t="s">
        <v>5103</v>
      </c>
      <c r="E85" t="s">
        <v>4609</v>
      </c>
      <c r="F85" t="s">
        <v>7701</v>
      </c>
      <c r="G85">
        <v>2</v>
      </c>
    </row>
    <row r="86" spans="1:7">
      <c r="A86" s="9" t="s">
        <v>67</v>
      </c>
      <c r="C86" s="26" t="s">
        <v>4610</v>
      </c>
      <c r="D86" t="s">
        <v>5104</v>
      </c>
      <c r="E86" t="s">
        <v>5421</v>
      </c>
      <c r="F86" t="s">
        <v>7702</v>
      </c>
      <c r="G86">
        <v>1</v>
      </c>
    </row>
    <row r="87" spans="1:7">
      <c r="A87" s="9" t="s">
        <v>68</v>
      </c>
      <c r="C87" s="26" t="s">
        <v>5105</v>
      </c>
      <c r="D87" t="s">
        <v>5106</v>
      </c>
      <c r="E87" t="s">
        <v>5107</v>
      </c>
      <c r="F87" t="s">
        <v>4611</v>
      </c>
      <c r="G87">
        <v>1</v>
      </c>
    </row>
    <row r="88" spans="1:7">
      <c r="A88" s="10" t="s">
        <v>4256</v>
      </c>
      <c r="C88" s="26" t="s">
        <v>7703</v>
      </c>
      <c r="D88" t="s">
        <v>5108</v>
      </c>
      <c r="E88" t="s">
        <v>5826</v>
      </c>
      <c r="F88" t="s">
        <v>5918</v>
      </c>
      <c r="G88">
        <v>2</v>
      </c>
    </row>
    <row r="89" spans="1:7">
      <c r="A89" s="9" t="s">
        <v>69</v>
      </c>
      <c r="C89" s="26" t="s">
        <v>7704</v>
      </c>
      <c r="D89" t="s">
        <v>5109</v>
      </c>
      <c r="E89" t="s">
        <v>5110</v>
      </c>
      <c r="F89" t="s">
        <v>4612</v>
      </c>
      <c r="G89">
        <v>2</v>
      </c>
    </row>
    <row r="90" spans="1:7">
      <c r="A90" s="11"/>
      <c r="C90" s="26" t="s">
        <v>5111</v>
      </c>
      <c r="D90" t="s">
        <v>4613</v>
      </c>
      <c r="E90" t="s">
        <v>7705</v>
      </c>
      <c r="F90" t="s">
        <v>5112</v>
      </c>
      <c r="G90">
        <v>0</v>
      </c>
    </row>
    <row r="91" spans="1:7">
      <c r="A91" s="9" t="s">
        <v>70</v>
      </c>
      <c r="C91" s="26" t="s">
        <v>5113</v>
      </c>
      <c r="D91" t="s">
        <v>5422</v>
      </c>
      <c r="E91" t="s">
        <v>5919</v>
      </c>
      <c r="F91" t="s">
        <v>5423</v>
      </c>
      <c r="G91">
        <v>1</v>
      </c>
    </row>
    <row r="92" spans="1:7">
      <c r="A92" s="9" t="s">
        <v>71</v>
      </c>
      <c r="C92" s="26" t="s">
        <v>7706</v>
      </c>
      <c r="D92" t="s">
        <v>5114</v>
      </c>
      <c r="E92" t="s">
        <v>7707</v>
      </c>
      <c r="F92" t="s">
        <v>5115</v>
      </c>
      <c r="G92">
        <v>2</v>
      </c>
    </row>
    <row r="93" spans="1:7">
      <c r="A93" s="9" t="s">
        <v>72</v>
      </c>
      <c r="C93" s="26" t="s">
        <v>5116</v>
      </c>
      <c r="D93" t="s">
        <v>5424</v>
      </c>
      <c r="E93" t="s">
        <v>5117</v>
      </c>
      <c r="F93" t="s">
        <v>7708</v>
      </c>
      <c r="G93">
        <v>1</v>
      </c>
    </row>
    <row r="94" spans="1:7">
      <c r="A94" s="10" t="s">
        <v>4257</v>
      </c>
      <c r="C94" s="26" t="s">
        <v>4614</v>
      </c>
      <c r="D94" t="s">
        <v>7709</v>
      </c>
      <c r="E94" t="s">
        <v>7710</v>
      </c>
      <c r="F94" t="s">
        <v>5920</v>
      </c>
      <c r="G94">
        <v>2</v>
      </c>
    </row>
    <row r="95" spans="1:7">
      <c r="A95" s="11"/>
      <c r="C95" s="26" t="s">
        <v>4615</v>
      </c>
      <c r="D95" t="s">
        <v>7711</v>
      </c>
      <c r="E95" t="s">
        <v>5118</v>
      </c>
      <c r="F95" t="s">
        <v>5921</v>
      </c>
      <c r="G95">
        <v>0</v>
      </c>
    </row>
    <row r="96" spans="1:7">
      <c r="A96" s="9" t="s">
        <v>73</v>
      </c>
      <c r="C96" s="26" t="s">
        <v>5827</v>
      </c>
      <c r="D96" t="s">
        <v>4616</v>
      </c>
      <c r="E96" t="s">
        <v>5119</v>
      </c>
      <c r="F96" t="s">
        <v>4617</v>
      </c>
      <c r="G96">
        <v>2</v>
      </c>
    </row>
    <row r="97" spans="1:7">
      <c r="A97" s="9" t="s">
        <v>74</v>
      </c>
      <c r="C97" s="26" t="s">
        <v>7712</v>
      </c>
      <c r="D97" t="s">
        <v>4618</v>
      </c>
      <c r="E97" t="s">
        <v>7713</v>
      </c>
      <c r="F97" t="s">
        <v>5120</v>
      </c>
      <c r="G97">
        <v>1</v>
      </c>
    </row>
    <row r="98" spans="1:7">
      <c r="A98" s="9" t="s">
        <v>75</v>
      </c>
      <c r="C98" s="26" t="s">
        <v>5121</v>
      </c>
      <c r="D98" t="s">
        <v>4619</v>
      </c>
      <c r="E98" t="s">
        <v>4620</v>
      </c>
      <c r="F98" t="s">
        <v>5828</v>
      </c>
      <c r="G98">
        <v>1</v>
      </c>
    </row>
    <row r="99" spans="1:7">
      <c r="A99" s="10" t="s">
        <v>4258</v>
      </c>
      <c r="C99" s="26" t="s">
        <v>5425</v>
      </c>
      <c r="D99" t="s">
        <v>5122</v>
      </c>
      <c r="E99" t="s">
        <v>4621</v>
      </c>
      <c r="F99" t="s">
        <v>5829</v>
      </c>
      <c r="G99">
        <v>1</v>
      </c>
    </row>
    <row r="100" spans="1:7">
      <c r="A100" s="11"/>
      <c r="C100" s="26" t="s">
        <v>4622</v>
      </c>
      <c r="D100" t="s">
        <v>4623</v>
      </c>
      <c r="E100" t="s">
        <v>5123</v>
      </c>
      <c r="F100" t="s">
        <v>5719</v>
      </c>
      <c r="G100">
        <v>1</v>
      </c>
    </row>
    <row r="101" spans="1:7">
      <c r="A101" s="9" t="s">
        <v>76</v>
      </c>
      <c r="C101" s="26" t="s">
        <v>4624</v>
      </c>
      <c r="D101" t="s">
        <v>7714</v>
      </c>
      <c r="E101" t="s">
        <v>4881</v>
      </c>
      <c r="F101" t="s">
        <v>7534</v>
      </c>
      <c r="G101">
        <v>2</v>
      </c>
    </row>
    <row r="102" spans="1:7">
      <c r="A102" s="9" t="s">
        <v>77</v>
      </c>
      <c r="C102" s="26" t="s">
        <v>5426</v>
      </c>
      <c r="D102" t="s">
        <v>4969</v>
      </c>
      <c r="E102" t="s">
        <v>4625</v>
      </c>
      <c r="F102" t="s">
        <v>5720</v>
      </c>
      <c r="G102">
        <v>2</v>
      </c>
    </row>
    <row r="103" spans="1:7">
      <c r="A103" s="10" t="s">
        <v>4259</v>
      </c>
      <c r="C103" s="26" t="s">
        <v>4626</v>
      </c>
      <c r="D103" t="s">
        <v>5830</v>
      </c>
      <c r="E103" t="s">
        <v>4627</v>
      </c>
      <c r="F103" t="s">
        <v>4628</v>
      </c>
      <c r="G103">
        <v>0</v>
      </c>
    </row>
    <row r="104" spans="1:7">
      <c r="A104" s="9" t="s">
        <v>78</v>
      </c>
      <c r="C104" s="26" t="s">
        <v>5831</v>
      </c>
      <c r="D104" t="s">
        <v>5922</v>
      </c>
      <c r="E104" t="s">
        <v>5125</v>
      </c>
      <c r="F104" t="s">
        <v>7715</v>
      </c>
      <c r="G104">
        <v>0</v>
      </c>
    </row>
    <row r="105" spans="1:7">
      <c r="A105" s="11"/>
      <c r="C105" s="26" t="s">
        <v>4629</v>
      </c>
      <c r="D105" t="s">
        <v>5427</v>
      </c>
      <c r="E105" t="s">
        <v>4630</v>
      </c>
      <c r="F105" t="s">
        <v>5428</v>
      </c>
      <c r="G105">
        <v>1</v>
      </c>
    </row>
    <row r="106" spans="1:7">
      <c r="A106" s="9" t="s">
        <v>79</v>
      </c>
      <c r="C106" s="26" t="s">
        <v>5832</v>
      </c>
      <c r="D106" t="s">
        <v>7716</v>
      </c>
      <c r="E106" t="s">
        <v>5126</v>
      </c>
      <c r="F106" t="s">
        <v>7717</v>
      </c>
      <c r="G106">
        <v>2</v>
      </c>
    </row>
    <row r="107" spans="1:7">
      <c r="A107" s="9" t="s">
        <v>80</v>
      </c>
      <c r="C107" s="26" t="s">
        <v>5833</v>
      </c>
      <c r="D107" t="s">
        <v>7718</v>
      </c>
      <c r="E107" t="s">
        <v>5923</v>
      </c>
      <c r="F107" t="s">
        <v>4631</v>
      </c>
      <c r="G107">
        <v>0</v>
      </c>
    </row>
    <row r="108" spans="1:7">
      <c r="A108" s="10" t="s">
        <v>4260</v>
      </c>
      <c r="C108" s="26" t="s">
        <v>5127</v>
      </c>
      <c r="D108" t="s">
        <v>4632</v>
      </c>
      <c r="E108" t="s">
        <v>5128</v>
      </c>
      <c r="F108" t="s">
        <v>7719</v>
      </c>
      <c r="G108">
        <v>1</v>
      </c>
    </row>
    <row r="109" spans="1:7">
      <c r="A109" s="9" t="s">
        <v>81</v>
      </c>
      <c r="C109" s="26" t="s">
        <v>4633</v>
      </c>
      <c r="D109" t="s">
        <v>5129</v>
      </c>
      <c r="E109" t="s">
        <v>5834</v>
      </c>
      <c r="F109" t="s">
        <v>4634</v>
      </c>
      <c r="G109">
        <v>2</v>
      </c>
    </row>
    <row r="110" spans="1:7">
      <c r="A110" s="11"/>
      <c r="C110" s="26" t="s">
        <v>5130</v>
      </c>
      <c r="D110" t="s">
        <v>5924</v>
      </c>
      <c r="E110" t="s">
        <v>5835</v>
      </c>
      <c r="F110" t="s">
        <v>5836</v>
      </c>
      <c r="G110">
        <v>2</v>
      </c>
    </row>
    <row r="111" spans="1:7">
      <c r="A111" s="9" t="s">
        <v>82</v>
      </c>
      <c r="C111" s="26" t="s">
        <v>7720</v>
      </c>
      <c r="D111" t="s">
        <v>5131</v>
      </c>
      <c r="E111" t="s">
        <v>5837</v>
      </c>
      <c r="F111" t="s">
        <v>5838</v>
      </c>
      <c r="G111">
        <v>2</v>
      </c>
    </row>
    <row r="112" spans="1:7">
      <c r="A112" s="9" t="s">
        <v>83</v>
      </c>
      <c r="C112" s="26" t="s">
        <v>4635</v>
      </c>
      <c r="D112" t="s">
        <v>5132</v>
      </c>
      <c r="E112" t="s">
        <v>7721</v>
      </c>
      <c r="F112" t="s">
        <v>7722</v>
      </c>
      <c r="G112">
        <v>2</v>
      </c>
    </row>
    <row r="113" spans="1:7">
      <c r="A113" s="9" t="s">
        <v>84</v>
      </c>
      <c r="C113" s="26" t="s">
        <v>5429</v>
      </c>
      <c r="D113" t="s">
        <v>7723</v>
      </c>
      <c r="E113" t="s">
        <v>4636</v>
      </c>
      <c r="F113" t="s">
        <v>7724</v>
      </c>
      <c r="G113">
        <v>2</v>
      </c>
    </row>
    <row r="114" spans="1:7">
      <c r="A114" s="10" t="s">
        <v>4261</v>
      </c>
      <c r="C114" s="26" t="s">
        <v>4637</v>
      </c>
      <c r="D114" t="s">
        <v>5925</v>
      </c>
      <c r="E114" t="s">
        <v>5133</v>
      </c>
      <c r="F114" t="s">
        <v>4638</v>
      </c>
      <c r="G114">
        <v>0</v>
      </c>
    </row>
    <row r="115" spans="1:7">
      <c r="A115" s="11"/>
      <c r="C115" s="26" t="s">
        <v>5839</v>
      </c>
      <c r="D115" t="s">
        <v>5134</v>
      </c>
      <c r="E115" t="s">
        <v>4639</v>
      </c>
      <c r="F115" t="s">
        <v>5926</v>
      </c>
      <c r="G115">
        <v>2</v>
      </c>
    </row>
    <row r="116" spans="1:7">
      <c r="A116" s="9" t="s">
        <v>4262</v>
      </c>
      <c r="C116" s="26" t="s">
        <v>5840</v>
      </c>
      <c r="D116" t="s">
        <v>4640</v>
      </c>
      <c r="E116" t="s">
        <v>5927</v>
      </c>
      <c r="F116" t="s">
        <v>5135</v>
      </c>
      <c r="G116">
        <v>0</v>
      </c>
    </row>
    <row r="117" spans="1:7">
      <c r="A117" s="9" t="s">
        <v>4263</v>
      </c>
      <c r="C117" s="26" t="s">
        <v>5136</v>
      </c>
      <c r="D117" t="s">
        <v>4641</v>
      </c>
      <c r="E117" t="s">
        <v>4642</v>
      </c>
      <c r="F117" t="s">
        <v>4643</v>
      </c>
      <c r="G117">
        <v>1</v>
      </c>
    </row>
    <row r="118" spans="1:7">
      <c r="A118" s="9" t="s">
        <v>4264</v>
      </c>
      <c r="C118" s="26" t="s">
        <v>4644</v>
      </c>
      <c r="D118" t="s">
        <v>5928</v>
      </c>
      <c r="E118" t="s">
        <v>5841</v>
      </c>
      <c r="F118" t="s">
        <v>4935</v>
      </c>
      <c r="G118">
        <v>1</v>
      </c>
    </row>
    <row r="119" spans="1:7">
      <c r="A119" s="10" t="s">
        <v>4265</v>
      </c>
      <c r="C119" s="26" t="s">
        <v>7725</v>
      </c>
      <c r="D119" t="s">
        <v>4645</v>
      </c>
      <c r="E119" t="s">
        <v>4909</v>
      </c>
      <c r="F119" t="s">
        <v>5721</v>
      </c>
      <c r="G119">
        <v>2</v>
      </c>
    </row>
    <row r="120" spans="1:7">
      <c r="A120" s="11"/>
      <c r="C120" s="26" t="s">
        <v>5137</v>
      </c>
      <c r="D120" t="s">
        <v>4646</v>
      </c>
      <c r="E120" t="s">
        <v>4647</v>
      </c>
      <c r="F120" t="s">
        <v>5138</v>
      </c>
      <c r="G120">
        <v>2</v>
      </c>
    </row>
    <row r="121" spans="1:7">
      <c r="A121" s="9" t="s">
        <v>85</v>
      </c>
      <c r="C121" s="26" t="s">
        <v>4648</v>
      </c>
      <c r="D121" t="s">
        <v>5430</v>
      </c>
      <c r="E121" t="s">
        <v>4649</v>
      </c>
      <c r="F121" t="s">
        <v>4650</v>
      </c>
      <c r="G121">
        <v>2</v>
      </c>
    </row>
    <row r="122" spans="1:7">
      <c r="A122" s="10" t="s">
        <v>4266</v>
      </c>
      <c r="C122" s="26" t="s">
        <v>7726</v>
      </c>
      <c r="D122" t="s">
        <v>4651</v>
      </c>
      <c r="E122" t="s">
        <v>4818</v>
      </c>
      <c r="F122" t="s">
        <v>4555</v>
      </c>
      <c r="G122">
        <v>2</v>
      </c>
    </row>
    <row r="123" spans="1:7">
      <c r="A123" s="9" t="s">
        <v>86</v>
      </c>
      <c r="C123" s="26" t="s">
        <v>5140</v>
      </c>
      <c r="D123" t="s">
        <v>4652</v>
      </c>
      <c r="E123" t="s">
        <v>5141</v>
      </c>
      <c r="F123" t="s">
        <v>7727</v>
      </c>
      <c r="G123">
        <v>2</v>
      </c>
    </row>
    <row r="124" spans="1:7">
      <c r="A124" s="9" t="s">
        <v>87</v>
      </c>
      <c r="C124" s="26" t="s">
        <v>5431</v>
      </c>
      <c r="D124" t="s">
        <v>4653</v>
      </c>
      <c r="E124" t="s">
        <v>5142</v>
      </c>
      <c r="F124" t="s">
        <v>4654</v>
      </c>
      <c r="G124">
        <v>0</v>
      </c>
    </row>
    <row r="125" spans="1:7">
      <c r="A125" s="11"/>
      <c r="C125" s="26" t="s">
        <v>4655</v>
      </c>
      <c r="D125" t="s">
        <v>4656</v>
      </c>
      <c r="E125" t="s">
        <v>5143</v>
      </c>
      <c r="F125" t="s">
        <v>5144</v>
      </c>
      <c r="G125">
        <v>0</v>
      </c>
    </row>
    <row r="126" spans="1:7">
      <c r="A126" s="9" t="s">
        <v>88</v>
      </c>
      <c r="C126" s="26" t="s">
        <v>4518</v>
      </c>
      <c r="D126" t="s">
        <v>5842</v>
      </c>
      <c r="E126" t="s">
        <v>5145</v>
      </c>
      <c r="F126" t="s">
        <v>7728</v>
      </c>
      <c r="G126">
        <v>2</v>
      </c>
    </row>
    <row r="127" spans="1:7">
      <c r="A127" s="10" t="s">
        <v>4267</v>
      </c>
      <c r="C127" s="26" t="s">
        <v>5146</v>
      </c>
      <c r="D127" t="s">
        <v>5930</v>
      </c>
      <c r="E127" t="s">
        <v>5147</v>
      </c>
      <c r="F127" t="s">
        <v>4657</v>
      </c>
      <c r="G127">
        <v>0</v>
      </c>
    </row>
    <row r="128" spans="1:7">
      <c r="A128" s="9" t="s">
        <v>89</v>
      </c>
      <c r="C128" s="26" t="s">
        <v>5722</v>
      </c>
      <c r="D128" t="s">
        <v>5843</v>
      </c>
      <c r="E128" t="s">
        <v>5148</v>
      </c>
      <c r="F128" t="s">
        <v>4658</v>
      </c>
      <c r="G128">
        <v>2</v>
      </c>
    </row>
    <row r="129" spans="1:7">
      <c r="A129" s="9" t="s">
        <v>90</v>
      </c>
      <c r="C129" s="26" t="s">
        <v>5149</v>
      </c>
      <c r="D129" t="s">
        <v>4659</v>
      </c>
      <c r="E129" t="s">
        <v>5150</v>
      </c>
      <c r="F129" t="s">
        <v>4660</v>
      </c>
      <c r="G129">
        <v>2</v>
      </c>
    </row>
    <row r="130" spans="1:7">
      <c r="A130" s="11"/>
      <c r="C130" s="26" t="s">
        <v>5151</v>
      </c>
      <c r="D130" t="s">
        <v>4762</v>
      </c>
      <c r="E130" t="s">
        <v>5181</v>
      </c>
      <c r="F130" t="s">
        <v>5030</v>
      </c>
      <c r="G130">
        <v>1</v>
      </c>
    </row>
    <row r="131" spans="1:7">
      <c r="A131" s="9" t="s">
        <v>91</v>
      </c>
      <c r="C131" s="26" t="s">
        <v>5153</v>
      </c>
      <c r="D131" t="s">
        <v>7729</v>
      </c>
      <c r="E131" t="s">
        <v>4661</v>
      </c>
      <c r="F131" t="s">
        <v>5844</v>
      </c>
      <c r="G131">
        <v>1</v>
      </c>
    </row>
    <row r="132" spans="1:7">
      <c r="A132" s="10" t="s">
        <v>4268</v>
      </c>
      <c r="C132" s="26" t="s">
        <v>5432</v>
      </c>
      <c r="D132" t="s">
        <v>5845</v>
      </c>
      <c r="E132" t="s">
        <v>5154</v>
      </c>
      <c r="F132" t="s">
        <v>7730</v>
      </c>
      <c r="G132">
        <v>0</v>
      </c>
    </row>
    <row r="133" spans="1:7">
      <c r="A133" s="9" t="s">
        <v>92</v>
      </c>
      <c r="C133" s="26" t="s">
        <v>5433</v>
      </c>
      <c r="D133" t="s">
        <v>5155</v>
      </c>
      <c r="E133" t="s">
        <v>7731</v>
      </c>
      <c r="F133" t="s">
        <v>5156</v>
      </c>
      <c r="G133">
        <v>0</v>
      </c>
    </row>
    <row r="134" spans="1:7">
      <c r="A134" s="9" t="s">
        <v>93</v>
      </c>
      <c r="C134" s="26" t="s">
        <v>5157</v>
      </c>
      <c r="D134" t="s">
        <v>4923</v>
      </c>
      <c r="E134" t="s">
        <v>5846</v>
      </c>
      <c r="F134" t="s">
        <v>5158</v>
      </c>
      <c r="G134">
        <v>0</v>
      </c>
    </row>
    <row r="135" spans="1:7">
      <c r="A135" s="9"/>
      <c r="C135" s="26" t="s">
        <v>5159</v>
      </c>
      <c r="D135" t="s">
        <v>4958</v>
      </c>
      <c r="E135" t="s">
        <v>4662</v>
      </c>
      <c r="F135" t="s">
        <v>7732</v>
      </c>
      <c r="G135">
        <v>1</v>
      </c>
    </row>
    <row r="136" spans="1:7">
      <c r="A136" s="9" t="s">
        <v>94</v>
      </c>
      <c r="C136" s="26" t="s">
        <v>5434</v>
      </c>
      <c r="D136" t="s">
        <v>5931</v>
      </c>
      <c r="E136" t="s">
        <v>5932</v>
      </c>
      <c r="F136" t="s">
        <v>7733</v>
      </c>
      <c r="G136">
        <v>2</v>
      </c>
    </row>
    <row r="137" spans="1:7">
      <c r="A137" s="9" t="s">
        <v>95</v>
      </c>
      <c r="C137" s="26" t="s">
        <v>5160</v>
      </c>
      <c r="D137" t="s">
        <v>5161</v>
      </c>
      <c r="E137" t="s">
        <v>4663</v>
      </c>
      <c r="F137" t="s">
        <v>4664</v>
      </c>
      <c r="G137">
        <v>2</v>
      </c>
    </row>
    <row r="138" spans="1:7">
      <c r="A138" s="9" t="s">
        <v>96</v>
      </c>
      <c r="C138" s="26" t="s">
        <v>5162</v>
      </c>
      <c r="D138" t="s">
        <v>5847</v>
      </c>
      <c r="E138" t="s">
        <v>4665</v>
      </c>
      <c r="F138" t="s">
        <v>5848</v>
      </c>
      <c r="G138">
        <v>1</v>
      </c>
    </row>
    <row r="139" spans="1:7">
      <c r="A139" s="10" t="s">
        <v>4269</v>
      </c>
      <c r="C139" s="26" t="s">
        <v>5163</v>
      </c>
      <c r="D139" t="s">
        <v>7734</v>
      </c>
      <c r="E139" t="s">
        <v>7735</v>
      </c>
      <c r="F139" t="s">
        <v>5164</v>
      </c>
      <c r="G139">
        <v>2</v>
      </c>
    </row>
    <row r="140" spans="1:7">
      <c r="A140" s="11"/>
      <c r="C140" s="26" t="s">
        <v>5933</v>
      </c>
      <c r="D140" t="s">
        <v>5018</v>
      </c>
      <c r="E140" t="s">
        <v>5934</v>
      </c>
      <c r="F140" t="s">
        <v>4666</v>
      </c>
      <c r="G140">
        <v>1</v>
      </c>
    </row>
    <row r="141" spans="1:7">
      <c r="A141" s="9" t="s">
        <v>97</v>
      </c>
      <c r="C141" s="26" t="s">
        <v>5165</v>
      </c>
      <c r="D141" t="s">
        <v>7736</v>
      </c>
      <c r="E141" t="s">
        <v>5166</v>
      </c>
      <c r="F141" t="s">
        <v>5167</v>
      </c>
      <c r="G141">
        <v>0</v>
      </c>
    </row>
    <row r="142" spans="1:7">
      <c r="A142" s="9" t="s">
        <v>98</v>
      </c>
      <c r="C142" s="26" t="s">
        <v>5849</v>
      </c>
      <c r="D142" t="s">
        <v>5935</v>
      </c>
      <c r="E142" t="s">
        <v>4667</v>
      </c>
      <c r="F142" t="s">
        <v>7737</v>
      </c>
      <c r="G142">
        <v>1</v>
      </c>
    </row>
    <row r="143" spans="1:7">
      <c r="A143" s="10" t="s">
        <v>4270</v>
      </c>
      <c r="C143" s="26" t="s">
        <v>5936</v>
      </c>
      <c r="D143" t="s">
        <v>5168</v>
      </c>
      <c r="E143" t="s">
        <v>7738</v>
      </c>
      <c r="F143" t="s">
        <v>5850</v>
      </c>
      <c r="G143">
        <v>2</v>
      </c>
    </row>
    <row r="144" spans="1:7">
      <c r="A144" s="9" t="s">
        <v>99</v>
      </c>
      <c r="C144" s="26" t="s">
        <v>5851</v>
      </c>
      <c r="D144" t="s">
        <v>4668</v>
      </c>
      <c r="E144" t="s">
        <v>4669</v>
      </c>
      <c r="F144" t="s">
        <v>5852</v>
      </c>
      <c r="G144">
        <v>0</v>
      </c>
    </row>
    <row r="145" spans="1:7">
      <c r="A145" s="11"/>
      <c r="C145" s="26" t="s">
        <v>5170</v>
      </c>
      <c r="D145" t="s">
        <v>5937</v>
      </c>
      <c r="E145" t="s">
        <v>4671</v>
      </c>
      <c r="F145" t="s">
        <v>5853</v>
      </c>
      <c r="G145">
        <v>0</v>
      </c>
    </row>
    <row r="146" spans="1:7">
      <c r="A146" s="9" t="s">
        <v>100</v>
      </c>
      <c r="C146" s="26" t="s">
        <v>5171</v>
      </c>
      <c r="D146" t="s">
        <v>5938</v>
      </c>
      <c r="E146" t="s">
        <v>5854</v>
      </c>
      <c r="F146" t="s">
        <v>4672</v>
      </c>
      <c r="G146">
        <v>1</v>
      </c>
    </row>
    <row r="147" spans="1:7">
      <c r="A147" s="9" t="s">
        <v>101</v>
      </c>
      <c r="C147" s="26" t="s">
        <v>5172</v>
      </c>
      <c r="D147" t="s">
        <v>5939</v>
      </c>
      <c r="E147" t="s">
        <v>4673</v>
      </c>
      <c r="F147" t="s">
        <v>7739</v>
      </c>
      <c r="G147">
        <v>0</v>
      </c>
    </row>
    <row r="148" spans="1:7">
      <c r="A148" s="9" t="s">
        <v>102</v>
      </c>
      <c r="C148" s="26" t="s">
        <v>7740</v>
      </c>
      <c r="D148" t="s">
        <v>5435</v>
      </c>
      <c r="E148" t="s">
        <v>4674</v>
      </c>
      <c r="F148" t="s">
        <v>5855</v>
      </c>
      <c r="G148">
        <v>2</v>
      </c>
    </row>
    <row r="149" spans="1:7">
      <c r="A149" s="10" t="s">
        <v>4271</v>
      </c>
      <c r="C149" s="26" t="s">
        <v>7741</v>
      </c>
      <c r="D149" t="s">
        <v>7537</v>
      </c>
      <c r="E149" t="s">
        <v>7742</v>
      </c>
      <c r="F149" t="s">
        <v>5173</v>
      </c>
      <c r="G149">
        <v>1</v>
      </c>
    </row>
    <row r="150" spans="1:7">
      <c r="A150" s="11"/>
      <c r="C150" s="26" t="s">
        <v>5436</v>
      </c>
      <c r="D150" t="s">
        <v>5174</v>
      </c>
      <c r="E150" t="s">
        <v>4675</v>
      </c>
      <c r="F150" t="s">
        <v>5175</v>
      </c>
      <c r="G150">
        <v>2</v>
      </c>
    </row>
    <row r="151" spans="1:7">
      <c r="A151" s="9" t="s">
        <v>103</v>
      </c>
      <c r="C151" s="26" t="s">
        <v>5176</v>
      </c>
      <c r="D151" t="s">
        <v>5177</v>
      </c>
      <c r="E151" t="s">
        <v>5178</v>
      </c>
      <c r="F151" t="s">
        <v>4676</v>
      </c>
      <c r="G151">
        <v>2</v>
      </c>
    </row>
    <row r="152" spans="1:7">
      <c r="A152" s="9" t="s">
        <v>104</v>
      </c>
      <c r="C152" s="26" t="s">
        <v>5179</v>
      </c>
      <c r="D152" t="s">
        <v>5856</v>
      </c>
      <c r="E152" t="s">
        <v>4677</v>
      </c>
      <c r="F152" t="s">
        <v>4678</v>
      </c>
      <c r="G152">
        <v>0</v>
      </c>
    </row>
    <row r="153" spans="1:7">
      <c r="A153" s="9" t="s">
        <v>105</v>
      </c>
      <c r="C153" s="26" t="s">
        <v>5180</v>
      </c>
      <c r="D153" t="s">
        <v>5689</v>
      </c>
      <c r="E153" t="s">
        <v>4762</v>
      </c>
      <c r="F153" t="s">
        <v>5181</v>
      </c>
      <c r="G153">
        <v>2</v>
      </c>
    </row>
    <row r="154" spans="1:7">
      <c r="A154" s="10" t="s">
        <v>4272</v>
      </c>
      <c r="C154" s="26" t="s">
        <v>5437</v>
      </c>
      <c r="D154" t="s">
        <v>7743</v>
      </c>
      <c r="E154" t="s">
        <v>4679</v>
      </c>
      <c r="F154" t="s">
        <v>4680</v>
      </c>
      <c r="G154">
        <v>0</v>
      </c>
    </row>
    <row r="155" spans="1:7">
      <c r="A155" s="10"/>
      <c r="C155" s="26" t="s">
        <v>5182</v>
      </c>
      <c r="D155" t="s">
        <v>5183</v>
      </c>
      <c r="E155" t="s">
        <v>4681</v>
      </c>
      <c r="F155" t="s">
        <v>4682</v>
      </c>
      <c r="G155">
        <v>1</v>
      </c>
    </row>
    <row r="156" spans="1:7">
      <c r="A156" s="9" t="s">
        <v>106</v>
      </c>
      <c r="C156" s="26" t="s">
        <v>5723</v>
      </c>
      <c r="D156" t="s">
        <v>5438</v>
      </c>
      <c r="E156" t="s">
        <v>4683</v>
      </c>
      <c r="F156" t="s">
        <v>4684</v>
      </c>
      <c r="G156">
        <v>1</v>
      </c>
    </row>
    <row r="157" spans="1:7">
      <c r="A157" s="9" t="s">
        <v>107</v>
      </c>
      <c r="C157" s="26" t="s">
        <v>5184</v>
      </c>
      <c r="D157" t="s">
        <v>5940</v>
      </c>
      <c r="E157" t="s">
        <v>5185</v>
      </c>
      <c r="F157" t="s">
        <v>5439</v>
      </c>
      <c r="G157">
        <v>2</v>
      </c>
    </row>
    <row r="158" spans="1:7">
      <c r="A158" s="9" t="s">
        <v>108</v>
      </c>
      <c r="C158" s="26" t="s">
        <v>5440</v>
      </c>
      <c r="D158" t="s">
        <v>4685</v>
      </c>
      <c r="E158" t="s">
        <v>7744</v>
      </c>
      <c r="F158" t="s">
        <v>4686</v>
      </c>
      <c r="G158">
        <v>1</v>
      </c>
    </row>
    <row r="159" spans="1:7">
      <c r="A159" s="10" t="s">
        <v>4273</v>
      </c>
      <c r="C159" s="26" t="s">
        <v>5857</v>
      </c>
      <c r="D159" t="s">
        <v>5858</v>
      </c>
      <c r="E159" t="s">
        <v>5187</v>
      </c>
      <c r="F159" t="s">
        <v>5724</v>
      </c>
      <c r="G159">
        <v>0</v>
      </c>
    </row>
    <row r="160" spans="1:7">
      <c r="A160" s="11"/>
      <c r="C160" s="26" t="s">
        <v>5859</v>
      </c>
      <c r="D160" t="s">
        <v>5860</v>
      </c>
      <c r="E160" t="s">
        <v>7745</v>
      </c>
      <c r="F160" t="s">
        <v>4988</v>
      </c>
      <c r="G160">
        <v>2</v>
      </c>
    </row>
    <row r="161" spans="1:7">
      <c r="A161" s="9" t="s">
        <v>109</v>
      </c>
      <c r="C161" s="26" t="s">
        <v>5188</v>
      </c>
      <c r="D161" t="s">
        <v>5189</v>
      </c>
      <c r="E161" t="s">
        <v>4689</v>
      </c>
      <c r="F161" t="s">
        <v>4690</v>
      </c>
      <c r="G161">
        <v>2</v>
      </c>
    </row>
    <row r="162" spans="1:7">
      <c r="A162" s="9" t="s">
        <v>110</v>
      </c>
      <c r="C162" s="26" t="s">
        <v>7746</v>
      </c>
      <c r="D162" t="s">
        <v>7747</v>
      </c>
      <c r="E162" t="s">
        <v>7748</v>
      </c>
      <c r="F162" t="s">
        <v>7749</v>
      </c>
      <c r="G162">
        <v>0</v>
      </c>
    </row>
    <row r="163" spans="1:7">
      <c r="A163" s="9" t="s">
        <v>22</v>
      </c>
      <c r="C163" s="26" t="s">
        <v>5190</v>
      </c>
      <c r="D163" t="s">
        <v>5191</v>
      </c>
      <c r="E163" t="s">
        <v>7750</v>
      </c>
      <c r="F163" t="s">
        <v>5192</v>
      </c>
      <c r="G163">
        <v>2</v>
      </c>
    </row>
    <row r="164" spans="1:7">
      <c r="A164" s="10" t="s">
        <v>4274</v>
      </c>
      <c r="C164" s="26" t="s">
        <v>7751</v>
      </c>
      <c r="D164" t="s">
        <v>5193</v>
      </c>
      <c r="E164" t="s">
        <v>5441</v>
      </c>
      <c r="F164" t="s">
        <v>5861</v>
      </c>
      <c r="G164">
        <v>0</v>
      </c>
    </row>
    <row r="165" spans="1:7">
      <c r="A165" s="11"/>
      <c r="C165" s="26" t="s">
        <v>5194</v>
      </c>
      <c r="D165" t="s">
        <v>5442</v>
      </c>
      <c r="E165" t="s">
        <v>5443</v>
      </c>
      <c r="F165" t="s">
        <v>5444</v>
      </c>
      <c r="G165">
        <v>0</v>
      </c>
    </row>
    <row r="166" spans="1:7">
      <c r="A166" s="9" t="s">
        <v>111</v>
      </c>
      <c r="C166" s="26" t="s">
        <v>5195</v>
      </c>
      <c r="D166" t="s">
        <v>5725</v>
      </c>
      <c r="E166" t="s">
        <v>4691</v>
      </c>
      <c r="F166" t="s">
        <v>4692</v>
      </c>
      <c r="G166">
        <v>2</v>
      </c>
    </row>
    <row r="167" spans="1:7">
      <c r="A167" s="9" t="s">
        <v>112</v>
      </c>
      <c r="C167" s="26" t="s">
        <v>5196</v>
      </c>
      <c r="D167" t="s">
        <v>5197</v>
      </c>
      <c r="E167" t="s">
        <v>4693</v>
      </c>
      <c r="F167" t="s">
        <v>4694</v>
      </c>
      <c r="G167">
        <v>0</v>
      </c>
    </row>
    <row r="168" spans="1:7">
      <c r="A168" s="10" t="s">
        <v>4275</v>
      </c>
      <c r="C168" s="26" t="s">
        <v>5445</v>
      </c>
      <c r="D168" t="s">
        <v>5446</v>
      </c>
      <c r="E168" t="s">
        <v>7752</v>
      </c>
      <c r="F168" t="s">
        <v>4695</v>
      </c>
      <c r="G168">
        <v>1</v>
      </c>
    </row>
    <row r="169" spans="1:7">
      <c r="A169" s="9" t="s">
        <v>113</v>
      </c>
      <c r="C169" s="26" t="s">
        <v>5726</v>
      </c>
      <c r="D169" t="s">
        <v>7753</v>
      </c>
      <c r="E169" t="s">
        <v>4696</v>
      </c>
      <c r="F169" t="s">
        <v>7754</v>
      </c>
      <c r="G169">
        <v>2</v>
      </c>
    </row>
    <row r="170" spans="1:7">
      <c r="A170" s="11"/>
      <c r="C170" s="26" t="s">
        <v>5447</v>
      </c>
      <c r="D170" t="s">
        <v>7755</v>
      </c>
      <c r="E170" t="s">
        <v>4697</v>
      </c>
      <c r="F170" t="s">
        <v>7756</v>
      </c>
      <c r="G170">
        <v>1</v>
      </c>
    </row>
    <row r="171" spans="1:7">
      <c r="A171" s="9" t="s">
        <v>114</v>
      </c>
      <c r="C171" s="26" t="s">
        <v>5448</v>
      </c>
      <c r="D171" t="s">
        <v>4698</v>
      </c>
      <c r="E171" t="s">
        <v>4699</v>
      </c>
      <c r="F171" t="s">
        <v>7757</v>
      </c>
      <c r="G171">
        <v>0</v>
      </c>
    </row>
    <row r="172" spans="1:7">
      <c r="A172" s="9" t="s">
        <v>115</v>
      </c>
      <c r="C172" s="26" t="s">
        <v>5198</v>
      </c>
      <c r="D172" t="s">
        <v>4700</v>
      </c>
      <c r="E172" t="s">
        <v>7758</v>
      </c>
      <c r="F172" t="s">
        <v>4701</v>
      </c>
      <c r="G172">
        <v>1</v>
      </c>
    </row>
    <row r="173" spans="1:7">
      <c r="A173" s="9" t="s">
        <v>116</v>
      </c>
      <c r="C173" s="26" t="s">
        <v>5727</v>
      </c>
      <c r="D173" t="s">
        <v>4702</v>
      </c>
      <c r="E173" t="s">
        <v>5199</v>
      </c>
      <c r="F173" t="s">
        <v>4703</v>
      </c>
      <c r="G173">
        <v>1</v>
      </c>
    </row>
    <row r="174" spans="1:7">
      <c r="A174" s="10" t="s">
        <v>4276</v>
      </c>
      <c r="C174" s="26" t="s">
        <v>7759</v>
      </c>
      <c r="D174" t="s">
        <v>5449</v>
      </c>
      <c r="E174" t="s">
        <v>5450</v>
      </c>
      <c r="F174" t="s">
        <v>4704</v>
      </c>
      <c r="G174">
        <v>0</v>
      </c>
    </row>
    <row r="175" spans="1:7">
      <c r="A175" s="11"/>
      <c r="C175" s="26" t="s">
        <v>7760</v>
      </c>
      <c r="D175" t="s">
        <v>4705</v>
      </c>
      <c r="E175" t="s">
        <v>7761</v>
      </c>
      <c r="F175" t="s">
        <v>4706</v>
      </c>
      <c r="G175">
        <v>1</v>
      </c>
    </row>
    <row r="176" spans="1:7">
      <c r="A176" s="9" t="s">
        <v>117</v>
      </c>
      <c r="C176" s="26" t="s">
        <v>5451</v>
      </c>
      <c r="D176" t="s">
        <v>7762</v>
      </c>
      <c r="E176" t="s">
        <v>4707</v>
      </c>
      <c r="F176" t="s">
        <v>7763</v>
      </c>
      <c r="G176">
        <v>1</v>
      </c>
    </row>
    <row r="177" spans="1:7">
      <c r="A177" s="10" t="s">
        <v>4277</v>
      </c>
      <c r="C177" s="26" t="s">
        <v>7764</v>
      </c>
      <c r="D177" t="s">
        <v>5200</v>
      </c>
      <c r="E177" t="s">
        <v>5452</v>
      </c>
      <c r="F177" t="s">
        <v>7765</v>
      </c>
      <c r="G177">
        <v>2</v>
      </c>
    </row>
    <row r="178" spans="1:7">
      <c r="A178" s="9" t="s">
        <v>118</v>
      </c>
      <c r="C178" s="26" t="s">
        <v>5201</v>
      </c>
      <c r="D178" t="s">
        <v>7766</v>
      </c>
      <c r="E178" t="s">
        <v>7767</v>
      </c>
      <c r="F178" t="s">
        <v>5202</v>
      </c>
      <c r="G178">
        <v>2</v>
      </c>
    </row>
    <row r="179" spans="1:7">
      <c r="A179" s="9" t="s">
        <v>119</v>
      </c>
      <c r="C179" s="26" t="s">
        <v>7768</v>
      </c>
      <c r="D179" t="s">
        <v>7769</v>
      </c>
      <c r="E179" t="s">
        <v>5453</v>
      </c>
      <c r="F179" t="s">
        <v>7770</v>
      </c>
      <c r="G179">
        <v>0</v>
      </c>
    </row>
    <row r="180" spans="1:7">
      <c r="A180" s="11"/>
      <c r="C180" s="26" t="s">
        <v>5203</v>
      </c>
      <c r="D180" t="s">
        <v>4708</v>
      </c>
      <c r="E180" t="s">
        <v>4709</v>
      </c>
      <c r="F180" t="s">
        <v>7771</v>
      </c>
      <c r="G180">
        <v>1</v>
      </c>
    </row>
    <row r="181" spans="1:7">
      <c r="A181" s="9" t="s">
        <v>120</v>
      </c>
      <c r="C181" s="26" t="s">
        <v>5204</v>
      </c>
      <c r="D181" t="s">
        <v>4710</v>
      </c>
      <c r="E181" t="s">
        <v>4711</v>
      </c>
      <c r="F181" t="s">
        <v>7772</v>
      </c>
      <c r="G181">
        <v>0</v>
      </c>
    </row>
    <row r="182" spans="1:7">
      <c r="A182" s="9" t="s">
        <v>121</v>
      </c>
      <c r="C182" s="26" t="s">
        <v>5205</v>
      </c>
      <c r="D182" t="s">
        <v>4712</v>
      </c>
      <c r="E182" t="s">
        <v>7773</v>
      </c>
      <c r="F182" t="s">
        <v>5728</v>
      </c>
      <c r="G182">
        <v>0</v>
      </c>
    </row>
    <row r="183" spans="1:7">
      <c r="A183" s="9" t="s">
        <v>122</v>
      </c>
      <c r="C183" s="26" t="s">
        <v>5454</v>
      </c>
      <c r="D183" t="s">
        <v>7774</v>
      </c>
      <c r="E183" t="s">
        <v>5206</v>
      </c>
      <c r="F183" t="s">
        <v>7775</v>
      </c>
      <c r="G183">
        <v>1</v>
      </c>
    </row>
    <row r="184" spans="1:7">
      <c r="A184" s="10" t="s">
        <v>4278</v>
      </c>
      <c r="C184" s="26" t="s">
        <v>5862</v>
      </c>
      <c r="D184" t="s">
        <v>5207</v>
      </c>
      <c r="E184" t="s">
        <v>7776</v>
      </c>
      <c r="F184" t="s">
        <v>4713</v>
      </c>
      <c r="G184">
        <v>1</v>
      </c>
    </row>
    <row r="185" spans="1:7">
      <c r="A185" s="11"/>
      <c r="C185" s="26" t="s">
        <v>7777</v>
      </c>
      <c r="D185" t="s">
        <v>4584</v>
      </c>
      <c r="E185" t="s">
        <v>4714</v>
      </c>
      <c r="F185" t="s">
        <v>4762</v>
      </c>
      <c r="G185">
        <v>2</v>
      </c>
    </row>
    <row r="186" spans="1:7">
      <c r="A186" s="9" t="s">
        <v>123</v>
      </c>
      <c r="C186" s="26" t="s">
        <v>7778</v>
      </c>
      <c r="D186" t="s">
        <v>7779</v>
      </c>
      <c r="E186" t="s">
        <v>7780</v>
      </c>
      <c r="F186" t="s">
        <v>7781</v>
      </c>
      <c r="G186">
        <v>1</v>
      </c>
    </row>
    <row r="187" spans="1:7">
      <c r="A187" s="10">
        <v>1390</v>
      </c>
      <c r="C187" s="26" t="s">
        <v>7782</v>
      </c>
      <c r="D187" t="s">
        <v>7783</v>
      </c>
      <c r="E187" t="s">
        <v>5455</v>
      </c>
      <c r="F187" t="s">
        <v>7784</v>
      </c>
      <c r="G187">
        <v>2</v>
      </c>
    </row>
    <row r="188" spans="1:7">
      <c r="A188" s="9">
        <v>1301</v>
      </c>
      <c r="C188" s="26" t="s">
        <v>5456</v>
      </c>
      <c r="D188" t="s">
        <v>5208</v>
      </c>
      <c r="E188" t="s">
        <v>5209</v>
      </c>
      <c r="F188" t="s">
        <v>4715</v>
      </c>
      <c r="G188">
        <v>2</v>
      </c>
    </row>
    <row r="189" spans="1:7">
      <c r="A189" s="9">
        <v>1339</v>
      </c>
      <c r="C189" s="26" t="s">
        <v>7785</v>
      </c>
      <c r="D189" t="s">
        <v>7786</v>
      </c>
      <c r="E189" t="s">
        <v>4882</v>
      </c>
      <c r="F189" t="s">
        <v>7787</v>
      </c>
      <c r="G189">
        <v>2</v>
      </c>
    </row>
    <row r="190" spans="1:7">
      <c r="A190" s="11"/>
      <c r="C190" s="26" t="s">
        <v>7788</v>
      </c>
      <c r="D190" t="s">
        <v>7789</v>
      </c>
      <c r="E190" t="s">
        <v>7790</v>
      </c>
      <c r="F190" t="s">
        <v>7791</v>
      </c>
      <c r="G190">
        <v>1</v>
      </c>
    </row>
    <row r="191" spans="1:7">
      <c r="A191" s="9" t="s">
        <v>124</v>
      </c>
      <c r="C191" s="26" t="s">
        <v>7538</v>
      </c>
      <c r="D191" t="s">
        <v>5210</v>
      </c>
      <c r="E191" t="s">
        <v>7792</v>
      </c>
      <c r="F191" t="s">
        <v>5211</v>
      </c>
      <c r="G191">
        <v>1</v>
      </c>
    </row>
    <row r="192" spans="1:7">
      <c r="A192" s="9" t="s">
        <v>125</v>
      </c>
      <c r="C192" s="26" t="s">
        <v>5212</v>
      </c>
      <c r="D192" t="s">
        <v>4716</v>
      </c>
      <c r="E192" t="s">
        <v>4717</v>
      </c>
      <c r="F192" t="s">
        <v>4718</v>
      </c>
      <c r="G192">
        <v>1</v>
      </c>
    </row>
    <row r="193" spans="1:7">
      <c r="A193" s="9" t="s">
        <v>126</v>
      </c>
      <c r="C193" s="26" t="s">
        <v>7793</v>
      </c>
      <c r="D193" t="s">
        <v>7794</v>
      </c>
      <c r="E193" t="s">
        <v>4719</v>
      </c>
      <c r="F193" t="s">
        <v>4720</v>
      </c>
      <c r="G193">
        <v>2</v>
      </c>
    </row>
    <row r="194" spans="1:7">
      <c r="A194" s="10" t="s">
        <v>4279</v>
      </c>
      <c r="C194" s="26" t="s">
        <v>5729</v>
      </c>
      <c r="D194" t="s">
        <v>4721</v>
      </c>
      <c r="E194" t="s">
        <v>7795</v>
      </c>
      <c r="F194" t="s">
        <v>4722</v>
      </c>
      <c r="G194">
        <v>1</v>
      </c>
    </row>
    <row r="195" spans="1:7">
      <c r="A195" s="11"/>
      <c r="C195" s="26" t="s">
        <v>7796</v>
      </c>
      <c r="D195" t="s">
        <v>5457</v>
      </c>
      <c r="E195" t="s">
        <v>5458</v>
      </c>
      <c r="F195" t="s">
        <v>5213</v>
      </c>
      <c r="G195">
        <v>0</v>
      </c>
    </row>
    <row r="196" spans="1:7">
      <c r="A196" s="9" t="s">
        <v>127</v>
      </c>
      <c r="C196" s="26" t="s">
        <v>5459</v>
      </c>
      <c r="D196" t="s">
        <v>4993</v>
      </c>
      <c r="E196" t="s">
        <v>4723</v>
      </c>
      <c r="F196" t="s">
        <v>5413</v>
      </c>
      <c r="G196">
        <v>1</v>
      </c>
    </row>
    <row r="197" spans="1:7">
      <c r="A197" s="10" t="s">
        <v>4280</v>
      </c>
      <c r="C197" s="26" t="s">
        <v>7797</v>
      </c>
      <c r="D197" t="s">
        <v>7798</v>
      </c>
      <c r="E197" t="s">
        <v>4550</v>
      </c>
      <c r="F197" t="s">
        <v>5523</v>
      </c>
      <c r="G197">
        <v>2</v>
      </c>
    </row>
    <row r="198" spans="1:7">
      <c r="A198" s="9" t="s">
        <v>128</v>
      </c>
      <c r="C198" s="26" t="s">
        <v>5460</v>
      </c>
      <c r="D198" t="s">
        <v>5941</v>
      </c>
      <c r="E198" t="s">
        <v>7799</v>
      </c>
      <c r="F198" t="s">
        <v>7800</v>
      </c>
      <c r="G198">
        <v>1</v>
      </c>
    </row>
    <row r="199" spans="1:7">
      <c r="A199" s="9" t="s">
        <v>129</v>
      </c>
      <c r="C199" s="26" t="s">
        <v>5215</v>
      </c>
      <c r="D199" t="s">
        <v>4724</v>
      </c>
      <c r="E199" t="s">
        <v>7801</v>
      </c>
      <c r="F199" t="s">
        <v>7802</v>
      </c>
      <c r="G199">
        <v>2</v>
      </c>
    </row>
    <row r="200" spans="1:7">
      <c r="A200" s="11"/>
      <c r="C200" s="26" t="s">
        <v>4725</v>
      </c>
      <c r="D200" t="s">
        <v>4726</v>
      </c>
      <c r="E200" t="s">
        <v>4727</v>
      </c>
      <c r="F200" t="s">
        <v>7803</v>
      </c>
      <c r="G200">
        <v>2</v>
      </c>
    </row>
    <row r="201" spans="1:7">
      <c r="A201" s="9" t="s">
        <v>130</v>
      </c>
      <c r="C201" s="26" t="s">
        <v>5216</v>
      </c>
      <c r="D201" t="s">
        <v>5730</v>
      </c>
      <c r="E201" t="s">
        <v>7804</v>
      </c>
      <c r="F201" t="s">
        <v>5217</v>
      </c>
      <c r="G201">
        <v>2</v>
      </c>
    </row>
    <row r="202" spans="1:7">
      <c r="A202" s="10" t="s">
        <v>4281</v>
      </c>
      <c r="C202" s="26" t="s">
        <v>5218</v>
      </c>
      <c r="D202" t="s">
        <v>5219</v>
      </c>
      <c r="E202" t="s">
        <v>4728</v>
      </c>
      <c r="F202" t="s">
        <v>7805</v>
      </c>
      <c r="G202">
        <v>2</v>
      </c>
    </row>
    <row r="203" spans="1:7">
      <c r="A203" s="9" t="s">
        <v>131</v>
      </c>
      <c r="C203" s="26" t="s">
        <v>7806</v>
      </c>
      <c r="D203" t="s">
        <v>4729</v>
      </c>
      <c r="E203" t="s">
        <v>5220</v>
      </c>
      <c r="F203" t="s">
        <v>7807</v>
      </c>
      <c r="G203">
        <v>2</v>
      </c>
    </row>
    <row r="204" spans="1:7">
      <c r="A204" s="9" t="s">
        <v>132</v>
      </c>
      <c r="C204" s="26" t="s">
        <v>5221</v>
      </c>
      <c r="D204">
        <v>17</v>
      </c>
      <c r="E204">
        <v>18</v>
      </c>
      <c r="F204">
        <v>19</v>
      </c>
      <c r="G204">
        <v>0</v>
      </c>
    </row>
    <row r="205" spans="1:7">
      <c r="A205" s="11"/>
      <c r="C205" s="26" t="s">
        <v>5222</v>
      </c>
      <c r="D205" t="s">
        <v>7808</v>
      </c>
      <c r="E205" t="s">
        <v>7809</v>
      </c>
      <c r="F205" t="s">
        <v>7810</v>
      </c>
      <c r="G205">
        <v>0</v>
      </c>
    </row>
    <row r="206" spans="1:7">
      <c r="A206" s="9" t="s">
        <v>133</v>
      </c>
      <c r="C206" s="26" t="s">
        <v>7811</v>
      </c>
      <c r="D206" t="s">
        <v>5223</v>
      </c>
      <c r="E206" t="s">
        <v>4730</v>
      </c>
      <c r="F206" t="s">
        <v>7812</v>
      </c>
      <c r="G206">
        <v>2</v>
      </c>
    </row>
    <row r="207" spans="1:7">
      <c r="A207" s="9" t="s">
        <v>134</v>
      </c>
      <c r="C207" s="26" t="s">
        <v>5863</v>
      </c>
      <c r="D207" t="s">
        <v>5224</v>
      </c>
      <c r="E207" t="s">
        <v>5225</v>
      </c>
      <c r="F207" t="s">
        <v>5461</v>
      </c>
      <c r="G207">
        <v>1</v>
      </c>
    </row>
    <row r="208" spans="1:7">
      <c r="A208" s="9" t="s">
        <v>135</v>
      </c>
      <c r="C208" s="26" t="s">
        <v>7813</v>
      </c>
      <c r="D208" t="s">
        <v>4731</v>
      </c>
      <c r="E208" t="s">
        <v>4732</v>
      </c>
      <c r="F208" t="s">
        <v>5226</v>
      </c>
      <c r="G208">
        <v>1</v>
      </c>
    </row>
    <row r="209" spans="1:7">
      <c r="A209" s="10" t="s">
        <v>4282</v>
      </c>
      <c r="C209" s="26" t="s">
        <v>7814</v>
      </c>
      <c r="D209" t="s">
        <v>4733</v>
      </c>
      <c r="E209" t="s">
        <v>4734</v>
      </c>
      <c r="F209" t="s">
        <v>4735</v>
      </c>
      <c r="G209">
        <v>1</v>
      </c>
    </row>
    <row r="210" spans="1:7">
      <c r="A210" s="11"/>
      <c r="C210" s="26" t="s">
        <v>7815</v>
      </c>
      <c r="D210" t="s">
        <v>4736</v>
      </c>
      <c r="E210" t="s">
        <v>4968</v>
      </c>
      <c r="F210" t="s">
        <v>4737</v>
      </c>
      <c r="G210">
        <v>2</v>
      </c>
    </row>
    <row r="211" spans="1:7">
      <c r="A211" s="9" t="s">
        <v>136</v>
      </c>
      <c r="C211" s="26" t="s">
        <v>5227</v>
      </c>
      <c r="D211" t="s">
        <v>7816</v>
      </c>
      <c r="E211" t="s">
        <v>7817</v>
      </c>
      <c r="F211" t="s">
        <v>4738</v>
      </c>
      <c r="G211">
        <v>0</v>
      </c>
    </row>
    <row r="212" spans="1:7">
      <c r="A212" s="9" t="s">
        <v>137</v>
      </c>
      <c r="C212" s="26" t="s">
        <v>5228</v>
      </c>
      <c r="D212" t="s">
        <v>4739</v>
      </c>
      <c r="E212" t="s">
        <v>7818</v>
      </c>
      <c r="F212" t="s">
        <v>5942</v>
      </c>
      <c r="G212">
        <v>2</v>
      </c>
    </row>
    <row r="213" spans="1:7">
      <c r="A213" s="9" t="s">
        <v>138</v>
      </c>
      <c r="C213" s="26" t="s">
        <v>5731</v>
      </c>
      <c r="D213" t="s">
        <v>4740</v>
      </c>
      <c r="E213" t="s">
        <v>7819</v>
      </c>
      <c r="F213" t="s">
        <v>7820</v>
      </c>
      <c r="G213">
        <v>1</v>
      </c>
    </row>
    <row r="214" spans="1:7">
      <c r="A214" s="10" t="s">
        <v>4283</v>
      </c>
      <c r="C214" s="26" t="s">
        <v>5229</v>
      </c>
      <c r="D214" t="s">
        <v>5230</v>
      </c>
      <c r="E214" t="s">
        <v>4741</v>
      </c>
      <c r="F214" t="s">
        <v>7821</v>
      </c>
      <c r="G214">
        <v>2</v>
      </c>
    </row>
    <row r="215" spans="1:7">
      <c r="A215" s="11"/>
      <c r="C215" s="26" t="s">
        <v>7822</v>
      </c>
      <c r="D215" t="s">
        <v>5462</v>
      </c>
      <c r="E215" t="s">
        <v>5231</v>
      </c>
      <c r="F215" t="s">
        <v>5864</v>
      </c>
    </row>
    <row r="216" spans="1:7">
      <c r="A216" s="9" t="s">
        <v>139</v>
      </c>
      <c r="C216" s="26" t="s">
        <v>5463</v>
      </c>
      <c r="D216" t="s">
        <v>7823</v>
      </c>
      <c r="E216" t="s">
        <v>7824</v>
      </c>
      <c r="F216" t="s">
        <v>7825</v>
      </c>
      <c r="G216">
        <v>1</v>
      </c>
    </row>
    <row r="217" spans="1:7">
      <c r="A217" s="9" t="s">
        <v>140</v>
      </c>
      <c r="C217" s="26" t="s">
        <v>7826</v>
      </c>
      <c r="D217" t="s">
        <v>7827</v>
      </c>
      <c r="E217" t="s">
        <v>7828</v>
      </c>
      <c r="F217" t="s">
        <v>7829</v>
      </c>
      <c r="G217">
        <v>0</v>
      </c>
    </row>
    <row r="218" spans="1:7">
      <c r="A218" s="10" t="s">
        <v>4284</v>
      </c>
      <c r="C218" s="26" t="s">
        <v>5232</v>
      </c>
      <c r="D218" t="s">
        <v>5233</v>
      </c>
      <c r="E218" t="s">
        <v>4743</v>
      </c>
      <c r="F218" t="s">
        <v>4744</v>
      </c>
      <c r="G218">
        <v>1</v>
      </c>
    </row>
    <row r="219" spans="1:7">
      <c r="A219" s="9" t="s">
        <v>141</v>
      </c>
      <c r="C219" s="26" t="s">
        <v>5464</v>
      </c>
      <c r="D219" t="s">
        <v>4745</v>
      </c>
      <c r="E219" t="s">
        <v>5465</v>
      </c>
      <c r="F219" t="s">
        <v>5466</v>
      </c>
      <c r="G219">
        <v>2</v>
      </c>
    </row>
    <row r="220" spans="1:7">
      <c r="A220" s="9"/>
      <c r="C220" s="26" t="s">
        <v>5234</v>
      </c>
      <c r="D220" t="s">
        <v>5467</v>
      </c>
      <c r="E220" t="s">
        <v>4746</v>
      </c>
      <c r="F220" t="s">
        <v>7830</v>
      </c>
      <c r="G220">
        <v>2</v>
      </c>
    </row>
    <row r="221" spans="1:7">
      <c r="A221" s="9" t="s">
        <v>142</v>
      </c>
      <c r="C221" s="26" t="s">
        <v>7831</v>
      </c>
      <c r="D221" t="s">
        <v>5235</v>
      </c>
      <c r="E221" t="s">
        <v>5236</v>
      </c>
      <c r="F221" t="s">
        <v>7832</v>
      </c>
      <c r="G221">
        <v>2</v>
      </c>
    </row>
    <row r="222" spans="1:7">
      <c r="A222" s="10" t="s">
        <v>4285</v>
      </c>
      <c r="C222" s="26" t="s">
        <v>5237</v>
      </c>
      <c r="D222" t="s">
        <v>7833</v>
      </c>
      <c r="E222" t="s">
        <v>4747</v>
      </c>
      <c r="F222" t="s">
        <v>4676</v>
      </c>
      <c r="G222">
        <v>0</v>
      </c>
    </row>
    <row r="223" spans="1:7">
      <c r="A223" s="9" t="s">
        <v>143</v>
      </c>
      <c r="C223" s="26" t="s">
        <v>5468</v>
      </c>
      <c r="D223" t="s">
        <v>7834</v>
      </c>
      <c r="E223" t="s">
        <v>4748</v>
      </c>
      <c r="F223" t="s">
        <v>7835</v>
      </c>
      <c r="G223">
        <v>1</v>
      </c>
    </row>
    <row r="224" spans="1:7">
      <c r="A224" s="9" t="s">
        <v>144</v>
      </c>
      <c r="C224" s="26" t="s">
        <v>5238</v>
      </c>
      <c r="D224" t="s">
        <v>7836</v>
      </c>
      <c r="E224" t="s">
        <v>7837</v>
      </c>
      <c r="F224" t="s">
        <v>4749</v>
      </c>
      <c r="G224">
        <v>0</v>
      </c>
    </row>
    <row r="225" spans="1:7">
      <c r="A225" s="11"/>
      <c r="C225" s="26" t="s">
        <v>7838</v>
      </c>
      <c r="D225" t="s">
        <v>4750</v>
      </c>
      <c r="E225" t="s">
        <v>5554</v>
      </c>
      <c r="F225" t="s">
        <v>5865</v>
      </c>
      <c r="G225">
        <v>0</v>
      </c>
    </row>
    <row r="226" spans="1:7">
      <c r="A226" s="9" t="s">
        <v>145</v>
      </c>
      <c r="C226" s="26" t="s">
        <v>7839</v>
      </c>
      <c r="D226" t="s">
        <v>7840</v>
      </c>
      <c r="E226" t="s">
        <v>7841</v>
      </c>
      <c r="F226" t="s">
        <v>4751</v>
      </c>
      <c r="G226">
        <v>1</v>
      </c>
    </row>
    <row r="227" spans="1:7">
      <c r="A227" s="9" t="s">
        <v>146</v>
      </c>
      <c r="C227" s="26" t="s">
        <v>5240</v>
      </c>
      <c r="D227" t="s">
        <v>5469</v>
      </c>
      <c r="E227" t="s">
        <v>5241</v>
      </c>
      <c r="F227" t="s">
        <v>7842</v>
      </c>
      <c r="G227">
        <v>1</v>
      </c>
    </row>
    <row r="228" spans="1:7">
      <c r="A228" s="10" t="s">
        <v>4286</v>
      </c>
      <c r="C228" s="26" t="s">
        <v>7843</v>
      </c>
      <c r="D228" t="s">
        <v>5470</v>
      </c>
      <c r="E228" t="s">
        <v>7844</v>
      </c>
      <c r="F228" t="s">
        <v>4752</v>
      </c>
      <c r="G228">
        <v>2</v>
      </c>
    </row>
    <row r="229" spans="1:7">
      <c r="A229" s="9" t="s">
        <v>147</v>
      </c>
      <c r="C229" s="26" t="s">
        <v>5471</v>
      </c>
      <c r="D229" t="s">
        <v>4753</v>
      </c>
      <c r="E229" t="s">
        <v>5472</v>
      </c>
      <c r="F229" t="s">
        <v>4754</v>
      </c>
      <c r="G229">
        <v>1</v>
      </c>
    </row>
    <row r="230" spans="1:7">
      <c r="A230" s="11"/>
      <c r="C230" s="26" t="s">
        <v>5242</v>
      </c>
      <c r="D230" t="s">
        <v>4755</v>
      </c>
      <c r="E230" t="s">
        <v>5243</v>
      </c>
      <c r="F230" t="s">
        <v>4756</v>
      </c>
      <c r="G230">
        <v>1</v>
      </c>
    </row>
    <row r="231" spans="1:7">
      <c r="A231" s="9" t="s">
        <v>148</v>
      </c>
      <c r="C231" s="26" t="s">
        <v>5244</v>
      </c>
      <c r="D231" t="s">
        <v>7845</v>
      </c>
      <c r="E231" t="s">
        <v>4757</v>
      </c>
      <c r="F231" t="s">
        <v>5732</v>
      </c>
      <c r="G231">
        <v>2</v>
      </c>
    </row>
    <row r="232" spans="1:7">
      <c r="A232" s="10" t="s">
        <v>4287</v>
      </c>
      <c r="C232" s="26" t="s">
        <v>5245</v>
      </c>
      <c r="D232" t="s">
        <v>7846</v>
      </c>
      <c r="E232" t="s">
        <v>7847</v>
      </c>
      <c r="F232" t="s">
        <v>5246</v>
      </c>
      <c r="G232">
        <v>2</v>
      </c>
    </row>
    <row r="233" spans="1:7">
      <c r="A233" s="9" t="s">
        <v>149</v>
      </c>
      <c r="C233" s="26" t="s">
        <v>7848</v>
      </c>
      <c r="D233" t="s">
        <v>7849</v>
      </c>
      <c r="E233" t="s">
        <v>4758</v>
      </c>
      <c r="F233" t="s">
        <v>5247</v>
      </c>
      <c r="G233">
        <v>2</v>
      </c>
    </row>
    <row r="234" spans="1:7">
      <c r="A234" s="9" t="s">
        <v>150</v>
      </c>
      <c r="C234" s="26" t="s">
        <v>7850</v>
      </c>
      <c r="D234" t="s">
        <v>5733</v>
      </c>
      <c r="E234" t="s">
        <v>4759</v>
      </c>
      <c r="F234" t="s">
        <v>5473</v>
      </c>
      <c r="G234">
        <v>2</v>
      </c>
    </row>
    <row r="235" spans="1:7">
      <c r="A235" s="11"/>
      <c r="C235" s="26" t="s">
        <v>5474</v>
      </c>
      <c r="D235" t="s">
        <v>4664</v>
      </c>
      <c r="E235" t="s">
        <v>5676</v>
      </c>
      <c r="F235" t="s">
        <v>4698</v>
      </c>
      <c r="G235">
        <v>1</v>
      </c>
    </row>
    <row r="236" spans="1:7">
      <c r="A236" s="9" t="s">
        <v>151</v>
      </c>
      <c r="C236" s="26" t="s">
        <v>5866</v>
      </c>
      <c r="D236" t="s">
        <v>5248</v>
      </c>
      <c r="E236" t="s">
        <v>5249</v>
      </c>
      <c r="F236" t="s">
        <v>5250</v>
      </c>
      <c r="G236">
        <v>0</v>
      </c>
    </row>
    <row r="237" spans="1:7">
      <c r="A237" s="10" t="s">
        <v>4288</v>
      </c>
      <c r="C237" s="26" t="s">
        <v>5734</v>
      </c>
      <c r="D237" t="s">
        <v>4761</v>
      </c>
      <c r="E237" t="s">
        <v>5735</v>
      </c>
      <c r="F237" t="s">
        <v>5475</v>
      </c>
      <c r="G237">
        <v>0</v>
      </c>
    </row>
    <row r="238" spans="1:7">
      <c r="A238" s="9" t="s">
        <v>152</v>
      </c>
      <c r="C238" s="26" t="s">
        <v>5251</v>
      </c>
      <c r="D238" t="s">
        <v>4865</v>
      </c>
      <c r="E238" t="s">
        <v>4762</v>
      </c>
      <c r="F238" t="s">
        <v>5477</v>
      </c>
      <c r="G238">
        <v>0</v>
      </c>
    </row>
    <row r="239" spans="1:7">
      <c r="A239" s="9" t="s">
        <v>153</v>
      </c>
      <c r="C239" s="26" t="s">
        <v>7851</v>
      </c>
      <c r="D239" t="s">
        <v>7852</v>
      </c>
      <c r="E239" t="s">
        <v>4763</v>
      </c>
      <c r="F239" t="s">
        <v>4764</v>
      </c>
      <c r="G239">
        <v>2</v>
      </c>
    </row>
    <row r="240" spans="1:7">
      <c r="A240" s="11"/>
      <c r="C240" s="26" t="s">
        <v>5252</v>
      </c>
      <c r="D240" t="s">
        <v>5478</v>
      </c>
      <c r="E240" t="s">
        <v>5736</v>
      </c>
      <c r="F240" t="s">
        <v>4765</v>
      </c>
      <c r="G240">
        <v>2</v>
      </c>
    </row>
    <row r="241" spans="1:7">
      <c r="A241" s="9" t="s">
        <v>154</v>
      </c>
      <c r="C241" s="26" t="s">
        <v>7853</v>
      </c>
      <c r="D241" t="s">
        <v>4766</v>
      </c>
      <c r="E241" t="s">
        <v>4767</v>
      </c>
      <c r="F241" t="s">
        <v>7854</v>
      </c>
      <c r="G241">
        <v>1</v>
      </c>
    </row>
    <row r="242" spans="1:7">
      <c r="A242" s="10" t="s">
        <v>4289</v>
      </c>
      <c r="C242" s="26" t="s">
        <v>7855</v>
      </c>
      <c r="D242" t="s">
        <v>7856</v>
      </c>
      <c r="E242" t="s">
        <v>5253</v>
      </c>
      <c r="F242" t="s">
        <v>4768</v>
      </c>
      <c r="G242">
        <v>1</v>
      </c>
    </row>
    <row r="243" spans="1:7">
      <c r="A243" s="9" t="s">
        <v>155</v>
      </c>
      <c r="C243" s="26" t="s">
        <v>5479</v>
      </c>
      <c r="D243" t="s">
        <v>5480</v>
      </c>
      <c r="E243" t="s">
        <v>5254</v>
      </c>
      <c r="F243" t="s">
        <v>7857</v>
      </c>
      <c r="G243">
        <v>0</v>
      </c>
    </row>
    <row r="244" spans="1:7">
      <c r="A244" s="9" t="s">
        <v>156</v>
      </c>
      <c r="C244" s="26" t="s">
        <v>5481</v>
      </c>
      <c r="D244" t="s">
        <v>4769</v>
      </c>
      <c r="E244" t="s">
        <v>4770</v>
      </c>
      <c r="F244" t="s">
        <v>4866</v>
      </c>
      <c r="G244">
        <v>1</v>
      </c>
    </row>
    <row r="245" spans="1:7">
      <c r="A245" s="11"/>
      <c r="C245" s="26" t="s">
        <v>7858</v>
      </c>
      <c r="D245" t="s">
        <v>5482</v>
      </c>
      <c r="E245" t="s">
        <v>7859</v>
      </c>
      <c r="F245" t="s">
        <v>4771</v>
      </c>
      <c r="G245">
        <v>1</v>
      </c>
    </row>
    <row r="246" spans="1:7">
      <c r="A246" s="9" t="s">
        <v>157</v>
      </c>
      <c r="C246" s="26" t="s">
        <v>5483</v>
      </c>
      <c r="D246" t="s">
        <v>7860</v>
      </c>
      <c r="E246" t="s">
        <v>5484</v>
      </c>
      <c r="F246" t="s">
        <v>7861</v>
      </c>
      <c r="G246">
        <v>2</v>
      </c>
    </row>
    <row r="247" spans="1:7">
      <c r="A247" s="10" t="s">
        <v>4290</v>
      </c>
      <c r="C247" s="26" t="s">
        <v>5255</v>
      </c>
      <c r="D247" t="s">
        <v>4772</v>
      </c>
      <c r="E247" t="s">
        <v>7862</v>
      </c>
      <c r="F247" t="s">
        <v>5485</v>
      </c>
      <c r="G247">
        <v>0</v>
      </c>
    </row>
    <row r="248" spans="1:7">
      <c r="A248" s="9" t="s">
        <v>158</v>
      </c>
      <c r="C248" s="26" t="s">
        <v>5256</v>
      </c>
      <c r="D248" t="s">
        <v>7863</v>
      </c>
      <c r="E248" t="s">
        <v>7750</v>
      </c>
      <c r="F248" t="s">
        <v>7864</v>
      </c>
      <c r="G248">
        <v>1</v>
      </c>
    </row>
    <row r="249" spans="1:7">
      <c r="A249" s="9" t="s">
        <v>159</v>
      </c>
      <c r="C249" s="26" t="s">
        <v>5257</v>
      </c>
      <c r="D249" t="s">
        <v>7865</v>
      </c>
      <c r="E249" t="s">
        <v>5486</v>
      </c>
      <c r="F249" t="s">
        <v>4773</v>
      </c>
      <c r="G249">
        <v>0</v>
      </c>
    </row>
    <row r="250" spans="1:7">
      <c r="A250" s="9"/>
      <c r="C250" s="26" t="s">
        <v>7866</v>
      </c>
      <c r="D250" t="s">
        <v>5258</v>
      </c>
      <c r="E250" t="s">
        <v>4774</v>
      </c>
      <c r="F250" t="s">
        <v>4775</v>
      </c>
      <c r="G250">
        <v>0</v>
      </c>
    </row>
    <row r="251" spans="1:7">
      <c r="A251" s="9" t="s">
        <v>160</v>
      </c>
      <c r="C251" s="26" t="s">
        <v>5487</v>
      </c>
      <c r="D251" t="s">
        <v>5259</v>
      </c>
      <c r="E251" t="s">
        <v>5027</v>
      </c>
      <c r="F251" t="s">
        <v>5700</v>
      </c>
      <c r="G251">
        <v>1</v>
      </c>
    </row>
    <row r="252" spans="1:7">
      <c r="A252" s="9" t="s">
        <v>161</v>
      </c>
      <c r="C252" s="26" t="s">
        <v>5488</v>
      </c>
      <c r="D252" t="s">
        <v>4776</v>
      </c>
      <c r="E252" t="s">
        <v>4777</v>
      </c>
      <c r="F252" t="s">
        <v>7867</v>
      </c>
      <c r="G252">
        <v>1</v>
      </c>
    </row>
    <row r="253" spans="1:7">
      <c r="A253" s="9" t="s">
        <v>162</v>
      </c>
      <c r="C253" s="26" t="s">
        <v>5737</v>
      </c>
      <c r="D253" t="s">
        <v>4778</v>
      </c>
      <c r="E253" t="s">
        <v>4991</v>
      </c>
      <c r="F253" t="s">
        <v>4992</v>
      </c>
      <c r="G253">
        <v>2</v>
      </c>
    </row>
    <row r="254" spans="1:7">
      <c r="A254" s="10" t="s">
        <v>4291</v>
      </c>
      <c r="C254" s="26" t="s">
        <v>7868</v>
      </c>
      <c r="D254" t="s">
        <v>5489</v>
      </c>
      <c r="E254" t="s">
        <v>4780</v>
      </c>
      <c r="F254" t="s">
        <v>7869</v>
      </c>
      <c r="G254">
        <v>2</v>
      </c>
    </row>
    <row r="255" spans="1:7">
      <c r="A255" s="11"/>
      <c r="C255" s="26" t="s">
        <v>5943</v>
      </c>
      <c r="D255" t="s">
        <v>4781</v>
      </c>
      <c r="E255" t="s">
        <v>4538</v>
      </c>
      <c r="F255" t="s">
        <v>4782</v>
      </c>
      <c r="G255">
        <v>2</v>
      </c>
    </row>
    <row r="256" spans="1:7">
      <c r="A256" s="9" t="s">
        <v>163</v>
      </c>
      <c r="C256" s="26" t="s">
        <v>5260</v>
      </c>
      <c r="D256" t="s">
        <v>4783</v>
      </c>
      <c r="E256" t="s">
        <v>7870</v>
      </c>
      <c r="F256" t="s">
        <v>5261</v>
      </c>
      <c r="G256">
        <v>2</v>
      </c>
    </row>
    <row r="257" spans="1:7">
      <c r="A257" s="9" t="s">
        <v>164</v>
      </c>
      <c r="C257" s="26" t="s">
        <v>5490</v>
      </c>
      <c r="D257" t="s">
        <v>5491</v>
      </c>
      <c r="E257" t="s">
        <v>5492</v>
      </c>
      <c r="F257" t="s">
        <v>5493</v>
      </c>
      <c r="G257">
        <v>1</v>
      </c>
    </row>
    <row r="258" spans="1:7">
      <c r="A258" s="10" t="s">
        <v>4292</v>
      </c>
      <c r="C258" s="26" t="s">
        <v>5494</v>
      </c>
      <c r="D258" t="s">
        <v>7871</v>
      </c>
      <c r="E258" t="s">
        <v>4784</v>
      </c>
      <c r="F258" t="s">
        <v>7872</v>
      </c>
      <c r="G258">
        <v>0</v>
      </c>
    </row>
    <row r="259" spans="1:7">
      <c r="A259" s="9" t="s">
        <v>165</v>
      </c>
      <c r="C259" s="26" t="s">
        <v>7873</v>
      </c>
      <c r="D259" t="s">
        <v>4760</v>
      </c>
      <c r="E259" t="s">
        <v>4785</v>
      </c>
      <c r="F259" t="s">
        <v>4698</v>
      </c>
      <c r="G259">
        <v>1</v>
      </c>
    </row>
    <row r="260" spans="1:7">
      <c r="A260" s="11"/>
      <c r="C260" s="26" t="s">
        <v>5262</v>
      </c>
      <c r="D260" t="s">
        <v>4786</v>
      </c>
      <c r="E260" t="s">
        <v>4787</v>
      </c>
      <c r="F260" t="s">
        <v>5263</v>
      </c>
      <c r="G260">
        <v>0</v>
      </c>
    </row>
    <row r="261" spans="1:7">
      <c r="A261" s="9" t="s">
        <v>166</v>
      </c>
      <c r="C261" s="26" t="s">
        <v>5495</v>
      </c>
      <c r="D261" t="s">
        <v>5496</v>
      </c>
      <c r="E261" t="s">
        <v>4788</v>
      </c>
      <c r="F261" t="s">
        <v>5497</v>
      </c>
      <c r="G261">
        <v>0</v>
      </c>
    </row>
    <row r="262" spans="1:7">
      <c r="A262" s="10" t="s">
        <v>4293</v>
      </c>
      <c r="C262" s="26" t="s">
        <v>5738</v>
      </c>
      <c r="D262" t="s">
        <v>7874</v>
      </c>
      <c r="E262" t="s">
        <v>7875</v>
      </c>
      <c r="F262" t="s">
        <v>7876</v>
      </c>
      <c r="G262">
        <v>1</v>
      </c>
    </row>
    <row r="263" spans="1:7">
      <c r="A263" s="9" t="s">
        <v>167</v>
      </c>
      <c r="C263" s="26" t="s">
        <v>7877</v>
      </c>
      <c r="D263" t="s">
        <v>7878</v>
      </c>
      <c r="E263" t="s">
        <v>4789</v>
      </c>
      <c r="F263" t="s">
        <v>4790</v>
      </c>
      <c r="G263">
        <v>2</v>
      </c>
    </row>
    <row r="264" spans="1:7">
      <c r="A264" s="9" t="s">
        <v>168</v>
      </c>
      <c r="C264" s="26" t="s">
        <v>5498</v>
      </c>
      <c r="D264" t="s">
        <v>4791</v>
      </c>
      <c r="E264" t="s">
        <v>7879</v>
      </c>
      <c r="F264" t="s">
        <v>7880</v>
      </c>
      <c r="G264">
        <v>1</v>
      </c>
    </row>
    <row r="265" spans="1:7">
      <c r="A265" s="11"/>
      <c r="C265" s="26" t="s">
        <v>7881</v>
      </c>
      <c r="D265" t="s">
        <v>5499</v>
      </c>
      <c r="E265" t="s">
        <v>4792</v>
      </c>
      <c r="F265" t="s">
        <v>7882</v>
      </c>
      <c r="G265">
        <v>0</v>
      </c>
    </row>
    <row r="266" spans="1:7">
      <c r="A266" s="9" t="s">
        <v>169</v>
      </c>
      <c r="C266" s="26" t="s">
        <v>5500</v>
      </c>
      <c r="D266" t="s">
        <v>7883</v>
      </c>
      <c r="E266" t="s">
        <v>4793</v>
      </c>
      <c r="F266" t="s">
        <v>5264</v>
      </c>
      <c r="G266">
        <v>0</v>
      </c>
    </row>
    <row r="267" spans="1:7">
      <c r="A267" s="9" t="s">
        <v>170</v>
      </c>
      <c r="C267" s="26" t="s">
        <v>7884</v>
      </c>
      <c r="D267" t="s">
        <v>5265</v>
      </c>
      <c r="E267" t="s">
        <v>7885</v>
      </c>
      <c r="F267" t="s">
        <v>5011</v>
      </c>
      <c r="G267">
        <v>2</v>
      </c>
    </row>
    <row r="268" spans="1:7">
      <c r="A268" s="9" t="s">
        <v>171</v>
      </c>
      <c r="C268" s="26" t="s">
        <v>5501</v>
      </c>
      <c r="D268" t="s">
        <v>5266</v>
      </c>
      <c r="E268" t="s">
        <v>4950</v>
      </c>
      <c r="F268" t="s">
        <v>5502</v>
      </c>
      <c r="G268">
        <v>2</v>
      </c>
    </row>
    <row r="269" spans="1:7">
      <c r="A269" s="10" t="s">
        <v>4294</v>
      </c>
      <c r="C269" s="26" t="s">
        <v>5739</v>
      </c>
      <c r="D269" t="s">
        <v>5267</v>
      </c>
      <c r="E269" t="s">
        <v>7886</v>
      </c>
      <c r="F269" t="s">
        <v>5503</v>
      </c>
      <c r="G269">
        <v>2</v>
      </c>
    </row>
    <row r="270" spans="1:7">
      <c r="A270" s="11"/>
      <c r="C270" s="26" t="s">
        <v>7887</v>
      </c>
      <c r="D270" t="s">
        <v>4794</v>
      </c>
      <c r="E270" t="s">
        <v>5504</v>
      </c>
      <c r="F270" t="s">
        <v>5268</v>
      </c>
      <c r="G270">
        <v>1</v>
      </c>
    </row>
    <row r="271" spans="1:7">
      <c r="A271" s="9" t="s">
        <v>172</v>
      </c>
      <c r="C271" s="26" t="s">
        <v>5505</v>
      </c>
      <c r="D271" t="s">
        <v>5013</v>
      </c>
      <c r="E271" t="s">
        <v>4796</v>
      </c>
      <c r="F271" t="s">
        <v>4797</v>
      </c>
      <c r="G271">
        <v>0</v>
      </c>
    </row>
    <row r="272" spans="1:7">
      <c r="A272" s="9" t="s">
        <v>173</v>
      </c>
      <c r="C272" s="26" t="s">
        <v>5740</v>
      </c>
      <c r="D272" t="s">
        <v>7888</v>
      </c>
      <c r="E272" t="s">
        <v>4798</v>
      </c>
      <c r="F272" t="s">
        <v>4799</v>
      </c>
      <c r="G272">
        <v>1</v>
      </c>
    </row>
    <row r="273" spans="1:7">
      <c r="A273" s="9" t="s">
        <v>174</v>
      </c>
      <c r="C273" s="26" t="s">
        <v>5269</v>
      </c>
      <c r="D273" t="s">
        <v>5506</v>
      </c>
      <c r="E273" t="s">
        <v>5270</v>
      </c>
      <c r="F273" t="s">
        <v>7889</v>
      </c>
      <c r="G273">
        <v>1</v>
      </c>
    </row>
    <row r="274" spans="1:7">
      <c r="A274" s="10" t="s">
        <v>4295</v>
      </c>
      <c r="C274" s="26" t="s">
        <v>7890</v>
      </c>
      <c r="D274" t="s">
        <v>4800</v>
      </c>
      <c r="E274" t="s">
        <v>7891</v>
      </c>
      <c r="F274" t="s">
        <v>4801</v>
      </c>
      <c r="G274">
        <v>2</v>
      </c>
    </row>
    <row r="275" spans="1:7">
      <c r="A275" s="11"/>
      <c r="C275" s="26" t="s">
        <v>5271</v>
      </c>
      <c r="D275" t="s">
        <v>7892</v>
      </c>
      <c r="E275" t="s">
        <v>4802</v>
      </c>
      <c r="F275" t="s">
        <v>4803</v>
      </c>
      <c r="G275">
        <v>0</v>
      </c>
    </row>
    <row r="276" spans="1:7">
      <c r="A276" s="9" t="s">
        <v>175</v>
      </c>
      <c r="C276" s="26" t="s">
        <v>7893</v>
      </c>
      <c r="D276" t="s">
        <v>7894</v>
      </c>
      <c r="E276" t="s">
        <v>5507</v>
      </c>
      <c r="F276" t="s">
        <v>5508</v>
      </c>
      <c r="G276">
        <v>2</v>
      </c>
    </row>
    <row r="277" spans="1:7">
      <c r="A277" s="9" t="s">
        <v>176</v>
      </c>
      <c r="C277" s="26" t="s">
        <v>5272</v>
      </c>
      <c r="D277" t="s">
        <v>4962</v>
      </c>
      <c r="E277" t="s">
        <v>4963</v>
      </c>
      <c r="F277" t="s">
        <v>5273</v>
      </c>
      <c r="G277">
        <v>2</v>
      </c>
    </row>
    <row r="278" spans="1:7">
      <c r="A278" s="9" t="s">
        <v>177</v>
      </c>
      <c r="C278" s="26" t="s">
        <v>7895</v>
      </c>
      <c r="D278" t="s">
        <v>5509</v>
      </c>
      <c r="E278" t="s">
        <v>4805</v>
      </c>
      <c r="F278" t="s">
        <v>5274</v>
      </c>
      <c r="G278">
        <v>2</v>
      </c>
    </row>
    <row r="279" spans="1:7">
      <c r="A279" s="10" t="s">
        <v>4296</v>
      </c>
      <c r="C279" s="26" t="s">
        <v>5275</v>
      </c>
      <c r="D279" t="s">
        <v>7896</v>
      </c>
      <c r="E279" t="s">
        <v>5510</v>
      </c>
      <c r="F279" t="s">
        <v>7897</v>
      </c>
      <c r="G279">
        <v>1</v>
      </c>
    </row>
    <row r="280" spans="1:7">
      <c r="A280" s="11"/>
      <c r="C280" s="26" t="s">
        <v>5276</v>
      </c>
      <c r="D280" t="s">
        <v>7898</v>
      </c>
      <c r="E280" t="s">
        <v>5277</v>
      </c>
      <c r="F280" t="s">
        <v>4806</v>
      </c>
      <c r="G280">
        <v>1</v>
      </c>
    </row>
    <row r="281" spans="1:7">
      <c r="A281" s="9" t="s">
        <v>178</v>
      </c>
      <c r="C281" s="26" t="s">
        <v>7899</v>
      </c>
      <c r="D281" t="s">
        <v>5944</v>
      </c>
      <c r="E281" t="s">
        <v>5278</v>
      </c>
      <c r="F281" t="s">
        <v>7900</v>
      </c>
      <c r="G281">
        <v>0</v>
      </c>
    </row>
    <row r="282" spans="1:7">
      <c r="A282" s="10" t="s">
        <v>4297</v>
      </c>
      <c r="C282" s="26" t="s">
        <v>5512</v>
      </c>
      <c r="D282" t="s">
        <v>4807</v>
      </c>
      <c r="E282" t="s">
        <v>7901</v>
      </c>
      <c r="F282" t="s">
        <v>5279</v>
      </c>
      <c r="G282">
        <v>1</v>
      </c>
    </row>
    <row r="283" spans="1:7">
      <c r="A283" s="9" t="s">
        <v>179</v>
      </c>
      <c r="C283" s="26" t="s">
        <v>5741</v>
      </c>
      <c r="D283" t="s">
        <v>5511</v>
      </c>
      <c r="E283" t="s">
        <v>5596</v>
      </c>
      <c r="F283" t="s">
        <v>4936</v>
      </c>
      <c r="G283">
        <v>0</v>
      </c>
    </row>
    <row r="284" spans="1:7">
      <c r="A284" s="9" t="s">
        <v>180</v>
      </c>
      <c r="C284" s="26" t="s">
        <v>5513</v>
      </c>
      <c r="D284" t="s">
        <v>4808</v>
      </c>
      <c r="E284" t="s">
        <v>4809</v>
      </c>
      <c r="F284" t="s">
        <v>7902</v>
      </c>
      <c r="G284">
        <v>2</v>
      </c>
    </row>
    <row r="285" spans="1:7">
      <c r="A285" s="11"/>
      <c r="C285" s="26" t="s">
        <v>7903</v>
      </c>
      <c r="D285" t="s">
        <v>4810</v>
      </c>
      <c r="E285" t="s">
        <v>7904</v>
      </c>
      <c r="F285" t="s">
        <v>5280</v>
      </c>
      <c r="G285">
        <v>1</v>
      </c>
    </row>
    <row r="286" spans="1:7">
      <c r="A286" s="9" t="s">
        <v>181</v>
      </c>
      <c r="C286" s="26" t="s">
        <v>5514</v>
      </c>
      <c r="D286" t="s">
        <v>4811</v>
      </c>
      <c r="E286" t="s">
        <v>5281</v>
      </c>
      <c r="F286" t="s">
        <v>7905</v>
      </c>
      <c r="G286">
        <v>0</v>
      </c>
    </row>
    <row r="287" spans="1:7">
      <c r="A287" s="10" t="s">
        <v>4298</v>
      </c>
      <c r="C287" s="26" t="s">
        <v>5742</v>
      </c>
      <c r="D287" t="s">
        <v>4812</v>
      </c>
      <c r="E287" t="s">
        <v>4813</v>
      </c>
      <c r="F287" t="s">
        <v>5282</v>
      </c>
      <c r="G287">
        <v>0</v>
      </c>
    </row>
    <row r="288" spans="1:7">
      <c r="A288" s="9" t="s">
        <v>182</v>
      </c>
      <c r="C288" s="26" t="s">
        <v>7906</v>
      </c>
      <c r="D288" t="s">
        <v>4814</v>
      </c>
      <c r="E288" t="s">
        <v>4815</v>
      </c>
      <c r="F288" t="s">
        <v>5743</v>
      </c>
      <c r="G288">
        <v>1</v>
      </c>
    </row>
    <row r="289" spans="1:7">
      <c r="A289" s="9" t="s">
        <v>183</v>
      </c>
      <c r="C289" s="26" t="s">
        <v>5515</v>
      </c>
      <c r="D289" t="s">
        <v>5516</v>
      </c>
      <c r="E289" t="s">
        <v>5517</v>
      </c>
      <c r="F289" t="s">
        <v>5744</v>
      </c>
      <c r="G289">
        <v>0</v>
      </c>
    </row>
    <row r="290" spans="1:7">
      <c r="A290" s="11"/>
      <c r="C290" s="26" t="s">
        <v>7907</v>
      </c>
      <c r="D290" t="s">
        <v>5283</v>
      </c>
      <c r="E290" t="s">
        <v>4816</v>
      </c>
      <c r="F290" t="s">
        <v>7908</v>
      </c>
      <c r="G290">
        <v>0</v>
      </c>
    </row>
    <row r="291" spans="1:7">
      <c r="A291" s="9" t="s">
        <v>184</v>
      </c>
      <c r="C291" s="26" t="s">
        <v>5745</v>
      </c>
      <c r="D291" t="s">
        <v>4817</v>
      </c>
      <c r="E291" t="s">
        <v>7909</v>
      </c>
      <c r="F291" t="s">
        <v>7910</v>
      </c>
      <c r="G291">
        <v>1</v>
      </c>
    </row>
    <row r="292" spans="1:7">
      <c r="A292" s="9" t="s">
        <v>185</v>
      </c>
      <c r="C292" s="26" t="s">
        <v>5867</v>
      </c>
      <c r="D292" t="s">
        <v>5518</v>
      </c>
      <c r="E292" t="s">
        <v>7911</v>
      </c>
      <c r="F292" t="s">
        <v>7912</v>
      </c>
      <c r="G292">
        <v>2</v>
      </c>
    </row>
    <row r="293" spans="1:7">
      <c r="A293" s="9" t="s">
        <v>186</v>
      </c>
      <c r="C293" s="26" t="s">
        <v>5519</v>
      </c>
      <c r="D293" t="s">
        <v>5520</v>
      </c>
      <c r="E293" t="s">
        <v>7913</v>
      </c>
      <c r="F293" t="s">
        <v>5284</v>
      </c>
      <c r="G293">
        <v>1</v>
      </c>
    </row>
    <row r="294" spans="1:7">
      <c r="A294" s="10" t="s">
        <v>187</v>
      </c>
      <c r="C294" s="26" t="s">
        <v>7914</v>
      </c>
      <c r="D294" t="s">
        <v>5929</v>
      </c>
      <c r="E294" t="s">
        <v>4829</v>
      </c>
      <c r="F294" t="s">
        <v>5285</v>
      </c>
      <c r="G294">
        <v>2</v>
      </c>
    </row>
    <row r="295" spans="1:7">
      <c r="A295" s="11"/>
      <c r="C295" s="26" t="s">
        <v>7915</v>
      </c>
      <c r="D295" t="s">
        <v>7916</v>
      </c>
      <c r="E295" t="s">
        <v>5286</v>
      </c>
      <c r="F295" t="s">
        <v>5521</v>
      </c>
      <c r="G295">
        <v>0</v>
      </c>
    </row>
    <row r="296" spans="1:7">
      <c r="A296" s="9" t="s">
        <v>188</v>
      </c>
      <c r="C296" s="26" t="s">
        <v>5868</v>
      </c>
      <c r="D296" t="s">
        <v>4819</v>
      </c>
      <c r="E296" t="s">
        <v>7917</v>
      </c>
      <c r="F296" t="s">
        <v>5287</v>
      </c>
      <c r="G296">
        <v>1</v>
      </c>
    </row>
    <row r="297" spans="1:7">
      <c r="A297" s="10" t="s">
        <v>4299</v>
      </c>
      <c r="C297" s="26" t="s">
        <v>5522</v>
      </c>
      <c r="D297" t="s">
        <v>5800</v>
      </c>
      <c r="E297" t="s">
        <v>5343</v>
      </c>
      <c r="F297" t="s">
        <v>4889</v>
      </c>
      <c r="G297">
        <v>2</v>
      </c>
    </row>
    <row r="298" spans="1:7">
      <c r="A298" s="9" t="s">
        <v>189</v>
      </c>
      <c r="C298" s="26" t="s">
        <v>5524</v>
      </c>
      <c r="D298" t="s">
        <v>7918</v>
      </c>
      <c r="E298" t="s">
        <v>5685</v>
      </c>
      <c r="F298" t="s">
        <v>5288</v>
      </c>
      <c r="G298">
        <v>2</v>
      </c>
    </row>
    <row r="299" spans="1:7">
      <c r="A299" s="9" t="s">
        <v>190</v>
      </c>
      <c r="C299" s="26" t="s">
        <v>5525</v>
      </c>
      <c r="D299" t="s">
        <v>5289</v>
      </c>
      <c r="E299" t="s">
        <v>4822</v>
      </c>
      <c r="F299" t="s">
        <v>5290</v>
      </c>
      <c r="G299">
        <v>1</v>
      </c>
    </row>
    <row r="300" spans="1:7">
      <c r="A300" s="11"/>
      <c r="C300" s="26" t="s">
        <v>5869</v>
      </c>
      <c r="D300" t="s">
        <v>7919</v>
      </c>
      <c r="E300" t="s">
        <v>4823</v>
      </c>
      <c r="F300" t="s">
        <v>7920</v>
      </c>
      <c r="G300">
        <v>2</v>
      </c>
    </row>
    <row r="301" spans="1:7">
      <c r="A301" s="9" t="s">
        <v>191</v>
      </c>
      <c r="C301" s="26" t="s">
        <v>7921</v>
      </c>
      <c r="D301" t="s">
        <v>7922</v>
      </c>
      <c r="E301" t="s">
        <v>5526</v>
      </c>
      <c r="F301" t="s">
        <v>7680</v>
      </c>
      <c r="G301">
        <v>2</v>
      </c>
    </row>
    <row r="302" spans="1:7">
      <c r="A302" s="9" t="s">
        <v>192</v>
      </c>
      <c r="C302" s="26" t="s">
        <v>5527</v>
      </c>
      <c r="D302" t="s">
        <v>4824</v>
      </c>
      <c r="E302" t="s">
        <v>4825</v>
      </c>
      <c r="F302" t="s">
        <v>7923</v>
      </c>
      <c r="G302">
        <v>2</v>
      </c>
    </row>
    <row r="303" spans="1:7">
      <c r="A303" s="10" t="s">
        <v>4300</v>
      </c>
      <c r="C303" s="26" t="s">
        <v>5528</v>
      </c>
      <c r="D303" t="s">
        <v>4826</v>
      </c>
      <c r="E303" t="s">
        <v>7924</v>
      </c>
      <c r="F303" t="s">
        <v>5529</v>
      </c>
      <c r="G303">
        <v>1</v>
      </c>
    </row>
    <row r="304" spans="1:7">
      <c r="A304" s="9" t="s">
        <v>193</v>
      </c>
      <c r="C304" s="26" t="s">
        <v>5530</v>
      </c>
      <c r="D304" t="s">
        <v>4827</v>
      </c>
      <c r="E304" t="s">
        <v>7925</v>
      </c>
      <c r="F304" t="s">
        <v>5291</v>
      </c>
      <c r="G304">
        <v>0</v>
      </c>
    </row>
    <row r="305" spans="1:7">
      <c r="A305" s="11"/>
      <c r="C305" s="26" t="s">
        <v>5746</v>
      </c>
      <c r="D305" t="s">
        <v>4828</v>
      </c>
      <c r="E305" t="s">
        <v>5292</v>
      </c>
      <c r="F305" t="s">
        <v>5293</v>
      </c>
      <c r="G305">
        <v>2</v>
      </c>
    </row>
    <row r="306" spans="1:7">
      <c r="A306" s="9" t="s">
        <v>194</v>
      </c>
      <c r="C306" s="26" t="s">
        <v>7926</v>
      </c>
      <c r="D306" t="s">
        <v>5294</v>
      </c>
      <c r="E306" t="s">
        <v>5531</v>
      </c>
      <c r="F306" t="s">
        <v>7927</v>
      </c>
      <c r="G306">
        <v>1</v>
      </c>
    </row>
    <row r="307" spans="1:7">
      <c r="A307" s="9" t="s">
        <v>195</v>
      </c>
      <c r="C307" s="26" t="s">
        <v>7543</v>
      </c>
      <c r="D307" t="s">
        <v>4829</v>
      </c>
      <c r="E307" t="s">
        <v>5532</v>
      </c>
      <c r="F307" t="s">
        <v>5295</v>
      </c>
      <c r="G307">
        <v>1</v>
      </c>
    </row>
    <row r="308" spans="1:7">
      <c r="A308" s="9" t="s">
        <v>196</v>
      </c>
      <c r="C308" s="26" t="s">
        <v>5870</v>
      </c>
      <c r="D308" t="s">
        <v>4830</v>
      </c>
      <c r="E308" t="s">
        <v>7928</v>
      </c>
      <c r="F308" t="s">
        <v>5296</v>
      </c>
      <c r="G308">
        <v>2</v>
      </c>
    </row>
    <row r="309" spans="1:7">
      <c r="A309" s="10" t="s">
        <v>4301</v>
      </c>
      <c r="C309" s="26" t="s">
        <v>7929</v>
      </c>
      <c r="D309" t="s">
        <v>5297</v>
      </c>
      <c r="E309" t="s">
        <v>4832</v>
      </c>
      <c r="F309" t="s">
        <v>5533</v>
      </c>
      <c r="G309">
        <v>1</v>
      </c>
    </row>
    <row r="310" spans="1:7">
      <c r="A310" s="10"/>
      <c r="C310" s="26" t="s">
        <v>5534</v>
      </c>
      <c r="D310" t="s">
        <v>5535</v>
      </c>
      <c r="E310" t="s">
        <v>4833</v>
      </c>
      <c r="F310" t="s">
        <v>5536</v>
      </c>
      <c r="G310">
        <v>1</v>
      </c>
    </row>
    <row r="311" spans="1:7">
      <c r="A311" s="9" t="s">
        <v>197</v>
      </c>
      <c r="C311" s="26" t="s">
        <v>7930</v>
      </c>
      <c r="D311" t="s">
        <v>7931</v>
      </c>
      <c r="E311" t="s">
        <v>4834</v>
      </c>
      <c r="F311" t="s">
        <v>5298</v>
      </c>
      <c r="G311">
        <v>1</v>
      </c>
    </row>
    <row r="312" spans="1:7">
      <c r="A312" s="9" t="s">
        <v>198</v>
      </c>
      <c r="C312" s="26" t="s">
        <v>5537</v>
      </c>
      <c r="D312" t="s">
        <v>4835</v>
      </c>
      <c r="E312" t="s">
        <v>7932</v>
      </c>
      <c r="F312" t="s">
        <v>5538</v>
      </c>
      <c r="G312">
        <v>2</v>
      </c>
    </row>
    <row r="313" spans="1:7">
      <c r="A313" s="9" t="s">
        <v>199</v>
      </c>
      <c r="C313" s="26" t="s">
        <v>7933</v>
      </c>
      <c r="D313" t="s">
        <v>4836</v>
      </c>
      <c r="E313" t="s">
        <v>5299</v>
      </c>
      <c r="F313" t="s">
        <v>7934</v>
      </c>
      <c r="G313">
        <v>0</v>
      </c>
    </row>
    <row r="314" spans="1:7">
      <c r="A314" s="10" t="s">
        <v>4302</v>
      </c>
      <c r="C314" s="26" t="s">
        <v>5539</v>
      </c>
      <c r="D314" t="s">
        <v>7544</v>
      </c>
      <c r="E314" t="s">
        <v>7935</v>
      </c>
      <c r="F314" t="s">
        <v>5540</v>
      </c>
      <c r="G314">
        <v>1</v>
      </c>
    </row>
    <row r="315" spans="1:7">
      <c r="A315" s="10"/>
      <c r="C315" s="26" t="s">
        <v>5541</v>
      </c>
      <c r="D315" t="s">
        <v>7936</v>
      </c>
      <c r="E315" t="s">
        <v>4837</v>
      </c>
      <c r="F315" t="s">
        <v>7937</v>
      </c>
      <c r="G315">
        <v>2</v>
      </c>
    </row>
    <row r="316" spans="1:7">
      <c r="A316" s="9" t="s">
        <v>200</v>
      </c>
      <c r="C316" s="26" t="s">
        <v>5542</v>
      </c>
      <c r="D316" t="s">
        <v>7938</v>
      </c>
      <c r="E316" t="s">
        <v>7939</v>
      </c>
      <c r="F316" t="s">
        <v>5300</v>
      </c>
      <c r="G316">
        <v>2</v>
      </c>
    </row>
    <row r="317" spans="1:7">
      <c r="A317" s="10" t="s">
        <v>4303</v>
      </c>
      <c r="C317" s="26" t="s">
        <v>5543</v>
      </c>
      <c r="D317" t="s">
        <v>5544</v>
      </c>
      <c r="E317" t="s">
        <v>5301</v>
      </c>
      <c r="F317" t="s">
        <v>5302</v>
      </c>
      <c r="G317">
        <v>0</v>
      </c>
    </row>
    <row r="318" spans="1:7">
      <c r="A318" s="9" t="s">
        <v>201</v>
      </c>
      <c r="C318" s="26" t="s">
        <v>5871</v>
      </c>
      <c r="D318" t="s">
        <v>4838</v>
      </c>
      <c r="E318" t="s">
        <v>5545</v>
      </c>
      <c r="F318" t="s">
        <v>7940</v>
      </c>
      <c r="G318">
        <v>0</v>
      </c>
    </row>
    <row r="319" spans="1:7">
      <c r="A319" s="9" t="s">
        <v>202</v>
      </c>
      <c r="C319" s="26" t="s">
        <v>5546</v>
      </c>
      <c r="D319" t="s">
        <v>4839</v>
      </c>
      <c r="E319" t="s">
        <v>7941</v>
      </c>
      <c r="F319" t="s">
        <v>5872</v>
      </c>
      <c r="G319">
        <v>2</v>
      </c>
    </row>
    <row r="320" spans="1:7">
      <c r="A320" s="11"/>
      <c r="C320" s="26" t="s">
        <v>5547</v>
      </c>
      <c r="D320" t="s">
        <v>5303</v>
      </c>
      <c r="E320" t="s">
        <v>4840</v>
      </c>
      <c r="F320" t="s">
        <v>5304</v>
      </c>
      <c r="G320">
        <v>1</v>
      </c>
    </row>
    <row r="321" spans="1:7">
      <c r="A321" s="9" t="s">
        <v>203</v>
      </c>
      <c r="C321" s="26" t="s">
        <v>7942</v>
      </c>
      <c r="D321" t="s">
        <v>4841</v>
      </c>
      <c r="E321" t="s">
        <v>5548</v>
      </c>
      <c r="F321" t="s">
        <v>7943</v>
      </c>
      <c r="G321">
        <v>0</v>
      </c>
    </row>
    <row r="322" spans="1:7">
      <c r="A322" s="9" t="s">
        <v>204</v>
      </c>
      <c r="C322" s="26" t="s">
        <v>7944</v>
      </c>
      <c r="D322">
        <v>200</v>
      </c>
      <c r="E322">
        <v>300</v>
      </c>
      <c r="F322">
        <v>500</v>
      </c>
      <c r="G322">
        <v>1</v>
      </c>
    </row>
    <row r="323" spans="1:7">
      <c r="A323" s="10" t="s">
        <v>4304</v>
      </c>
      <c r="C323" s="26" t="s">
        <v>5549</v>
      </c>
      <c r="D323" t="s">
        <v>5550</v>
      </c>
      <c r="E323" t="s">
        <v>4842</v>
      </c>
      <c r="F323" t="s">
        <v>5305</v>
      </c>
      <c r="G323">
        <v>1</v>
      </c>
    </row>
    <row r="324" spans="1:7">
      <c r="A324" s="9" t="s">
        <v>205</v>
      </c>
      <c r="C324" s="26" t="s">
        <v>7945</v>
      </c>
      <c r="D324" t="s">
        <v>4756</v>
      </c>
      <c r="E324" t="s">
        <v>5551</v>
      </c>
      <c r="F324" t="s">
        <v>5306</v>
      </c>
      <c r="G324">
        <v>0</v>
      </c>
    </row>
    <row r="325" spans="1:7">
      <c r="A325" s="11"/>
      <c r="C325" s="26" t="s">
        <v>5552</v>
      </c>
      <c r="D325" t="s">
        <v>7946</v>
      </c>
      <c r="E325" t="s">
        <v>7947</v>
      </c>
      <c r="F325" t="s">
        <v>5307</v>
      </c>
      <c r="G325">
        <v>1</v>
      </c>
    </row>
    <row r="326" spans="1:7">
      <c r="A326" s="9" t="s">
        <v>206</v>
      </c>
      <c r="C326" s="26" t="s">
        <v>5553</v>
      </c>
      <c r="D326" t="s">
        <v>7948</v>
      </c>
      <c r="E326" t="s">
        <v>5554</v>
      </c>
      <c r="F326" t="s">
        <v>5308</v>
      </c>
      <c r="G326">
        <v>2</v>
      </c>
    </row>
    <row r="327" spans="1:7">
      <c r="A327" s="10" t="s">
        <v>4305</v>
      </c>
      <c r="C327" s="26" t="s">
        <v>5873</v>
      </c>
      <c r="D327" t="s">
        <v>5555</v>
      </c>
      <c r="E327" t="s">
        <v>7949</v>
      </c>
      <c r="F327" t="s">
        <v>7950</v>
      </c>
      <c r="G327">
        <v>2</v>
      </c>
    </row>
    <row r="328" spans="1:7">
      <c r="A328" s="9" t="s">
        <v>207</v>
      </c>
      <c r="C328" s="26" t="s">
        <v>5556</v>
      </c>
      <c r="D328" t="s">
        <v>7951</v>
      </c>
      <c r="E328" t="s">
        <v>4843</v>
      </c>
      <c r="F328" t="s">
        <v>7952</v>
      </c>
      <c r="G328">
        <v>0</v>
      </c>
    </row>
    <row r="329" spans="1:7">
      <c r="A329" s="9" t="s">
        <v>208</v>
      </c>
      <c r="C329" s="26" t="s">
        <v>5557</v>
      </c>
      <c r="D329" t="s">
        <v>4844</v>
      </c>
      <c r="E329" t="s">
        <v>7953</v>
      </c>
      <c r="F329" t="s">
        <v>7954</v>
      </c>
      <c r="G329">
        <v>2</v>
      </c>
    </row>
    <row r="330" spans="1:7">
      <c r="A330" s="11"/>
      <c r="C330" s="26" t="s">
        <v>7955</v>
      </c>
      <c r="D330">
        <v>0</v>
      </c>
      <c r="E330">
        <v>1</v>
      </c>
      <c r="F330">
        <v>362880</v>
      </c>
      <c r="G330">
        <v>0</v>
      </c>
    </row>
    <row r="331" spans="1:7">
      <c r="A331" s="9" t="s">
        <v>209</v>
      </c>
      <c r="C331" s="26" t="s">
        <v>7956</v>
      </c>
      <c r="D331" t="s">
        <v>4845</v>
      </c>
      <c r="E331" t="s">
        <v>4846</v>
      </c>
      <c r="F331" t="s">
        <v>7957</v>
      </c>
      <c r="G331">
        <v>1</v>
      </c>
    </row>
    <row r="332" spans="1:7">
      <c r="A332" s="9" t="s">
        <v>210</v>
      </c>
      <c r="C332" s="26" t="s">
        <v>5747</v>
      </c>
      <c r="D332" t="s">
        <v>4847</v>
      </c>
      <c r="E332" t="s">
        <v>7958</v>
      </c>
      <c r="F332" t="s">
        <v>4698</v>
      </c>
      <c r="G332">
        <v>1</v>
      </c>
    </row>
    <row r="333" spans="1:7">
      <c r="A333" s="10" t="s">
        <v>4306</v>
      </c>
      <c r="C333" s="26" t="s">
        <v>5558</v>
      </c>
      <c r="D333" t="s">
        <v>4848</v>
      </c>
      <c r="E333" t="s">
        <v>5559</v>
      </c>
      <c r="F333" t="s">
        <v>5748</v>
      </c>
      <c r="G333">
        <v>2</v>
      </c>
    </row>
    <row r="334" spans="1:7">
      <c r="A334" s="9" t="s">
        <v>211</v>
      </c>
      <c r="C334" s="26" t="s">
        <v>5560</v>
      </c>
      <c r="D334" t="s">
        <v>4606</v>
      </c>
      <c r="E334" t="s">
        <v>4849</v>
      </c>
      <c r="F334" t="s">
        <v>5100</v>
      </c>
      <c r="G334">
        <v>0</v>
      </c>
    </row>
    <row r="335" spans="1:7">
      <c r="A335" s="11"/>
      <c r="C335" s="26" t="s">
        <v>7959</v>
      </c>
      <c r="D335" t="s">
        <v>7960</v>
      </c>
      <c r="E335" t="s">
        <v>4850</v>
      </c>
      <c r="F335" t="s">
        <v>5309</v>
      </c>
      <c r="G335">
        <v>2</v>
      </c>
    </row>
    <row r="336" spans="1:7">
      <c r="A336" s="9" t="s">
        <v>212</v>
      </c>
      <c r="C336" s="26" t="s">
        <v>5561</v>
      </c>
      <c r="D336" t="s">
        <v>4851</v>
      </c>
      <c r="E336" t="s">
        <v>7961</v>
      </c>
      <c r="F336" t="s">
        <v>7962</v>
      </c>
      <c r="G336">
        <v>1</v>
      </c>
    </row>
    <row r="337" spans="1:7">
      <c r="A337" s="9" t="s">
        <v>213</v>
      </c>
      <c r="C337" s="26" t="s">
        <v>5562</v>
      </c>
      <c r="D337" t="s">
        <v>7963</v>
      </c>
      <c r="E337" t="s">
        <v>4852</v>
      </c>
      <c r="F337" t="s">
        <v>5310</v>
      </c>
      <c r="G337">
        <v>2</v>
      </c>
    </row>
    <row r="338" spans="1:7">
      <c r="A338" s="9" t="s">
        <v>214</v>
      </c>
      <c r="C338" s="26" t="s">
        <v>5563</v>
      </c>
      <c r="D338" t="s">
        <v>5564</v>
      </c>
      <c r="E338" t="s">
        <v>4853</v>
      </c>
      <c r="F338" t="s">
        <v>5311</v>
      </c>
      <c r="G338">
        <v>1</v>
      </c>
    </row>
    <row r="339" spans="1:7">
      <c r="A339" s="10" t="s">
        <v>4307</v>
      </c>
      <c r="C339" s="26" t="s">
        <v>5565</v>
      </c>
      <c r="D339" t="s">
        <v>5566</v>
      </c>
      <c r="E339" t="s">
        <v>5567</v>
      </c>
      <c r="F339" t="s">
        <v>5312</v>
      </c>
      <c r="G339">
        <v>1</v>
      </c>
    </row>
    <row r="340" spans="1:7">
      <c r="A340" s="11"/>
      <c r="C340" s="26" t="s">
        <v>5568</v>
      </c>
      <c r="D340" t="s">
        <v>4854</v>
      </c>
      <c r="E340" t="s">
        <v>5313</v>
      </c>
      <c r="F340" t="s">
        <v>5314</v>
      </c>
      <c r="G340">
        <v>1</v>
      </c>
    </row>
    <row r="341" spans="1:7">
      <c r="A341" s="9" t="s">
        <v>215</v>
      </c>
      <c r="C341" s="26" t="s">
        <v>7964</v>
      </c>
      <c r="D341" t="s">
        <v>5569</v>
      </c>
      <c r="E341" t="s">
        <v>4855</v>
      </c>
      <c r="F341" t="s">
        <v>5570</v>
      </c>
      <c r="G341">
        <v>0</v>
      </c>
    </row>
    <row r="342" spans="1:7">
      <c r="A342" s="9" t="s">
        <v>216</v>
      </c>
      <c r="C342" s="26" t="s">
        <v>5571</v>
      </c>
      <c r="D342" t="s">
        <v>4856</v>
      </c>
      <c r="E342" t="s">
        <v>4556</v>
      </c>
      <c r="F342" t="s">
        <v>4926</v>
      </c>
      <c r="G342">
        <v>1</v>
      </c>
    </row>
    <row r="343" spans="1:7">
      <c r="A343" s="10" t="s">
        <v>4308</v>
      </c>
      <c r="C343" s="26" t="s">
        <v>7545</v>
      </c>
      <c r="D343" t="s">
        <v>5573</v>
      </c>
      <c r="E343" t="s">
        <v>5574</v>
      </c>
      <c r="F343" t="s">
        <v>4925</v>
      </c>
      <c r="G343">
        <v>1</v>
      </c>
    </row>
    <row r="344" spans="1:7">
      <c r="A344" s="9" t="s">
        <v>217</v>
      </c>
      <c r="C344" s="26" t="s">
        <v>5575</v>
      </c>
      <c r="D344" t="s">
        <v>4857</v>
      </c>
      <c r="E344" t="s">
        <v>7965</v>
      </c>
      <c r="F344" t="s">
        <v>7966</v>
      </c>
      <c r="G344">
        <v>1</v>
      </c>
    </row>
    <row r="345" spans="1:7">
      <c r="A345" s="11"/>
      <c r="C345" s="26" t="s">
        <v>5576</v>
      </c>
      <c r="D345" t="s">
        <v>5315</v>
      </c>
      <c r="E345" t="s">
        <v>5577</v>
      </c>
      <c r="F345" t="s">
        <v>7967</v>
      </c>
      <c r="G345">
        <v>0</v>
      </c>
    </row>
    <row r="346" spans="1:7">
      <c r="A346" s="9" t="s">
        <v>218</v>
      </c>
      <c r="C346" s="26" t="s">
        <v>7968</v>
      </c>
      <c r="D346" t="s">
        <v>5239</v>
      </c>
      <c r="E346" t="s">
        <v>5316</v>
      </c>
      <c r="F346" t="s">
        <v>7969</v>
      </c>
      <c r="G346">
        <v>2</v>
      </c>
    </row>
    <row r="347" spans="1:7">
      <c r="A347" s="9" t="s">
        <v>219</v>
      </c>
      <c r="C347" s="26" t="s">
        <v>5578</v>
      </c>
      <c r="D347" t="s">
        <v>7970</v>
      </c>
      <c r="E347" t="s">
        <v>7971</v>
      </c>
      <c r="F347" t="s">
        <v>5317</v>
      </c>
      <c r="G347">
        <v>2</v>
      </c>
    </row>
    <row r="348" spans="1:7">
      <c r="A348" s="9" t="s">
        <v>220</v>
      </c>
      <c r="C348" s="26" t="s">
        <v>5579</v>
      </c>
      <c r="D348" t="s">
        <v>7972</v>
      </c>
      <c r="E348" t="s">
        <v>4858</v>
      </c>
      <c r="F348" t="s">
        <v>7973</v>
      </c>
      <c r="G348">
        <v>2</v>
      </c>
    </row>
    <row r="349" spans="1:7">
      <c r="A349" s="10" t="s">
        <v>4309</v>
      </c>
      <c r="C349" s="26" t="s">
        <v>5749</v>
      </c>
      <c r="D349" t="s">
        <v>5580</v>
      </c>
      <c r="E349" t="s">
        <v>7974</v>
      </c>
      <c r="F349" t="s">
        <v>5318</v>
      </c>
      <c r="G349">
        <v>1</v>
      </c>
    </row>
    <row r="350" spans="1:7">
      <c r="A350" s="11"/>
      <c r="C350" s="26" t="s">
        <v>5750</v>
      </c>
      <c r="D350" t="s">
        <v>5319</v>
      </c>
      <c r="E350" t="s">
        <v>4859</v>
      </c>
      <c r="F350" t="s">
        <v>7975</v>
      </c>
      <c r="G350">
        <v>2</v>
      </c>
    </row>
    <row r="351" spans="1:7">
      <c r="A351" s="9" t="s">
        <v>221</v>
      </c>
      <c r="C351" s="26" t="s">
        <v>7976</v>
      </c>
      <c r="D351" t="s">
        <v>7977</v>
      </c>
      <c r="E351" t="s">
        <v>4860</v>
      </c>
      <c r="F351" t="s">
        <v>5320</v>
      </c>
      <c r="G351">
        <v>1</v>
      </c>
    </row>
    <row r="352" spans="1:7">
      <c r="A352" s="9" t="s">
        <v>222</v>
      </c>
      <c r="C352" s="26" t="s">
        <v>5581</v>
      </c>
      <c r="D352" t="s">
        <v>4861</v>
      </c>
      <c r="E352" t="s">
        <v>5582</v>
      </c>
      <c r="F352" t="s">
        <v>5583</v>
      </c>
      <c r="G352">
        <v>2</v>
      </c>
    </row>
    <row r="353" spans="1:7">
      <c r="A353" s="9" t="s">
        <v>223</v>
      </c>
      <c r="C353" s="26" t="s">
        <v>5584</v>
      </c>
      <c r="D353" t="s">
        <v>7978</v>
      </c>
      <c r="E353" t="s">
        <v>5596</v>
      </c>
      <c r="F353" t="s">
        <v>4687</v>
      </c>
      <c r="G353">
        <v>2</v>
      </c>
    </row>
    <row r="354" spans="1:7">
      <c r="A354" s="10" t="s">
        <v>4310</v>
      </c>
      <c r="C354" s="26" t="s">
        <v>5585</v>
      </c>
      <c r="D354" t="s">
        <v>4862</v>
      </c>
      <c r="E354" t="s">
        <v>5572</v>
      </c>
      <c r="F354" t="s">
        <v>5751</v>
      </c>
      <c r="G354">
        <v>1</v>
      </c>
    </row>
    <row r="355" spans="1:7">
      <c r="A355" s="11"/>
      <c r="C355" s="26" t="s">
        <v>5586</v>
      </c>
      <c r="D355" t="s">
        <v>4863</v>
      </c>
      <c r="E355" t="s">
        <v>4864</v>
      </c>
      <c r="F355" t="s">
        <v>7979</v>
      </c>
      <c r="G355">
        <v>1</v>
      </c>
    </row>
    <row r="356" spans="1:7">
      <c r="A356" s="9" t="s">
        <v>224</v>
      </c>
      <c r="C356" s="26" t="s">
        <v>5587</v>
      </c>
      <c r="D356" t="s">
        <v>4769</v>
      </c>
      <c r="E356" t="s">
        <v>4770</v>
      </c>
      <c r="F356" t="s">
        <v>4688</v>
      </c>
      <c r="G356">
        <v>0</v>
      </c>
    </row>
    <row r="357" spans="1:7">
      <c r="A357" s="9" t="s">
        <v>225</v>
      </c>
      <c r="C357" s="26" t="s">
        <v>5588</v>
      </c>
      <c r="D357" t="s">
        <v>5476</v>
      </c>
      <c r="E357" t="s">
        <v>4687</v>
      </c>
      <c r="F357" t="s">
        <v>5152</v>
      </c>
      <c r="G357">
        <v>0</v>
      </c>
    </row>
    <row r="358" spans="1:7">
      <c r="A358" s="10" t="s">
        <v>4311</v>
      </c>
      <c r="C358" s="26" t="s">
        <v>7980</v>
      </c>
      <c r="D358" t="s">
        <v>5321</v>
      </c>
      <c r="E358" t="s">
        <v>5589</v>
      </c>
      <c r="F358" t="s">
        <v>5590</v>
      </c>
      <c r="G358">
        <v>2</v>
      </c>
    </row>
    <row r="359" spans="1:7">
      <c r="A359" s="9" t="s">
        <v>226</v>
      </c>
      <c r="C359" s="26" t="s">
        <v>5874</v>
      </c>
      <c r="D359" t="s">
        <v>5591</v>
      </c>
      <c r="E359" t="s">
        <v>7981</v>
      </c>
      <c r="F359" t="s">
        <v>5592</v>
      </c>
      <c r="G359">
        <v>0</v>
      </c>
    </row>
    <row r="360" spans="1:7">
      <c r="A360" s="11"/>
      <c r="C360" s="26" t="s">
        <v>5593</v>
      </c>
      <c r="D360" t="s">
        <v>7982</v>
      </c>
      <c r="E360" t="s">
        <v>7983</v>
      </c>
      <c r="F360" t="s">
        <v>5322</v>
      </c>
      <c r="G360">
        <v>1</v>
      </c>
    </row>
    <row r="361" spans="1:7">
      <c r="A361" s="9" t="s">
        <v>227</v>
      </c>
      <c r="C361" s="26" t="s">
        <v>7984</v>
      </c>
      <c r="D361" t="s">
        <v>7985</v>
      </c>
      <c r="E361" t="s">
        <v>5594</v>
      </c>
      <c r="F361" t="s">
        <v>5595</v>
      </c>
      <c r="G361">
        <v>1</v>
      </c>
    </row>
    <row r="362" spans="1:7">
      <c r="A362" s="9" t="s">
        <v>228</v>
      </c>
      <c r="C362" s="26" t="s">
        <v>7986</v>
      </c>
      <c r="D362" t="s">
        <v>4866</v>
      </c>
      <c r="E362" t="s">
        <v>5596</v>
      </c>
      <c r="F362" t="s">
        <v>5323</v>
      </c>
      <c r="G362">
        <v>2</v>
      </c>
    </row>
    <row r="363" spans="1:7">
      <c r="A363" s="9" t="s">
        <v>229</v>
      </c>
      <c r="C363" s="26" t="s">
        <v>5597</v>
      </c>
      <c r="D363" t="s">
        <v>4867</v>
      </c>
      <c r="E363" t="s">
        <v>4868</v>
      </c>
      <c r="F363" t="s">
        <v>5324</v>
      </c>
      <c r="G363">
        <v>0</v>
      </c>
    </row>
    <row r="364" spans="1:7">
      <c r="A364" s="10" t="s">
        <v>4312</v>
      </c>
      <c r="C364" s="26" t="s">
        <v>5598</v>
      </c>
      <c r="D364" t="s">
        <v>5599</v>
      </c>
      <c r="E364" t="s">
        <v>5325</v>
      </c>
      <c r="F364" t="s">
        <v>5600</v>
      </c>
      <c r="G364">
        <v>2</v>
      </c>
    </row>
    <row r="365" spans="1:7">
      <c r="A365" s="11"/>
      <c r="C365" s="26" t="s">
        <v>5601</v>
      </c>
      <c r="D365" t="s">
        <v>4869</v>
      </c>
      <c r="E365" t="s">
        <v>4870</v>
      </c>
      <c r="F365" t="s">
        <v>5602</v>
      </c>
      <c r="G365">
        <v>1</v>
      </c>
    </row>
    <row r="366" spans="1:7">
      <c r="A366" s="9" t="s">
        <v>230</v>
      </c>
      <c r="C366" s="26" t="s">
        <v>7987</v>
      </c>
      <c r="D366" t="s">
        <v>5812</v>
      </c>
      <c r="E366" t="s">
        <v>4586</v>
      </c>
      <c r="F366" t="s">
        <v>5603</v>
      </c>
      <c r="G366">
        <v>1</v>
      </c>
    </row>
    <row r="367" spans="1:7">
      <c r="A367" s="10" t="s">
        <v>4313</v>
      </c>
      <c r="C367" s="26" t="s">
        <v>5604</v>
      </c>
      <c r="D367" t="s">
        <v>7988</v>
      </c>
      <c r="E367" t="s">
        <v>4871</v>
      </c>
      <c r="F367" t="s">
        <v>7989</v>
      </c>
      <c r="G367">
        <v>1</v>
      </c>
    </row>
    <row r="368" spans="1:7">
      <c r="A368" s="9" t="s">
        <v>231</v>
      </c>
      <c r="C368" s="26" t="s">
        <v>5605</v>
      </c>
      <c r="D368" t="s">
        <v>7990</v>
      </c>
      <c r="E368" t="s">
        <v>5596</v>
      </c>
      <c r="F368" t="s">
        <v>4538</v>
      </c>
      <c r="G368">
        <v>1</v>
      </c>
    </row>
    <row r="369" spans="1:7">
      <c r="A369" s="9" t="s">
        <v>232</v>
      </c>
      <c r="C369" s="26" t="s">
        <v>5606</v>
      </c>
      <c r="D369" t="s">
        <v>4873</v>
      </c>
      <c r="E369" t="s">
        <v>5326</v>
      </c>
      <c r="F369" t="s">
        <v>5327</v>
      </c>
      <c r="G369">
        <v>0</v>
      </c>
    </row>
    <row r="370" spans="1:7">
      <c r="A370" s="11"/>
      <c r="C370" s="26" t="s">
        <v>5607</v>
      </c>
      <c r="D370" t="s">
        <v>4874</v>
      </c>
      <c r="E370" t="s">
        <v>4875</v>
      </c>
      <c r="F370" t="s">
        <v>5608</v>
      </c>
      <c r="G370">
        <v>1</v>
      </c>
    </row>
    <row r="371" spans="1:7">
      <c r="A371" s="9" t="s">
        <v>233</v>
      </c>
      <c r="C371" s="26" t="s">
        <v>5875</v>
      </c>
      <c r="D371" t="s">
        <v>5609</v>
      </c>
      <c r="E371" t="s">
        <v>4876</v>
      </c>
      <c r="F371" t="s">
        <v>5610</v>
      </c>
      <c r="G371">
        <v>0</v>
      </c>
    </row>
    <row r="372" spans="1:7">
      <c r="A372" s="9" t="s">
        <v>234</v>
      </c>
      <c r="C372" s="26" t="s">
        <v>7991</v>
      </c>
      <c r="D372" t="s">
        <v>7992</v>
      </c>
      <c r="E372" t="s">
        <v>5611</v>
      </c>
      <c r="F372" t="s">
        <v>5328</v>
      </c>
      <c r="G372">
        <v>1</v>
      </c>
    </row>
    <row r="373" spans="1:7">
      <c r="A373" s="10" t="s">
        <v>4314</v>
      </c>
      <c r="C373" s="26" t="s">
        <v>5612</v>
      </c>
      <c r="D373" t="s">
        <v>7993</v>
      </c>
      <c r="E373" t="s">
        <v>7994</v>
      </c>
      <c r="F373" t="s">
        <v>5876</v>
      </c>
      <c r="G373">
        <v>2</v>
      </c>
    </row>
    <row r="374" spans="1:7">
      <c r="A374" s="9" t="s">
        <v>235</v>
      </c>
      <c r="C374" s="26" t="s">
        <v>5613</v>
      </c>
      <c r="D374" t="s">
        <v>7995</v>
      </c>
      <c r="E374" t="s">
        <v>5614</v>
      </c>
      <c r="F374" t="s">
        <v>5329</v>
      </c>
      <c r="G374">
        <v>1</v>
      </c>
    </row>
    <row r="375" spans="1:7">
      <c r="A375" s="9"/>
      <c r="C375" s="26" t="s">
        <v>7996</v>
      </c>
      <c r="D375" t="s">
        <v>4879</v>
      </c>
      <c r="E375" t="s">
        <v>4880</v>
      </c>
      <c r="F375" t="s">
        <v>7997</v>
      </c>
      <c r="G375">
        <v>1</v>
      </c>
    </row>
    <row r="376" spans="1:7">
      <c r="A376" s="9" t="s">
        <v>236</v>
      </c>
      <c r="C376" s="26" t="s">
        <v>5615</v>
      </c>
      <c r="D376" t="s">
        <v>5330</v>
      </c>
      <c r="E376" t="s">
        <v>7998</v>
      </c>
      <c r="F376" t="s">
        <v>5331</v>
      </c>
      <c r="G376">
        <v>0</v>
      </c>
    </row>
    <row r="377" spans="1:7">
      <c r="A377" s="9" t="s">
        <v>237</v>
      </c>
      <c r="C377" s="26" t="s">
        <v>5616</v>
      </c>
      <c r="D377" t="s">
        <v>4881</v>
      </c>
      <c r="E377" t="s">
        <v>5617</v>
      </c>
      <c r="F377" t="s">
        <v>5332</v>
      </c>
      <c r="G377">
        <v>0</v>
      </c>
    </row>
    <row r="378" spans="1:7">
      <c r="A378" s="10" t="s">
        <v>4315</v>
      </c>
      <c r="C378" s="26" t="s">
        <v>5618</v>
      </c>
      <c r="D378" t="s">
        <v>7999</v>
      </c>
      <c r="E378" t="s">
        <v>5333</v>
      </c>
      <c r="F378" t="s">
        <v>5619</v>
      </c>
      <c r="G378">
        <v>2</v>
      </c>
    </row>
    <row r="379" spans="1:7">
      <c r="A379" s="9" t="s">
        <v>238</v>
      </c>
      <c r="C379" s="26" t="s">
        <v>8000</v>
      </c>
      <c r="D379" t="s">
        <v>5334</v>
      </c>
      <c r="E379" t="s">
        <v>5752</v>
      </c>
      <c r="F379" t="s">
        <v>5620</v>
      </c>
      <c r="G379">
        <v>0</v>
      </c>
    </row>
    <row r="380" spans="1:7">
      <c r="A380" s="11"/>
      <c r="C380" s="26" t="s">
        <v>8001</v>
      </c>
      <c r="D380" t="s">
        <v>8002</v>
      </c>
      <c r="E380" t="s">
        <v>8003</v>
      </c>
      <c r="F380" t="s">
        <v>8004</v>
      </c>
      <c r="G380">
        <v>0</v>
      </c>
    </row>
    <row r="381" spans="1:7">
      <c r="A381" s="9" t="s">
        <v>239</v>
      </c>
      <c r="C381" s="26" t="s">
        <v>8005</v>
      </c>
      <c r="D381" t="s">
        <v>5335</v>
      </c>
      <c r="E381" t="s">
        <v>8006</v>
      </c>
      <c r="F381" t="s">
        <v>8007</v>
      </c>
      <c r="G381">
        <v>1</v>
      </c>
    </row>
    <row r="382" spans="1:7">
      <c r="A382" s="9" t="s">
        <v>240</v>
      </c>
      <c r="C382" s="26" t="s">
        <v>8008</v>
      </c>
      <c r="D382" t="s">
        <v>8009</v>
      </c>
      <c r="E382" t="s">
        <v>5621</v>
      </c>
      <c r="F382" t="s">
        <v>5336</v>
      </c>
      <c r="G382">
        <v>2</v>
      </c>
    </row>
    <row r="383" spans="1:7">
      <c r="A383" s="10" t="s">
        <v>4316</v>
      </c>
      <c r="C383" s="26" t="s">
        <v>8010</v>
      </c>
      <c r="D383" t="s">
        <v>5622</v>
      </c>
      <c r="E383" t="s">
        <v>4883</v>
      </c>
      <c r="F383" t="s">
        <v>5337</v>
      </c>
      <c r="G383">
        <v>1</v>
      </c>
    </row>
    <row r="384" spans="1:7">
      <c r="A384" s="9" t="s">
        <v>241</v>
      </c>
      <c r="C384" s="26" t="s">
        <v>5877</v>
      </c>
      <c r="D384" t="s">
        <v>4884</v>
      </c>
      <c r="E384" t="s">
        <v>4885</v>
      </c>
      <c r="F384" t="s">
        <v>5623</v>
      </c>
      <c r="G384">
        <v>2</v>
      </c>
    </row>
    <row r="385" spans="1:7">
      <c r="A385" s="11"/>
      <c r="C385" s="26" t="s">
        <v>8011</v>
      </c>
      <c r="D385" t="s">
        <v>4886</v>
      </c>
      <c r="E385" t="s">
        <v>4887</v>
      </c>
      <c r="F385" t="s">
        <v>5338</v>
      </c>
      <c r="G385">
        <v>0</v>
      </c>
    </row>
    <row r="386" spans="1:7">
      <c r="A386" s="9" t="s">
        <v>242</v>
      </c>
      <c r="C386" s="26" t="s">
        <v>5624</v>
      </c>
      <c r="D386" t="s">
        <v>5625</v>
      </c>
      <c r="E386" t="s">
        <v>5339</v>
      </c>
      <c r="F386" t="s">
        <v>8012</v>
      </c>
      <c r="G386">
        <v>1</v>
      </c>
    </row>
    <row r="387" spans="1:7">
      <c r="A387" s="9" t="s">
        <v>243</v>
      </c>
      <c r="C387" s="26" t="s">
        <v>5626</v>
      </c>
      <c r="D387">
        <v>1000</v>
      </c>
      <c r="E387">
        <v>10000</v>
      </c>
      <c r="F387">
        <v>100</v>
      </c>
      <c r="G387">
        <v>1</v>
      </c>
    </row>
    <row r="388" spans="1:7">
      <c r="A388" s="10" t="s">
        <v>4317</v>
      </c>
      <c r="C388" s="26" t="s">
        <v>5627</v>
      </c>
      <c r="D388" t="s">
        <v>8013</v>
      </c>
      <c r="E388" t="s">
        <v>8014</v>
      </c>
      <c r="F388" t="s">
        <v>5628</v>
      </c>
      <c r="G388">
        <v>2</v>
      </c>
    </row>
    <row r="389" spans="1:7">
      <c r="A389" s="9" t="s">
        <v>244</v>
      </c>
      <c r="C389" s="26" t="s">
        <v>5629</v>
      </c>
      <c r="D389" t="s">
        <v>5340</v>
      </c>
      <c r="E389" t="s">
        <v>4888</v>
      </c>
      <c r="F389" t="s">
        <v>7546</v>
      </c>
      <c r="G389">
        <v>0</v>
      </c>
    </row>
    <row r="390" spans="1:7">
      <c r="A390" s="11"/>
      <c r="C390" s="26" t="s">
        <v>8015</v>
      </c>
      <c r="D390" t="s">
        <v>5341</v>
      </c>
      <c r="E390" t="s">
        <v>4691</v>
      </c>
      <c r="F390" t="s">
        <v>5342</v>
      </c>
      <c r="G390">
        <v>1</v>
      </c>
    </row>
    <row r="391" spans="1:7">
      <c r="A391" s="9" t="s">
        <v>245</v>
      </c>
      <c r="C391" s="26" t="s">
        <v>5630</v>
      </c>
      <c r="D391" t="s">
        <v>4889</v>
      </c>
      <c r="E391" t="s">
        <v>4890</v>
      </c>
      <c r="F391" t="s">
        <v>8016</v>
      </c>
      <c r="G391">
        <v>1</v>
      </c>
    </row>
    <row r="392" spans="1:7">
      <c r="A392" s="9" t="s">
        <v>246</v>
      </c>
      <c r="C392" s="26" t="s">
        <v>5753</v>
      </c>
      <c r="D392" t="s">
        <v>4666</v>
      </c>
      <c r="E392" t="s">
        <v>4891</v>
      </c>
      <c r="F392" t="s">
        <v>7548</v>
      </c>
      <c r="G392">
        <v>1</v>
      </c>
    </row>
    <row r="393" spans="1:7">
      <c r="A393" s="9" t="s">
        <v>247</v>
      </c>
      <c r="C393" s="26" t="s">
        <v>5945</v>
      </c>
      <c r="D393" t="s">
        <v>8017</v>
      </c>
      <c r="E393" t="s">
        <v>4892</v>
      </c>
      <c r="F393" t="s">
        <v>5344</v>
      </c>
      <c r="G393">
        <v>1</v>
      </c>
    </row>
    <row r="394" spans="1:7">
      <c r="A394" s="10" t="s">
        <v>4318</v>
      </c>
      <c r="C394" s="26" t="s">
        <v>5631</v>
      </c>
      <c r="D394" t="s">
        <v>8018</v>
      </c>
      <c r="E394" t="s">
        <v>5345</v>
      </c>
      <c r="F394" t="s">
        <v>5346</v>
      </c>
      <c r="G394">
        <v>1</v>
      </c>
    </row>
    <row r="395" spans="1:7">
      <c r="A395" s="11"/>
      <c r="C395" s="26" t="s">
        <v>5878</v>
      </c>
      <c r="D395" t="s">
        <v>8019</v>
      </c>
      <c r="E395" t="s">
        <v>7549</v>
      </c>
      <c r="F395" t="s">
        <v>8020</v>
      </c>
      <c r="G395">
        <v>1</v>
      </c>
    </row>
    <row r="396" spans="1:7">
      <c r="A396" s="9" t="s">
        <v>248</v>
      </c>
      <c r="C396" s="26" t="s">
        <v>5879</v>
      </c>
      <c r="D396" t="s">
        <v>8021</v>
      </c>
      <c r="E396" t="s">
        <v>5632</v>
      </c>
      <c r="F396" t="s">
        <v>8022</v>
      </c>
      <c r="G396">
        <v>1</v>
      </c>
    </row>
    <row r="397" spans="1:7">
      <c r="A397" s="9" t="s">
        <v>249</v>
      </c>
      <c r="C397" s="26" t="s">
        <v>5754</v>
      </c>
      <c r="D397" t="s">
        <v>7550</v>
      </c>
      <c r="E397" t="s">
        <v>4893</v>
      </c>
      <c r="F397" t="s">
        <v>5347</v>
      </c>
      <c r="G397">
        <v>0</v>
      </c>
    </row>
    <row r="398" spans="1:7">
      <c r="A398" s="10" t="s">
        <v>4319</v>
      </c>
      <c r="C398" s="26" t="s">
        <v>7551</v>
      </c>
      <c r="D398" t="s">
        <v>5348</v>
      </c>
      <c r="E398" t="s">
        <v>4894</v>
      </c>
      <c r="F398" t="s">
        <v>8023</v>
      </c>
      <c r="G398">
        <v>0</v>
      </c>
    </row>
    <row r="399" spans="1:7">
      <c r="A399" s="9" t="s">
        <v>250</v>
      </c>
      <c r="C399" s="26" t="s">
        <v>8024</v>
      </c>
      <c r="D399" t="s">
        <v>8025</v>
      </c>
      <c r="E399" t="s">
        <v>5349</v>
      </c>
      <c r="F399" t="s">
        <v>5633</v>
      </c>
      <c r="G399">
        <v>1</v>
      </c>
    </row>
    <row r="400" spans="1:7">
      <c r="A400" s="9"/>
      <c r="C400" s="26" t="s">
        <v>5634</v>
      </c>
      <c r="D400" t="s">
        <v>8026</v>
      </c>
      <c r="E400" t="s">
        <v>4895</v>
      </c>
      <c r="F400" t="s">
        <v>5946</v>
      </c>
      <c r="G400">
        <v>2</v>
      </c>
    </row>
    <row r="401" spans="1:7">
      <c r="A401" s="9" t="s">
        <v>251</v>
      </c>
      <c r="C401" s="26" t="s">
        <v>5635</v>
      </c>
      <c r="D401" t="s">
        <v>8027</v>
      </c>
      <c r="E401" t="s">
        <v>4896</v>
      </c>
      <c r="F401" t="s">
        <v>5350</v>
      </c>
      <c r="G401">
        <v>1</v>
      </c>
    </row>
    <row r="402" spans="1:7">
      <c r="A402" s="9" t="s">
        <v>252</v>
      </c>
      <c r="C402" s="26" t="s">
        <v>8028</v>
      </c>
      <c r="D402" t="s">
        <v>5636</v>
      </c>
      <c r="E402" t="s">
        <v>4897</v>
      </c>
      <c r="F402" t="s">
        <v>5351</v>
      </c>
      <c r="G402">
        <v>0</v>
      </c>
    </row>
    <row r="403" spans="1:7">
      <c r="A403" s="9" t="s">
        <v>253</v>
      </c>
      <c r="C403" s="26" t="s">
        <v>8029</v>
      </c>
      <c r="D403" t="s">
        <v>5637</v>
      </c>
      <c r="E403" t="s">
        <v>4898</v>
      </c>
      <c r="F403" t="s">
        <v>5755</v>
      </c>
      <c r="G403">
        <v>0</v>
      </c>
    </row>
    <row r="404" spans="1:7">
      <c r="A404" s="10" t="s">
        <v>4320</v>
      </c>
      <c r="C404" s="26" t="s">
        <v>5638</v>
      </c>
      <c r="D404" t="s">
        <v>5639</v>
      </c>
      <c r="E404" t="s">
        <v>7552</v>
      </c>
      <c r="F404" t="s">
        <v>5352</v>
      </c>
      <c r="G404">
        <v>0</v>
      </c>
    </row>
    <row r="405" spans="1:7">
      <c r="A405" s="11"/>
      <c r="C405" s="26" t="s">
        <v>5640</v>
      </c>
      <c r="D405" t="s">
        <v>8030</v>
      </c>
      <c r="E405" t="s">
        <v>5641</v>
      </c>
      <c r="F405" t="s">
        <v>7553</v>
      </c>
      <c r="G405">
        <v>0</v>
      </c>
    </row>
    <row r="406" spans="1:7">
      <c r="A406" s="9" t="s">
        <v>254</v>
      </c>
      <c r="C406" s="26" t="s">
        <v>5642</v>
      </c>
      <c r="D406" t="s">
        <v>7554</v>
      </c>
      <c r="E406" t="s">
        <v>4899</v>
      </c>
      <c r="F406" t="s">
        <v>5353</v>
      </c>
      <c r="G406">
        <v>1</v>
      </c>
    </row>
    <row r="407" spans="1:7">
      <c r="A407" s="9" t="s">
        <v>255</v>
      </c>
      <c r="C407" s="26" t="s">
        <v>8031</v>
      </c>
      <c r="D407" t="s">
        <v>7555</v>
      </c>
      <c r="E407" t="s">
        <v>5354</v>
      </c>
      <c r="F407" t="s">
        <v>7556</v>
      </c>
      <c r="G407">
        <v>2</v>
      </c>
    </row>
    <row r="408" spans="1:7">
      <c r="A408" s="9" t="s">
        <v>256</v>
      </c>
      <c r="C408" s="26" t="s">
        <v>5643</v>
      </c>
      <c r="D408" t="s">
        <v>5186</v>
      </c>
      <c r="E408" t="s">
        <v>7557</v>
      </c>
      <c r="F408" t="s">
        <v>5355</v>
      </c>
      <c r="G408">
        <v>2</v>
      </c>
    </row>
    <row r="409" spans="1:7">
      <c r="A409" s="10" t="s">
        <v>4321</v>
      </c>
      <c r="C409" s="26" t="s">
        <v>8032</v>
      </c>
      <c r="D409" t="s">
        <v>7558</v>
      </c>
      <c r="E409" t="s">
        <v>8033</v>
      </c>
      <c r="F409" t="s">
        <v>5356</v>
      </c>
      <c r="G409">
        <v>2</v>
      </c>
    </row>
    <row r="410" spans="1:7">
      <c r="A410" s="11"/>
      <c r="C410" s="26" t="s">
        <v>7559</v>
      </c>
      <c r="D410" t="s">
        <v>8034</v>
      </c>
      <c r="E410" t="s">
        <v>5644</v>
      </c>
      <c r="F410" t="s">
        <v>8035</v>
      </c>
      <c r="G410">
        <v>2</v>
      </c>
    </row>
    <row r="411" spans="1:7">
      <c r="A411" s="9" t="s">
        <v>257</v>
      </c>
      <c r="C411" s="26" t="s">
        <v>5645</v>
      </c>
      <c r="D411" t="s">
        <v>8036</v>
      </c>
      <c r="E411" t="s">
        <v>5646</v>
      </c>
      <c r="F411" t="s">
        <v>5357</v>
      </c>
      <c r="G411">
        <v>1</v>
      </c>
    </row>
    <row r="412" spans="1:7">
      <c r="A412" s="9" t="s">
        <v>258</v>
      </c>
      <c r="C412" s="26" t="s">
        <v>8037</v>
      </c>
      <c r="D412" t="s">
        <v>8038</v>
      </c>
      <c r="E412" t="s">
        <v>8039</v>
      </c>
      <c r="F412" t="s">
        <v>8040</v>
      </c>
      <c r="G412">
        <v>1</v>
      </c>
    </row>
    <row r="413" spans="1:7">
      <c r="A413" s="10" t="s">
        <v>4322</v>
      </c>
      <c r="C413" s="26" t="s">
        <v>5647</v>
      </c>
      <c r="D413" t="s">
        <v>7560</v>
      </c>
      <c r="E413" t="s">
        <v>5358</v>
      </c>
      <c r="F413" t="s">
        <v>8041</v>
      </c>
      <c r="G413">
        <v>1</v>
      </c>
    </row>
    <row r="414" spans="1:7">
      <c r="A414" s="9" t="s">
        <v>259</v>
      </c>
      <c r="C414" s="26" t="s">
        <v>5648</v>
      </c>
      <c r="D414" t="s">
        <v>4900</v>
      </c>
      <c r="E414" t="s">
        <v>5359</v>
      </c>
      <c r="F414" t="s">
        <v>8042</v>
      </c>
      <c r="G414">
        <v>1</v>
      </c>
    </row>
    <row r="415" spans="1:7">
      <c r="A415" s="11"/>
      <c r="C415" s="26" t="s">
        <v>5756</v>
      </c>
      <c r="D415" t="s">
        <v>8043</v>
      </c>
      <c r="E415" t="s">
        <v>7561</v>
      </c>
      <c r="F415" t="s">
        <v>8044</v>
      </c>
      <c r="G415">
        <v>2</v>
      </c>
    </row>
    <row r="416" spans="1:7">
      <c r="A416" s="9" t="s">
        <v>260</v>
      </c>
      <c r="C416" s="26" t="s">
        <v>5880</v>
      </c>
      <c r="D416" t="s">
        <v>8045</v>
      </c>
      <c r="E416" t="s">
        <v>8046</v>
      </c>
      <c r="F416" t="s">
        <v>8047</v>
      </c>
      <c r="G416">
        <v>0</v>
      </c>
    </row>
    <row r="417" spans="1:7">
      <c r="A417" s="10" t="s">
        <v>4323</v>
      </c>
      <c r="C417" s="26" t="s">
        <v>7562</v>
      </c>
      <c r="D417" t="s">
        <v>4901</v>
      </c>
      <c r="E417" t="s">
        <v>4902</v>
      </c>
      <c r="F417" t="s">
        <v>5360</v>
      </c>
      <c r="G417">
        <v>0</v>
      </c>
    </row>
    <row r="418" spans="1:7">
      <c r="A418" s="9" t="s">
        <v>261</v>
      </c>
      <c r="C418" s="26" t="s">
        <v>5650</v>
      </c>
      <c r="D418" t="s">
        <v>4960</v>
      </c>
      <c r="E418" t="s">
        <v>4961</v>
      </c>
      <c r="F418" t="s">
        <v>7563</v>
      </c>
      <c r="G418">
        <v>0</v>
      </c>
    </row>
    <row r="419" spans="1:7">
      <c r="A419" s="9" t="s">
        <v>262</v>
      </c>
      <c r="C419" s="26" t="s">
        <v>5651</v>
      </c>
      <c r="D419" t="s">
        <v>7564</v>
      </c>
      <c r="E419" t="s">
        <v>7565</v>
      </c>
      <c r="F419" t="s">
        <v>7566</v>
      </c>
      <c r="G419">
        <v>0</v>
      </c>
    </row>
    <row r="420" spans="1:7">
      <c r="A420" s="11"/>
      <c r="C420" s="26" t="s">
        <v>5652</v>
      </c>
      <c r="D420" t="s">
        <v>4903</v>
      </c>
      <c r="E420" t="s">
        <v>7567</v>
      </c>
      <c r="F420" t="s">
        <v>5362</v>
      </c>
      <c r="G420">
        <v>2</v>
      </c>
    </row>
    <row r="421" spans="1:7">
      <c r="A421" s="9" t="s">
        <v>263</v>
      </c>
      <c r="C421" s="26" t="s">
        <v>8048</v>
      </c>
      <c r="D421" t="s">
        <v>4904</v>
      </c>
      <c r="E421" t="s">
        <v>4905</v>
      </c>
      <c r="F421" t="s">
        <v>5363</v>
      </c>
      <c r="G421">
        <v>2</v>
      </c>
    </row>
    <row r="422" spans="1:7">
      <c r="A422" s="9" t="s">
        <v>264</v>
      </c>
      <c r="C422" s="26" t="s">
        <v>8049</v>
      </c>
      <c r="D422" t="s">
        <v>4906</v>
      </c>
      <c r="E422" t="s">
        <v>4907</v>
      </c>
      <c r="F422" t="s">
        <v>5653</v>
      </c>
      <c r="G422">
        <v>0</v>
      </c>
    </row>
    <row r="423" spans="1:7">
      <c r="A423" s="9" t="s">
        <v>265</v>
      </c>
      <c r="C423" s="26" t="s">
        <v>8050</v>
      </c>
      <c r="D423" t="s">
        <v>5654</v>
      </c>
      <c r="E423" t="s">
        <v>8051</v>
      </c>
      <c r="F423" t="s">
        <v>5364</v>
      </c>
      <c r="G423">
        <v>0</v>
      </c>
    </row>
    <row r="424" spans="1:7">
      <c r="A424" s="10" t="s">
        <v>4324</v>
      </c>
      <c r="C424" s="26" t="s">
        <v>5757</v>
      </c>
      <c r="D424" t="s">
        <v>8052</v>
      </c>
      <c r="E424" t="s">
        <v>5758</v>
      </c>
      <c r="F424" t="s">
        <v>8053</v>
      </c>
      <c r="G424">
        <v>1</v>
      </c>
    </row>
    <row r="425" spans="1:7">
      <c r="A425" s="11"/>
      <c r="C425" s="26" t="s">
        <v>5655</v>
      </c>
      <c r="D425" t="s">
        <v>4908</v>
      </c>
      <c r="E425" t="s">
        <v>7568</v>
      </c>
      <c r="F425" t="s">
        <v>5365</v>
      </c>
      <c r="G425">
        <v>2</v>
      </c>
    </row>
    <row r="426" spans="1:7">
      <c r="A426" s="9" t="s">
        <v>266</v>
      </c>
      <c r="C426" s="26" t="s">
        <v>7569</v>
      </c>
      <c r="D426" t="s">
        <v>7570</v>
      </c>
      <c r="E426" t="s">
        <v>8054</v>
      </c>
      <c r="F426" t="s">
        <v>5366</v>
      </c>
      <c r="G426">
        <v>0</v>
      </c>
    </row>
    <row r="427" spans="1:7">
      <c r="A427" s="9" t="s">
        <v>267</v>
      </c>
      <c r="C427" s="26" t="s">
        <v>8055</v>
      </c>
      <c r="D427" t="s">
        <v>5367</v>
      </c>
      <c r="E427" t="s">
        <v>5368</v>
      </c>
      <c r="F427" t="s">
        <v>7571</v>
      </c>
      <c r="G427">
        <v>0</v>
      </c>
    </row>
    <row r="428" spans="1:7">
      <c r="A428" s="10" t="s">
        <v>4325</v>
      </c>
      <c r="C428" s="26" t="s">
        <v>5656</v>
      </c>
      <c r="D428" t="s">
        <v>4910</v>
      </c>
      <c r="E428" t="s">
        <v>4911</v>
      </c>
      <c r="F428" t="s">
        <v>5369</v>
      </c>
      <c r="G428">
        <v>1</v>
      </c>
    </row>
    <row r="429" spans="1:7">
      <c r="A429" s="9" t="s">
        <v>268</v>
      </c>
      <c r="C429" s="26" t="s">
        <v>5657</v>
      </c>
      <c r="D429" t="s">
        <v>7572</v>
      </c>
      <c r="E429" t="s">
        <v>4912</v>
      </c>
      <c r="F429" t="s">
        <v>8056</v>
      </c>
      <c r="G429">
        <v>0</v>
      </c>
    </row>
    <row r="430" spans="1:7">
      <c r="A430" s="11"/>
      <c r="C430" s="26" t="s">
        <v>5658</v>
      </c>
      <c r="D430" t="s">
        <v>4556</v>
      </c>
      <c r="E430" t="s">
        <v>7573</v>
      </c>
      <c r="F430" t="s">
        <v>5370</v>
      </c>
      <c r="G430">
        <v>1</v>
      </c>
    </row>
    <row r="431" spans="1:7">
      <c r="A431" s="9" t="s">
        <v>269</v>
      </c>
      <c r="C431" s="26" t="s">
        <v>5659</v>
      </c>
      <c r="D431" t="s">
        <v>5759</v>
      </c>
      <c r="E431" t="s">
        <v>7574</v>
      </c>
      <c r="F431" t="s">
        <v>5371</v>
      </c>
      <c r="G431">
        <v>0</v>
      </c>
    </row>
    <row r="432" spans="1:7">
      <c r="A432" s="9" t="s">
        <v>270</v>
      </c>
      <c r="C432" s="26" t="s">
        <v>8057</v>
      </c>
      <c r="D432" t="s">
        <v>8058</v>
      </c>
      <c r="E432" t="s">
        <v>5372</v>
      </c>
      <c r="F432" t="s">
        <v>7575</v>
      </c>
      <c r="G432">
        <v>2</v>
      </c>
    </row>
    <row r="433" spans="1:7">
      <c r="A433" s="10" t="s">
        <v>271</v>
      </c>
      <c r="C433" s="26" t="s">
        <v>8059</v>
      </c>
      <c r="D433" t="s">
        <v>4913</v>
      </c>
      <c r="E433" t="s">
        <v>4914</v>
      </c>
      <c r="F433" t="s">
        <v>4998</v>
      </c>
      <c r="G433">
        <v>2</v>
      </c>
    </row>
    <row r="434" spans="1:7">
      <c r="A434" s="9" t="s">
        <v>272</v>
      </c>
      <c r="C434" s="26" t="s">
        <v>5660</v>
      </c>
      <c r="D434" t="s">
        <v>7576</v>
      </c>
      <c r="E434" t="s">
        <v>8060</v>
      </c>
      <c r="F434" t="s">
        <v>8061</v>
      </c>
      <c r="G434">
        <v>2</v>
      </c>
    </row>
    <row r="435" spans="1:7">
      <c r="A435" s="9"/>
      <c r="C435" s="26" t="s">
        <v>5661</v>
      </c>
      <c r="D435" t="s">
        <v>5760</v>
      </c>
      <c r="E435" t="s">
        <v>5373</v>
      </c>
      <c r="F435" t="s">
        <v>8062</v>
      </c>
      <c r="G435">
        <v>2</v>
      </c>
    </row>
    <row r="436" spans="1:7">
      <c r="A436" s="9" t="s">
        <v>273</v>
      </c>
      <c r="C436" s="26" t="s">
        <v>7577</v>
      </c>
      <c r="D436" t="s">
        <v>4915</v>
      </c>
      <c r="E436" t="s">
        <v>7578</v>
      </c>
      <c r="F436" t="s">
        <v>7579</v>
      </c>
      <c r="G436">
        <v>1</v>
      </c>
    </row>
    <row r="437" spans="1:7">
      <c r="A437" s="9" t="s">
        <v>274</v>
      </c>
      <c r="C437" s="26" t="s">
        <v>8063</v>
      </c>
      <c r="D437" t="s">
        <v>8064</v>
      </c>
      <c r="E437" t="s">
        <v>5662</v>
      </c>
      <c r="F437" t="s">
        <v>4916</v>
      </c>
      <c r="G437">
        <v>1</v>
      </c>
    </row>
    <row r="438" spans="1:7">
      <c r="A438" s="9" t="s">
        <v>275</v>
      </c>
      <c r="C438" s="26" t="s">
        <v>8065</v>
      </c>
      <c r="D438" t="s">
        <v>5761</v>
      </c>
      <c r="E438" t="s">
        <v>5374</v>
      </c>
      <c r="F438" t="s">
        <v>4917</v>
      </c>
      <c r="G438">
        <v>1</v>
      </c>
    </row>
    <row r="439" spans="1:7">
      <c r="A439" s="10" t="s">
        <v>276</v>
      </c>
      <c r="C439" s="26" t="s">
        <v>8066</v>
      </c>
      <c r="D439" t="s">
        <v>4918</v>
      </c>
      <c r="E439" t="s">
        <v>8067</v>
      </c>
      <c r="F439" t="s">
        <v>5663</v>
      </c>
      <c r="G439">
        <v>0</v>
      </c>
    </row>
    <row r="440" spans="1:7">
      <c r="A440" s="11"/>
      <c r="C440" s="26" t="s">
        <v>5762</v>
      </c>
      <c r="D440" t="s">
        <v>4919</v>
      </c>
      <c r="E440" t="s">
        <v>7580</v>
      </c>
      <c r="F440" t="s">
        <v>4920</v>
      </c>
      <c r="G440">
        <v>2</v>
      </c>
    </row>
    <row r="441" spans="1:7">
      <c r="A441" s="9" t="s">
        <v>277</v>
      </c>
      <c r="C441" s="26" t="s">
        <v>5763</v>
      </c>
      <c r="D441" t="s">
        <v>8068</v>
      </c>
      <c r="E441" t="s">
        <v>5375</v>
      </c>
      <c r="F441" t="s">
        <v>8069</v>
      </c>
      <c r="G441">
        <v>2</v>
      </c>
    </row>
    <row r="442" spans="1:7">
      <c r="A442" s="9" t="s">
        <v>278</v>
      </c>
      <c r="C442" s="26" t="s">
        <v>5764</v>
      </c>
      <c r="D442" t="s">
        <v>7581</v>
      </c>
      <c r="E442" t="s">
        <v>5664</v>
      </c>
      <c r="F442" t="s">
        <v>5765</v>
      </c>
      <c r="G442">
        <v>0</v>
      </c>
    </row>
    <row r="443" spans="1:7">
      <c r="A443" s="9" t="s">
        <v>279</v>
      </c>
      <c r="C443" s="26" t="s">
        <v>5766</v>
      </c>
      <c r="D443" t="s">
        <v>8070</v>
      </c>
      <c r="E443" t="s">
        <v>8071</v>
      </c>
      <c r="F443" t="s">
        <v>5665</v>
      </c>
      <c r="G443">
        <v>1</v>
      </c>
    </row>
    <row r="444" spans="1:7">
      <c r="A444" s="10" t="s">
        <v>280</v>
      </c>
      <c r="C444" s="26" t="s">
        <v>7582</v>
      </c>
      <c r="D444" t="s">
        <v>5666</v>
      </c>
      <c r="E444" t="s">
        <v>5376</v>
      </c>
      <c r="F444" t="s">
        <v>4921</v>
      </c>
      <c r="G444">
        <v>2</v>
      </c>
    </row>
    <row r="445" spans="1:7">
      <c r="A445" s="11"/>
      <c r="C445" s="26" t="s">
        <v>8072</v>
      </c>
      <c r="D445" t="s">
        <v>4922</v>
      </c>
      <c r="E445" t="s">
        <v>5377</v>
      </c>
      <c r="F445" t="s">
        <v>5667</v>
      </c>
      <c r="G445">
        <v>0</v>
      </c>
    </row>
    <row r="446" spans="1:7">
      <c r="A446" s="9" t="s">
        <v>281</v>
      </c>
      <c r="C446" s="26" t="s">
        <v>8073</v>
      </c>
      <c r="D446" t="s">
        <v>4923</v>
      </c>
      <c r="E446" t="s">
        <v>4814</v>
      </c>
      <c r="F446" t="s">
        <v>8074</v>
      </c>
      <c r="G446">
        <v>0</v>
      </c>
    </row>
    <row r="447" spans="1:7">
      <c r="A447" s="10" t="s">
        <v>282</v>
      </c>
      <c r="C447" s="26" t="s">
        <v>7583</v>
      </c>
      <c r="D447" t="s">
        <v>8075</v>
      </c>
      <c r="E447" t="s">
        <v>5323</v>
      </c>
      <c r="F447" t="s">
        <v>5767</v>
      </c>
      <c r="G447">
        <v>2</v>
      </c>
    </row>
    <row r="448" spans="1:7">
      <c r="A448" s="9" t="s">
        <v>283</v>
      </c>
      <c r="C448" s="26" t="s">
        <v>4500</v>
      </c>
      <c r="D448" t="s">
        <v>8076</v>
      </c>
      <c r="E448" t="s">
        <v>5378</v>
      </c>
      <c r="F448" t="s">
        <v>8077</v>
      </c>
      <c r="G448">
        <v>2</v>
      </c>
    </row>
    <row r="449" spans="1:7">
      <c r="A449" s="9" t="s">
        <v>284</v>
      </c>
      <c r="C449" s="26" t="s">
        <v>7584</v>
      </c>
      <c r="D449" t="s">
        <v>5668</v>
      </c>
      <c r="E449" t="s">
        <v>5669</v>
      </c>
      <c r="F449" t="s">
        <v>7585</v>
      </c>
      <c r="G449">
        <v>0</v>
      </c>
    </row>
    <row r="450" spans="1:7">
      <c r="A450" s="11"/>
      <c r="C450" s="26" t="s">
        <v>8078</v>
      </c>
      <c r="D450" t="s">
        <v>4924</v>
      </c>
      <c r="E450" t="s">
        <v>8079</v>
      </c>
      <c r="F450" t="s">
        <v>4499</v>
      </c>
      <c r="G450">
        <v>0</v>
      </c>
    </row>
    <row r="451" spans="1:7">
      <c r="A451" s="9" t="s">
        <v>285</v>
      </c>
      <c r="C451" s="26" t="s">
        <v>5768</v>
      </c>
      <c r="D451" t="s">
        <v>5881</v>
      </c>
      <c r="E451" t="s">
        <v>5670</v>
      </c>
      <c r="F451" t="s">
        <v>5671</v>
      </c>
      <c r="G451">
        <v>1</v>
      </c>
    </row>
    <row r="452" spans="1:7">
      <c r="A452" s="9" t="s">
        <v>286</v>
      </c>
      <c r="C452" s="26" t="s">
        <v>7586</v>
      </c>
      <c r="D452" t="s">
        <v>8080</v>
      </c>
      <c r="E452" t="s">
        <v>5379</v>
      </c>
      <c r="F452" t="s">
        <v>5947</v>
      </c>
      <c r="G452">
        <v>0</v>
      </c>
    </row>
    <row r="453" spans="1:7">
      <c r="A453" s="10" t="s">
        <v>287</v>
      </c>
      <c r="C453" s="26" t="s">
        <v>8081</v>
      </c>
      <c r="D453" t="s">
        <v>8082</v>
      </c>
      <c r="E453" t="s">
        <v>8083</v>
      </c>
      <c r="F453" t="s">
        <v>7587</v>
      </c>
      <c r="G453">
        <v>1</v>
      </c>
    </row>
    <row r="454" spans="1:7">
      <c r="A454" s="9" t="s">
        <v>288</v>
      </c>
      <c r="C454" s="26" t="s">
        <v>5769</v>
      </c>
      <c r="D454" t="s">
        <v>4925</v>
      </c>
      <c r="E454" t="s">
        <v>5672</v>
      </c>
      <c r="F454" t="s">
        <v>8084</v>
      </c>
      <c r="G454">
        <v>2</v>
      </c>
    </row>
    <row r="455" spans="1:7">
      <c r="A455" s="11"/>
      <c r="C455" s="26" t="s">
        <v>8085</v>
      </c>
      <c r="D455" t="s">
        <v>7588</v>
      </c>
      <c r="E455" t="s">
        <v>5673</v>
      </c>
      <c r="F455" t="s">
        <v>4927</v>
      </c>
      <c r="G455">
        <v>0</v>
      </c>
    </row>
    <row r="456" spans="1:7">
      <c r="A456" s="9" t="s">
        <v>289</v>
      </c>
      <c r="C456" s="26" t="s">
        <v>7589</v>
      </c>
      <c r="D456" t="s">
        <v>7590</v>
      </c>
      <c r="E456" t="s">
        <v>5770</v>
      </c>
      <c r="F456" t="s">
        <v>5674</v>
      </c>
      <c r="G456">
        <v>2</v>
      </c>
    </row>
    <row r="457" spans="1:7">
      <c r="A457" s="9" t="s">
        <v>290</v>
      </c>
      <c r="C457" s="26" t="s">
        <v>8086</v>
      </c>
      <c r="D457" t="s">
        <v>4928</v>
      </c>
      <c r="E457" t="s">
        <v>8087</v>
      </c>
      <c r="F457" t="s">
        <v>4929</v>
      </c>
      <c r="G457">
        <v>0</v>
      </c>
    </row>
    <row r="458" spans="1:7">
      <c r="A458" s="9" t="s">
        <v>291</v>
      </c>
      <c r="C458" s="26" t="s">
        <v>8088</v>
      </c>
      <c r="D458" t="s">
        <v>8089</v>
      </c>
      <c r="E458" t="s">
        <v>5380</v>
      </c>
      <c r="F458" t="s">
        <v>7591</v>
      </c>
      <c r="G458">
        <v>0</v>
      </c>
    </row>
    <row r="459" spans="1:7">
      <c r="A459" s="10" t="s">
        <v>292</v>
      </c>
      <c r="C459" s="26" t="s">
        <v>8090</v>
      </c>
      <c r="D459" t="s">
        <v>5771</v>
      </c>
      <c r="E459" t="s">
        <v>5772</v>
      </c>
      <c r="F459" t="s">
        <v>5948</v>
      </c>
      <c r="G459">
        <v>1</v>
      </c>
    </row>
    <row r="460" spans="1:7">
      <c r="A460" s="11"/>
      <c r="C460" s="26" t="s">
        <v>8091</v>
      </c>
      <c r="D460" t="s">
        <v>4930</v>
      </c>
      <c r="E460" t="s">
        <v>8092</v>
      </c>
      <c r="F460" t="s">
        <v>7592</v>
      </c>
      <c r="G460">
        <v>2</v>
      </c>
    </row>
    <row r="461" spans="1:7">
      <c r="A461" s="9" t="s">
        <v>293</v>
      </c>
      <c r="C461" s="26" t="s">
        <v>8093</v>
      </c>
      <c r="D461" t="s">
        <v>7593</v>
      </c>
      <c r="E461" t="s">
        <v>8094</v>
      </c>
      <c r="F461" t="s">
        <v>4931</v>
      </c>
      <c r="G461">
        <v>0</v>
      </c>
    </row>
    <row r="462" spans="1:7">
      <c r="A462" s="9" t="s">
        <v>294</v>
      </c>
      <c r="C462" s="26" t="s">
        <v>5882</v>
      </c>
      <c r="D462" t="s">
        <v>7594</v>
      </c>
      <c r="E462" t="s">
        <v>5883</v>
      </c>
      <c r="F462" t="s">
        <v>8095</v>
      </c>
      <c r="G462">
        <v>0</v>
      </c>
    </row>
    <row r="463" spans="1:7">
      <c r="A463" s="10" t="s">
        <v>295</v>
      </c>
      <c r="C463" s="26" t="s">
        <v>5773</v>
      </c>
      <c r="D463" t="s">
        <v>8096</v>
      </c>
      <c r="E463" t="s">
        <v>5381</v>
      </c>
      <c r="F463" t="s">
        <v>5774</v>
      </c>
      <c r="G463">
        <v>1</v>
      </c>
    </row>
    <row r="464" spans="1:7">
      <c r="A464" s="9" t="s">
        <v>296</v>
      </c>
      <c r="C464" s="26" t="s">
        <v>5884</v>
      </c>
      <c r="D464" t="s">
        <v>5382</v>
      </c>
      <c r="E464" t="s">
        <v>5383</v>
      </c>
      <c r="F464" t="s">
        <v>4519</v>
      </c>
      <c r="G464">
        <v>2</v>
      </c>
    </row>
    <row r="465" spans="1:7">
      <c r="A465" s="11"/>
      <c r="C465" s="26" t="s">
        <v>7595</v>
      </c>
      <c r="D465" t="s">
        <v>4932</v>
      </c>
      <c r="E465" t="s">
        <v>8097</v>
      </c>
      <c r="F465" t="s">
        <v>4933</v>
      </c>
      <c r="G465">
        <v>1</v>
      </c>
    </row>
    <row r="466" spans="1:7">
      <c r="A466" s="9" t="s">
        <v>297</v>
      </c>
      <c r="C466" s="26" t="s">
        <v>5775</v>
      </c>
      <c r="D466" t="s">
        <v>5384</v>
      </c>
      <c r="E466" t="s">
        <v>5385</v>
      </c>
      <c r="F466" t="s">
        <v>8098</v>
      </c>
      <c r="G466">
        <v>0</v>
      </c>
    </row>
    <row r="467" spans="1:7">
      <c r="A467" s="9" t="s">
        <v>298</v>
      </c>
      <c r="C467" s="26" t="s">
        <v>5776</v>
      </c>
      <c r="D467" t="s">
        <v>4934</v>
      </c>
      <c r="E467" t="s">
        <v>5386</v>
      </c>
      <c r="F467" t="s">
        <v>8099</v>
      </c>
      <c r="G467">
        <v>0</v>
      </c>
    </row>
    <row r="468" spans="1:7">
      <c r="A468" s="9" t="s">
        <v>299</v>
      </c>
      <c r="C468" s="26" t="s">
        <v>5777</v>
      </c>
      <c r="D468" t="s">
        <v>8100</v>
      </c>
      <c r="E468" t="s">
        <v>5387</v>
      </c>
      <c r="F468" t="s">
        <v>4538</v>
      </c>
      <c r="G468">
        <v>1</v>
      </c>
    </row>
    <row r="469" spans="1:7">
      <c r="A469" s="10" t="s">
        <v>300</v>
      </c>
      <c r="C469" s="26" t="s">
        <v>5778</v>
      </c>
      <c r="D469" t="s">
        <v>5675</v>
      </c>
      <c r="E469" t="s">
        <v>4760</v>
      </c>
      <c r="F469" t="s">
        <v>7542</v>
      </c>
      <c r="G469">
        <v>0</v>
      </c>
    </row>
    <row r="470" spans="1:7">
      <c r="A470" s="11"/>
      <c r="C470" s="26" t="s">
        <v>5779</v>
      </c>
      <c r="D470" t="s">
        <v>7592</v>
      </c>
      <c r="E470" t="s">
        <v>5388</v>
      </c>
      <c r="F470" t="s">
        <v>8101</v>
      </c>
      <c r="G470">
        <v>2</v>
      </c>
    </row>
    <row r="471" spans="1:7">
      <c r="A471" s="9" t="s">
        <v>301</v>
      </c>
      <c r="C471" s="26" t="s">
        <v>7596</v>
      </c>
      <c r="D471" t="s">
        <v>4937</v>
      </c>
      <c r="E471" t="s">
        <v>5389</v>
      </c>
      <c r="F471" t="s">
        <v>8102</v>
      </c>
      <c r="G471">
        <v>2</v>
      </c>
    </row>
    <row r="472" spans="1:7">
      <c r="A472" s="10" t="s">
        <v>302</v>
      </c>
      <c r="C472" s="26" t="s">
        <v>8103</v>
      </c>
      <c r="D472" t="s">
        <v>5390</v>
      </c>
      <c r="E472" t="s">
        <v>5780</v>
      </c>
      <c r="F472" t="s">
        <v>5677</v>
      </c>
      <c r="G472">
        <v>2</v>
      </c>
    </row>
    <row r="473" spans="1:7">
      <c r="A473" s="9" t="s">
        <v>303</v>
      </c>
      <c r="C473" s="26" t="s">
        <v>7597</v>
      </c>
      <c r="D473" t="s">
        <v>8104</v>
      </c>
      <c r="E473" t="s">
        <v>5885</v>
      </c>
      <c r="F473" t="s">
        <v>8105</v>
      </c>
      <c r="G473">
        <v>0</v>
      </c>
    </row>
    <row r="474" spans="1:7">
      <c r="A474" s="9" t="s">
        <v>304</v>
      </c>
      <c r="C474" s="26" t="s">
        <v>5781</v>
      </c>
      <c r="D474" t="s">
        <v>5391</v>
      </c>
      <c r="E474" t="s">
        <v>8106</v>
      </c>
      <c r="F474" t="s">
        <v>5042</v>
      </c>
      <c r="G474">
        <v>0</v>
      </c>
    </row>
    <row r="475" spans="1:7">
      <c r="A475" s="11"/>
      <c r="C475" s="26" t="s">
        <v>5782</v>
      </c>
      <c r="D475" t="s">
        <v>5392</v>
      </c>
      <c r="E475" t="s">
        <v>5393</v>
      </c>
      <c r="F475" t="s">
        <v>8107</v>
      </c>
      <c r="G475">
        <v>1</v>
      </c>
    </row>
    <row r="476" spans="1:7">
      <c r="A476" s="9" t="s">
        <v>305</v>
      </c>
      <c r="C476" s="26" t="s">
        <v>5783</v>
      </c>
      <c r="D476" t="s">
        <v>4938</v>
      </c>
      <c r="E476" t="s">
        <v>8108</v>
      </c>
      <c r="F476" t="s">
        <v>5784</v>
      </c>
      <c r="G476">
        <v>0</v>
      </c>
    </row>
    <row r="477" spans="1:7">
      <c r="A477" s="9" t="s">
        <v>72</v>
      </c>
      <c r="C477" s="26" t="s">
        <v>5785</v>
      </c>
      <c r="D477" t="s">
        <v>7598</v>
      </c>
      <c r="E477" t="s">
        <v>5786</v>
      </c>
      <c r="F477" t="s">
        <v>7599</v>
      </c>
      <c r="G477">
        <v>2</v>
      </c>
    </row>
    <row r="478" spans="1:7">
      <c r="A478" s="9" t="s">
        <v>306</v>
      </c>
      <c r="C478" s="26" t="s">
        <v>5787</v>
      </c>
      <c r="D478" t="s">
        <v>7600</v>
      </c>
      <c r="E478" t="s">
        <v>5394</v>
      </c>
      <c r="F478" t="s">
        <v>5678</v>
      </c>
      <c r="G478">
        <v>0</v>
      </c>
    </row>
    <row r="479" spans="1:7">
      <c r="A479" s="10" t="s">
        <v>307</v>
      </c>
      <c r="C479" s="26" t="s">
        <v>7601</v>
      </c>
      <c r="D479" t="s">
        <v>4939</v>
      </c>
      <c r="E479" t="s">
        <v>8109</v>
      </c>
      <c r="F479" t="s">
        <v>8110</v>
      </c>
      <c r="G479">
        <v>2</v>
      </c>
    </row>
    <row r="480" spans="1:7">
      <c r="A480" s="11"/>
      <c r="C480" s="26" t="s">
        <v>5692</v>
      </c>
      <c r="D480" t="s">
        <v>4940</v>
      </c>
      <c r="E480" t="s">
        <v>5679</v>
      </c>
      <c r="F480" t="s">
        <v>8111</v>
      </c>
      <c r="G480">
        <v>1</v>
      </c>
    </row>
    <row r="481" spans="1:7">
      <c r="A481" s="9" t="s">
        <v>308</v>
      </c>
      <c r="C481" s="26" t="s">
        <v>5886</v>
      </c>
      <c r="D481" t="s">
        <v>8112</v>
      </c>
      <c r="E481" t="s">
        <v>5887</v>
      </c>
      <c r="F481" t="s">
        <v>5395</v>
      </c>
      <c r="G481">
        <v>0</v>
      </c>
    </row>
    <row r="482" spans="1:7">
      <c r="A482" s="9" t="s">
        <v>309</v>
      </c>
      <c r="C482" s="26" t="s">
        <v>5888</v>
      </c>
      <c r="D482" t="s">
        <v>8113</v>
      </c>
      <c r="E482" t="s">
        <v>7602</v>
      </c>
      <c r="F482" t="s">
        <v>8114</v>
      </c>
      <c r="G482">
        <v>1</v>
      </c>
    </row>
    <row r="483" spans="1:7">
      <c r="A483" s="10" t="s">
        <v>310</v>
      </c>
      <c r="C483" s="26" t="s">
        <v>5889</v>
      </c>
      <c r="D483" t="s">
        <v>7603</v>
      </c>
      <c r="E483" t="s">
        <v>8115</v>
      </c>
      <c r="F483" t="s">
        <v>7604</v>
      </c>
      <c r="G483">
        <v>2</v>
      </c>
    </row>
    <row r="484" spans="1:7">
      <c r="A484" s="9" t="s">
        <v>311</v>
      </c>
      <c r="C484" s="26" t="s">
        <v>5890</v>
      </c>
      <c r="D484" t="s">
        <v>5680</v>
      </c>
      <c r="E484" t="s">
        <v>8116</v>
      </c>
      <c r="F484" t="s">
        <v>5396</v>
      </c>
      <c r="G484">
        <v>1</v>
      </c>
    </row>
    <row r="485" spans="1:7">
      <c r="A485" s="11"/>
      <c r="C485" s="26" t="s">
        <v>8117</v>
      </c>
      <c r="D485" t="s">
        <v>5397</v>
      </c>
      <c r="E485" t="s">
        <v>5681</v>
      </c>
      <c r="F485" t="s">
        <v>8118</v>
      </c>
      <c r="G485">
        <v>1</v>
      </c>
    </row>
    <row r="486" spans="1:7">
      <c r="A486" s="9" t="s">
        <v>312</v>
      </c>
      <c r="C486" s="26" t="s">
        <v>8119</v>
      </c>
      <c r="D486" t="s">
        <v>7605</v>
      </c>
      <c r="E486" t="s">
        <v>5682</v>
      </c>
      <c r="F486" t="s">
        <v>4941</v>
      </c>
      <c r="G486">
        <v>2</v>
      </c>
    </row>
    <row r="487" spans="1:7">
      <c r="A487" s="9" t="s">
        <v>313</v>
      </c>
      <c r="C487" s="26" t="s">
        <v>5891</v>
      </c>
      <c r="D487" t="s">
        <v>8120</v>
      </c>
      <c r="E487" t="s">
        <v>7606</v>
      </c>
      <c r="F487" t="s">
        <v>8121</v>
      </c>
      <c r="G487">
        <v>2</v>
      </c>
    </row>
    <row r="488" spans="1:7">
      <c r="A488" s="10" t="s">
        <v>314</v>
      </c>
      <c r="C488" s="26" t="s">
        <v>7607</v>
      </c>
      <c r="D488" t="s">
        <v>7608</v>
      </c>
      <c r="E488" t="s">
        <v>8122</v>
      </c>
      <c r="F488" t="s">
        <v>5788</v>
      </c>
      <c r="G488">
        <v>2</v>
      </c>
    </row>
    <row r="489" spans="1:7">
      <c r="A489" s="9" t="s">
        <v>315</v>
      </c>
      <c r="C489" s="26" t="s">
        <v>5892</v>
      </c>
      <c r="D489" t="s">
        <v>7609</v>
      </c>
      <c r="E489" t="s">
        <v>4942</v>
      </c>
      <c r="F489" t="s">
        <v>5789</v>
      </c>
      <c r="G489">
        <v>2</v>
      </c>
    </row>
    <row r="490" spans="1:7">
      <c r="A490" s="11"/>
      <c r="C490" s="26" t="s">
        <v>8123</v>
      </c>
      <c r="D490" t="s">
        <v>8124</v>
      </c>
      <c r="E490" t="s">
        <v>5683</v>
      </c>
      <c r="F490" t="s">
        <v>7610</v>
      </c>
      <c r="G490">
        <v>2</v>
      </c>
    </row>
    <row r="491" spans="1:7">
      <c r="A491" s="9" t="s">
        <v>316</v>
      </c>
      <c r="C491" s="26" t="s">
        <v>5893</v>
      </c>
      <c r="D491" t="s">
        <v>8125</v>
      </c>
      <c r="E491" t="s">
        <v>5684</v>
      </c>
      <c r="F491" t="s">
        <v>4943</v>
      </c>
      <c r="G491">
        <v>0</v>
      </c>
    </row>
    <row r="492" spans="1:7">
      <c r="A492" s="9" t="s">
        <v>317</v>
      </c>
      <c r="C492" s="26" t="s">
        <v>7611</v>
      </c>
      <c r="D492" t="s">
        <v>7612</v>
      </c>
      <c r="E492" t="s">
        <v>8126</v>
      </c>
      <c r="F492" t="s">
        <v>4944</v>
      </c>
      <c r="G492">
        <v>2</v>
      </c>
    </row>
    <row r="493" spans="1:7">
      <c r="A493" s="10" t="s">
        <v>318</v>
      </c>
      <c r="C493" s="26" t="s">
        <v>5894</v>
      </c>
      <c r="D493" t="s">
        <v>5790</v>
      </c>
      <c r="E493" t="s">
        <v>4945</v>
      </c>
      <c r="F493" t="s">
        <v>4946</v>
      </c>
      <c r="G493">
        <v>2</v>
      </c>
    </row>
    <row r="494" spans="1:7">
      <c r="A494" s="9" t="s">
        <v>319</v>
      </c>
      <c r="C494" s="26" t="s">
        <v>5895</v>
      </c>
      <c r="D494" t="s">
        <v>8127</v>
      </c>
      <c r="E494" t="s">
        <v>4947</v>
      </c>
      <c r="F494" t="s">
        <v>8128</v>
      </c>
      <c r="G494">
        <v>2</v>
      </c>
    </row>
    <row r="495" spans="1:7">
      <c r="A495" s="9"/>
      <c r="C495" s="26" t="s">
        <v>7613</v>
      </c>
      <c r="D495" t="s">
        <v>8129</v>
      </c>
      <c r="E495" t="s">
        <v>8130</v>
      </c>
      <c r="F495" t="s">
        <v>4948</v>
      </c>
      <c r="G495">
        <v>2</v>
      </c>
    </row>
    <row r="496" spans="1:7">
      <c r="A496" s="9" t="s">
        <v>320</v>
      </c>
      <c r="C496" s="26" t="s">
        <v>7614</v>
      </c>
      <c r="D496" t="s">
        <v>4736</v>
      </c>
      <c r="E496" t="s">
        <v>4949</v>
      </c>
      <c r="F496" t="s">
        <v>5791</v>
      </c>
      <c r="G496">
        <v>1</v>
      </c>
    </row>
    <row r="497" spans="1:7">
      <c r="A497" s="9" t="s">
        <v>321</v>
      </c>
      <c r="C497" s="26" t="s">
        <v>5896</v>
      </c>
      <c r="D497" t="s">
        <v>7615</v>
      </c>
      <c r="E497" t="s">
        <v>8131</v>
      </c>
      <c r="F497" t="s">
        <v>8132</v>
      </c>
      <c r="G497">
        <v>1</v>
      </c>
    </row>
    <row r="498" spans="1:7">
      <c r="A498" s="10" t="s">
        <v>322</v>
      </c>
      <c r="C498" s="26" t="s">
        <v>7616</v>
      </c>
      <c r="D498" t="s">
        <v>4820</v>
      </c>
      <c r="E498" t="s">
        <v>4821</v>
      </c>
      <c r="F498" t="s">
        <v>5398</v>
      </c>
      <c r="G498">
        <v>2</v>
      </c>
    </row>
    <row r="499" spans="1:7">
      <c r="A499" s="9" t="s">
        <v>323</v>
      </c>
      <c r="C499" s="26" t="s">
        <v>7617</v>
      </c>
      <c r="D499" t="s">
        <v>8133</v>
      </c>
      <c r="E499" t="s">
        <v>4950</v>
      </c>
      <c r="F499" t="s">
        <v>7618</v>
      </c>
      <c r="G499">
        <v>1</v>
      </c>
    </row>
    <row r="500" spans="1:7">
      <c r="A500" s="11"/>
      <c r="C500" s="26" t="s">
        <v>5897</v>
      </c>
      <c r="D500" t="s">
        <v>5686</v>
      </c>
      <c r="E500" t="s">
        <v>4952</v>
      </c>
      <c r="F500" t="s">
        <v>8134</v>
      </c>
      <c r="G500">
        <v>2</v>
      </c>
    </row>
    <row r="501" spans="1:7">
      <c r="A501" s="9" t="s">
        <v>324</v>
      </c>
      <c r="C501" s="26" t="s">
        <v>5898</v>
      </c>
      <c r="D501" t="s">
        <v>5792</v>
      </c>
      <c r="E501" t="s">
        <v>7619</v>
      </c>
      <c r="F501" t="s">
        <v>4953</v>
      </c>
      <c r="G501">
        <v>1</v>
      </c>
    </row>
    <row r="502" spans="1:7">
      <c r="A502" s="9" t="s">
        <v>325</v>
      </c>
      <c r="C502" s="26" t="s">
        <v>5949</v>
      </c>
      <c r="D502" t="s">
        <v>8135</v>
      </c>
      <c r="E502" t="s">
        <v>8136</v>
      </c>
      <c r="F502" t="s">
        <v>8137</v>
      </c>
      <c r="G502">
        <v>0</v>
      </c>
    </row>
    <row r="503" spans="1:7">
      <c r="A503" s="9" t="s">
        <v>326</v>
      </c>
      <c r="C503" s="26" t="s">
        <v>8138</v>
      </c>
      <c r="D503" t="s">
        <v>7541</v>
      </c>
      <c r="E503" t="s">
        <v>4767</v>
      </c>
      <c r="F503" t="s">
        <v>7620</v>
      </c>
      <c r="G503">
        <v>1</v>
      </c>
    </row>
    <row r="504" spans="1:7">
      <c r="A504" s="10" t="s">
        <v>327</v>
      </c>
      <c r="C504" s="26" t="s">
        <v>8139</v>
      </c>
      <c r="D504" t="s">
        <v>5400</v>
      </c>
      <c r="E504" t="s">
        <v>7540</v>
      </c>
      <c r="F504" t="s">
        <v>5401</v>
      </c>
      <c r="G504">
        <v>2</v>
      </c>
    </row>
    <row r="505" spans="1:7">
      <c r="A505" s="11"/>
      <c r="C505" s="26" t="s">
        <v>8140</v>
      </c>
      <c r="D505" t="s">
        <v>5402</v>
      </c>
      <c r="E505" t="s">
        <v>4954</v>
      </c>
      <c r="F505" t="s">
        <v>8141</v>
      </c>
      <c r="G505">
        <v>1</v>
      </c>
    </row>
    <row r="506" spans="1:7">
      <c r="A506" s="9" t="s">
        <v>328</v>
      </c>
      <c r="C506" s="26" t="s">
        <v>8142</v>
      </c>
      <c r="D506" t="s">
        <v>7621</v>
      </c>
      <c r="E506" t="s">
        <v>5687</v>
      </c>
      <c r="F506" t="s">
        <v>4955</v>
      </c>
      <c r="G506">
        <v>0</v>
      </c>
    </row>
    <row r="507" spans="1:7">
      <c r="A507" s="9" t="s">
        <v>329</v>
      </c>
      <c r="C507" s="26" t="s">
        <v>5899</v>
      </c>
      <c r="D507" t="s">
        <v>5688</v>
      </c>
      <c r="E507" t="s">
        <v>8143</v>
      </c>
      <c r="F507" t="s">
        <v>7622</v>
      </c>
      <c r="G507">
        <v>2</v>
      </c>
    </row>
    <row r="508" spans="1:7">
      <c r="A508" s="9" t="s">
        <v>330</v>
      </c>
      <c r="C508" s="26" t="s">
        <v>7623</v>
      </c>
      <c r="D508" t="s">
        <v>7624</v>
      </c>
      <c r="E508" t="s">
        <v>8130</v>
      </c>
      <c r="F508" t="s">
        <v>4956</v>
      </c>
      <c r="G508">
        <v>1</v>
      </c>
    </row>
    <row r="509" spans="1:7">
      <c r="A509" s="10" t="s">
        <v>331</v>
      </c>
      <c r="C509" s="26" t="s">
        <v>8144</v>
      </c>
      <c r="D509" t="s">
        <v>7625</v>
      </c>
      <c r="E509" t="s">
        <v>7626</v>
      </c>
      <c r="F509" t="s">
        <v>4957</v>
      </c>
      <c r="G509">
        <v>0</v>
      </c>
    </row>
    <row r="510" spans="1:7">
      <c r="A510" s="11"/>
      <c r="C510" s="26" t="s">
        <v>5900</v>
      </c>
      <c r="D510" t="s">
        <v>5403</v>
      </c>
      <c r="E510" t="s">
        <v>8145</v>
      </c>
      <c r="F510" t="s">
        <v>8146</v>
      </c>
      <c r="G510">
        <v>1</v>
      </c>
    </row>
    <row r="511" spans="1:7">
      <c r="A511" s="9" t="s">
        <v>332</v>
      </c>
      <c r="C511" s="26" t="s">
        <v>8147</v>
      </c>
      <c r="D511" t="s">
        <v>8148</v>
      </c>
      <c r="E511" t="s">
        <v>5404</v>
      </c>
      <c r="F511" t="s">
        <v>4611</v>
      </c>
      <c r="G511">
        <v>1</v>
      </c>
    </row>
    <row r="512" spans="1:7">
      <c r="A512" s="10" t="s">
        <v>333</v>
      </c>
      <c r="C512" s="26" t="s">
        <v>7627</v>
      </c>
      <c r="D512" t="s">
        <v>4958</v>
      </c>
      <c r="E512" t="s">
        <v>4662</v>
      </c>
      <c r="F512" t="s">
        <v>4959</v>
      </c>
      <c r="G512">
        <v>1</v>
      </c>
    </row>
    <row r="513" spans="1:7">
      <c r="A513" s="9" t="s">
        <v>334</v>
      </c>
      <c r="C513" s="26" t="s">
        <v>8149</v>
      </c>
      <c r="D513" t="s">
        <v>8150</v>
      </c>
      <c r="E513" t="s">
        <v>4961</v>
      </c>
      <c r="F513" t="s">
        <v>5361</v>
      </c>
      <c r="G513">
        <v>0</v>
      </c>
    </row>
    <row r="514" spans="1:7">
      <c r="A514" s="9" t="s">
        <v>335</v>
      </c>
      <c r="C514" s="26" t="s">
        <v>8151</v>
      </c>
      <c r="D514" t="s">
        <v>4804</v>
      </c>
      <c r="E514" t="s">
        <v>4963</v>
      </c>
      <c r="F514" t="s">
        <v>7628</v>
      </c>
      <c r="G514">
        <v>2</v>
      </c>
    </row>
    <row r="515" spans="1:7">
      <c r="A515" s="11"/>
      <c r="C515" s="26" t="s">
        <v>8152</v>
      </c>
      <c r="D515" t="s">
        <v>4951</v>
      </c>
      <c r="E515" t="s">
        <v>4964</v>
      </c>
      <c r="F515" t="s">
        <v>8153</v>
      </c>
      <c r="G515">
        <v>1</v>
      </c>
    </row>
    <row r="516" spans="1:7">
      <c r="A516" s="9" t="s">
        <v>336</v>
      </c>
      <c r="C516" s="26" t="s">
        <v>8154</v>
      </c>
      <c r="D516" t="s">
        <v>8155</v>
      </c>
      <c r="E516" t="s">
        <v>4965</v>
      </c>
      <c r="F516" t="s">
        <v>8156</v>
      </c>
      <c r="G516">
        <v>1</v>
      </c>
    </row>
    <row r="517" spans="1:7">
      <c r="A517" s="10" t="s">
        <v>337</v>
      </c>
      <c r="C517" s="26" t="s">
        <v>7629</v>
      </c>
      <c r="D517" t="s">
        <v>5950</v>
      </c>
      <c r="E517" t="s">
        <v>8157</v>
      </c>
      <c r="F517" t="s">
        <v>7630</v>
      </c>
      <c r="G517">
        <v>0</v>
      </c>
    </row>
    <row r="518" spans="1:7">
      <c r="A518" s="9" t="s">
        <v>338</v>
      </c>
      <c r="C518" s="26" t="s">
        <v>5951</v>
      </c>
      <c r="D518" t="s">
        <v>4663</v>
      </c>
      <c r="E518" t="s">
        <v>4866</v>
      </c>
      <c r="F518" t="s">
        <v>7631</v>
      </c>
      <c r="G518">
        <v>1</v>
      </c>
    </row>
    <row r="519" spans="1:7">
      <c r="A519" s="9" t="s">
        <v>339</v>
      </c>
      <c r="C519" s="26" t="s">
        <v>8158</v>
      </c>
      <c r="D519" t="s">
        <v>8159</v>
      </c>
      <c r="E519" t="s">
        <v>5405</v>
      </c>
      <c r="F519" t="s">
        <v>4967</v>
      </c>
      <c r="G519">
        <v>2</v>
      </c>
    </row>
    <row r="520" spans="1:7">
      <c r="A520" s="11"/>
      <c r="C520" s="26" t="s">
        <v>7632</v>
      </c>
      <c r="D520" t="s">
        <v>4966</v>
      </c>
      <c r="E520" t="s">
        <v>4762</v>
      </c>
      <c r="F520" t="s">
        <v>7536</v>
      </c>
      <c r="G520">
        <v>2</v>
      </c>
    </row>
    <row r="521" spans="1:7">
      <c r="A521" s="9" t="s">
        <v>340</v>
      </c>
      <c r="C521" s="26" t="s">
        <v>7633</v>
      </c>
      <c r="D521" t="s">
        <v>7539</v>
      </c>
      <c r="E521" t="s">
        <v>7634</v>
      </c>
      <c r="F521" t="s">
        <v>8160</v>
      </c>
      <c r="G521">
        <v>0</v>
      </c>
    </row>
    <row r="522" spans="1:7">
      <c r="A522" s="9" t="s">
        <v>341</v>
      </c>
      <c r="C522" s="26" t="s">
        <v>8161</v>
      </c>
      <c r="D522" t="s">
        <v>5124</v>
      </c>
      <c r="E522" t="s">
        <v>4970</v>
      </c>
      <c r="F522" t="s">
        <v>7635</v>
      </c>
      <c r="G522">
        <v>1</v>
      </c>
    </row>
    <row r="523" spans="1:7">
      <c r="A523" s="10" t="s">
        <v>342</v>
      </c>
      <c r="C523" s="26" t="s">
        <v>7636</v>
      </c>
      <c r="D523" t="s">
        <v>4971</v>
      </c>
      <c r="E523" t="s">
        <v>5406</v>
      </c>
      <c r="F523" t="s">
        <v>5793</v>
      </c>
      <c r="G523">
        <v>2</v>
      </c>
    </row>
    <row r="524" spans="1:7">
      <c r="A524" s="9" t="s">
        <v>343</v>
      </c>
      <c r="C524" s="26" t="s">
        <v>8162</v>
      </c>
      <c r="D524" t="s">
        <v>5407</v>
      </c>
      <c r="E524" t="s">
        <v>4972</v>
      </c>
      <c r="F524" t="s">
        <v>4973</v>
      </c>
      <c r="G524">
        <v>1</v>
      </c>
    </row>
    <row r="525" spans="1:7">
      <c r="A525" s="11"/>
      <c r="C525" s="26" t="s">
        <v>8163</v>
      </c>
      <c r="D525" t="s">
        <v>4974</v>
      </c>
      <c r="E525" t="s">
        <v>5408</v>
      </c>
      <c r="F525" t="s">
        <v>4975</v>
      </c>
      <c r="G525">
        <v>1</v>
      </c>
    </row>
    <row r="526" spans="1:7">
      <c r="A526" s="9" t="s">
        <v>344</v>
      </c>
      <c r="C526" s="26" t="s">
        <v>7637</v>
      </c>
      <c r="D526" t="s">
        <v>4976</v>
      </c>
      <c r="E526" t="s">
        <v>4977</v>
      </c>
      <c r="F526" t="s">
        <v>8164</v>
      </c>
      <c r="G526">
        <v>2</v>
      </c>
    </row>
    <row r="527" spans="1:7">
      <c r="A527" s="9" t="s">
        <v>345</v>
      </c>
      <c r="C527" s="26" t="s">
        <v>7637</v>
      </c>
      <c r="D527" t="s">
        <v>5794</v>
      </c>
      <c r="E527" t="s">
        <v>7638</v>
      </c>
      <c r="F527" t="s">
        <v>8165</v>
      </c>
      <c r="G527">
        <v>2</v>
      </c>
    </row>
    <row r="528" spans="1:7">
      <c r="A528" s="9" t="s">
        <v>346</v>
      </c>
      <c r="C528" s="26" t="s">
        <v>8166</v>
      </c>
      <c r="D528" t="s">
        <v>5409</v>
      </c>
      <c r="E528" t="s">
        <v>4978</v>
      </c>
      <c r="F528" t="s">
        <v>4979</v>
      </c>
      <c r="G528">
        <v>2</v>
      </c>
    </row>
    <row r="529" spans="1:7">
      <c r="A529" s="10" t="s">
        <v>347</v>
      </c>
      <c r="C529" s="26" t="s">
        <v>8167</v>
      </c>
      <c r="D529" t="s">
        <v>8168</v>
      </c>
      <c r="E529" t="s">
        <v>4980</v>
      </c>
      <c r="F529" t="s">
        <v>8169</v>
      </c>
      <c r="G529">
        <v>0</v>
      </c>
    </row>
    <row r="530" spans="1:7">
      <c r="A530" s="11"/>
      <c r="C530" s="26" t="s">
        <v>8170</v>
      </c>
      <c r="D530" t="s">
        <v>7547</v>
      </c>
      <c r="E530" t="s">
        <v>8171</v>
      </c>
      <c r="F530" t="s">
        <v>7548</v>
      </c>
      <c r="G530">
        <v>1</v>
      </c>
    </row>
    <row r="531" spans="1:7">
      <c r="A531" s="9" t="s">
        <v>348</v>
      </c>
      <c r="C531" s="26" t="s">
        <v>7639</v>
      </c>
      <c r="D531" t="s">
        <v>7640</v>
      </c>
      <c r="E531" t="s">
        <v>4981</v>
      </c>
      <c r="F531" t="s">
        <v>4982</v>
      </c>
      <c r="G531">
        <v>2</v>
      </c>
    </row>
    <row r="532" spans="1:7">
      <c r="A532" s="10" t="s">
        <v>349</v>
      </c>
      <c r="C532" s="26" t="s">
        <v>7641</v>
      </c>
      <c r="D532" t="s">
        <v>4742</v>
      </c>
      <c r="E532" t="s">
        <v>4743</v>
      </c>
      <c r="F532" t="s">
        <v>4744</v>
      </c>
      <c r="G532">
        <v>1</v>
      </c>
    </row>
    <row r="533" spans="1:7">
      <c r="A533" s="9" t="s">
        <v>350</v>
      </c>
      <c r="C533" s="26" t="s">
        <v>8172</v>
      </c>
      <c r="D533" t="s">
        <v>5410</v>
      </c>
      <c r="E533" t="s">
        <v>5411</v>
      </c>
      <c r="F533" t="s">
        <v>4983</v>
      </c>
      <c r="G533">
        <v>1</v>
      </c>
    </row>
    <row r="534" spans="1:7">
      <c r="A534" s="9" t="s">
        <v>351</v>
      </c>
      <c r="C534" s="26" t="s">
        <v>7642</v>
      </c>
      <c r="D534" t="s">
        <v>8173</v>
      </c>
      <c r="E534" t="s">
        <v>8174</v>
      </c>
      <c r="F534" t="s">
        <v>5690</v>
      </c>
      <c r="G534">
        <v>2</v>
      </c>
    </row>
    <row r="535" spans="1:7">
      <c r="A535" s="11"/>
      <c r="C535" s="26" t="s">
        <v>7643</v>
      </c>
      <c r="D535" t="s">
        <v>7644</v>
      </c>
      <c r="E535" t="s">
        <v>7645</v>
      </c>
      <c r="F535" t="s">
        <v>4984</v>
      </c>
      <c r="G535">
        <v>1</v>
      </c>
    </row>
    <row r="536" spans="1:7">
      <c r="A536" s="9" t="s">
        <v>352</v>
      </c>
      <c r="C536" s="26" t="s">
        <v>8175</v>
      </c>
      <c r="D536" t="s">
        <v>7646</v>
      </c>
      <c r="E536" t="s">
        <v>8176</v>
      </c>
      <c r="F536" t="s">
        <v>5952</v>
      </c>
      <c r="G536">
        <v>2</v>
      </c>
    </row>
    <row r="537" spans="1:7">
      <c r="A537" s="9" t="s">
        <v>353</v>
      </c>
      <c r="C537" s="26" t="s">
        <v>8177</v>
      </c>
      <c r="D537" t="s">
        <v>5412</v>
      </c>
      <c r="E537" t="s">
        <v>5953</v>
      </c>
      <c r="F537" t="s">
        <v>5691</v>
      </c>
      <c r="G537">
        <v>1</v>
      </c>
    </row>
    <row r="538" spans="1:7">
      <c r="A538" s="10" t="s">
        <v>354</v>
      </c>
      <c r="C538" s="26" t="s">
        <v>8178</v>
      </c>
      <c r="D538" t="s">
        <v>4985</v>
      </c>
      <c r="E538" t="s">
        <v>4986</v>
      </c>
      <c r="F538" t="s">
        <v>8179</v>
      </c>
      <c r="G538">
        <v>2</v>
      </c>
    </row>
    <row r="539" spans="1:7">
      <c r="A539" s="9" t="s">
        <v>355</v>
      </c>
      <c r="C539" s="26" t="s">
        <v>7647</v>
      </c>
      <c r="D539" t="s">
        <v>8180</v>
      </c>
      <c r="E539" t="s">
        <v>8181</v>
      </c>
      <c r="F539" t="s">
        <v>4987</v>
      </c>
      <c r="G539">
        <v>0</v>
      </c>
    </row>
    <row r="540" spans="1:7">
      <c r="A540" s="11"/>
      <c r="C540" s="26" t="s">
        <v>7648</v>
      </c>
      <c r="D540" t="s">
        <v>8182</v>
      </c>
      <c r="E540" t="s">
        <v>7540</v>
      </c>
      <c r="F540" t="s">
        <v>4688</v>
      </c>
      <c r="G540">
        <v>1</v>
      </c>
    </row>
    <row r="541" spans="1:7">
      <c r="A541" s="9" t="s">
        <v>356</v>
      </c>
      <c r="C541" s="26" t="s">
        <v>8183</v>
      </c>
      <c r="D541" t="s">
        <v>8184</v>
      </c>
      <c r="E541" t="s">
        <v>4989</v>
      </c>
      <c r="F541" t="s">
        <v>4990</v>
      </c>
      <c r="G541">
        <v>1</v>
      </c>
    </row>
    <row r="542" spans="1:7">
      <c r="A542" s="9" t="s">
        <v>357</v>
      </c>
      <c r="C542" s="26" t="s">
        <v>8185</v>
      </c>
      <c r="D542" t="s">
        <v>8186</v>
      </c>
      <c r="E542" t="s">
        <v>4779</v>
      </c>
      <c r="F542" t="s">
        <v>8187</v>
      </c>
      <c r="G542">
        <v>2</v>
      </c>
    </row>
    <row r="543" spans="1:7">
      <c r="A543" s="9" t="s">
        <v>358</v>
      </c>
      <c r="C543" s="26" t="s">
        <v>7649</v>
      </c>
      <c r="D543" t="s">
        <v>5214</v>
      </c>
      <c r="E543" t="s">
        <v>8188</v>
      </c>
      <c r="F543" t="s">
        <v>7650</v>
      </c>
      <c r="G543">
        <v>1</v>
      </c>
    </row>
    <row r="544" spans="1:7">
      <c r="A544" s="10" t="s">
        <v>359</v>
      </c>
      <c r="C544" s="26" t="s">
        <v>8189</v>
      </c>
      <c r="D544" t="s">
        <v>6003</v>
      </c>
      <c r="E544" t="s">
        <v>8190</v>
      </c>
      <c r="F544" t="s">
        <v>8191</v>
      </c>
      <c r="G544">
        <v>2</v>
      </c>
    </row>
    <row r="545" spans="1:7">
      <c r="A545" s="11"/>
      <c r="C545" s="26" t="s">
        <v>8192</v>
      </c>
      <c r="D545" t="s">
        <v>6006</v>
      </c>
      <c r="E545" t="s">
        <v>8193</v>
      </c>
      <c r="F545" t="s">
        <v>8194</v>
      </c>
      <c r="G545">
        <v>2</v>
      </c>
    </row>
    <row r="546" spans="1:7">
      <c r="A546" s="9" t="s">
        <v>360</v>
      </c>
      <c r="C546" s="26" t="s">
        <v>8195</v>
      </c>
      <c r="D546" t="s">
        <v>4877</v>
      </c>
      <c r="E546" t="s">
        <v>4878</v>
      </c>
      <c r="F546" t="s">
        <v>8196</v>
      </c>
      <c r="G546">
        <v>2</v>
      </c>
    </row>
    <row r="547" spans="1:7">
      <c r="A547" s="9" t="s">
        <v>361</v>
      </c>
      <c r="C547" s="26" t="s">
        <v>8197</v>
      </c>
      <c r="D547" t="s">
        <v>8198</v>
      </c>
      <c r="E547" t="s">
        <v>8199</v>
      </c>
      <c r="F547" t="s">
        <v>8200</v>
      </c>
      <c r="G547">
        <v>0</v>
      </c>
    </row>
    <row r="548" spans="1:7">
      <c r="A548" s="9" t="s">
        <v>362</v>
      </c>
      <c r="C548" s="26" t="s">
        <v>8201</v>
      </c>
      <c r="D548" t="s">
        <v>8202</v>
      </c>
      <c r="E548" t="s">
        <v>8203</v>
      </c>
      <c r="F548" t="s">
        <v>8204</v>
      </c>
      <c r="G548">
        <v>0</v>
      </c>
    </row>
    <row r="549" spans="1:7">
      <c r="A549" s="10" t="s">
        <v>363</v>
      </c>
      <c r="C549" s="26" t="s">
        <v>8205</v>
      </c>
      <c r="D549" t="s">
        <v>4872</v>
      </c>
      <c r="E549" t="s">
        <v>8206</v>
      </c>
      <c r="F549" t="s">
        <v>4538</v>
      </c>
      <c r="G549">
        <v>0</v>
      </c>
    </row>
    <row r="550" spans="1:7">
      <c r="A550" s="10"/>
      <c r="C550" s="26" t="s">
        <v>8207</v>
      </c>
      <c r="D550" t="s">
        <v>8208</v>
      </c>
      <c r="E550" t="s">
        <v>8209</v>
      </c>
      <c r="F550" t="s">
        <v>8210</v>
      </c>
      <c r="G550">
        <v>1</v>
      </c>
    </row>
    <row r="551" spans="1:7">
      <c r="A551" s="9" t="s">
        <v>364</v>
      </c>
      <c r="C551" s="26" t="s">
        <v>8211</v>
      </c>
      <c r="D551" t="s">
        <v>8212</v>
      </c>
      <c r="E551" t="s">
        <v>8213</v>
      </c>
      <c r="F551" t="s">
        <v>8214</v>
      </c>
      <c r="G551">
        <v>2</v>
      </c>
    </row>
    <row r="552" spans="1:7">
      <c r="A552" s="9" t="s">
        <v>365</v>
      </c>
      <c r="C552" s="26" t="s">
        <v>8215</v>
      </c>
      <c r="D552" t="s">
        <v>8216</v>
      </c>
      <c r="E552" t="s">
        <v>8217</v>
      </c>
      <c r="F552" t="s">
        <v>8218</v>
      </c>
      <c r="G552">
        <v>2</v>
      </c>
    </row>
    <row r="553" spans="1:7">
      <c r="A553" s="9" t="s">
        <v>366</v>
      </c>
      <c r="C553" s="26" t="s">
        <v>8219</v>
      </c>
      <c r="D553" t="s">
        <v>8220</v>
      </c>
      <c r="E553" t="s">
        <v>8221</v>
      </c>
      <c r="F553" t="s">
        <v>8222</v>
      </c>
      <c r="G553">
        <v>2</v>
      </c>
    </row>
    <row r="554" spans="1:7">
      <c r="A554" s="10" t="s">
        <v>367</v>
      </c>
      <c r="C554" s="26" t="s">
        <v>8223</v>
      </c>
      <c r="D554" t="s">
        <v>8224</v>
      </c>
      <c r="E554" t="s">
        <v>8225</v>
      </c>
      <c r="F554" t="s">
        <v>8226</v>
      </c>
      <c r="G554">
        <v>2</v>
      </c>
    </row>
    <row r="555" spans="1:7">
      <c r="A555" s="11"/>
      <c r="C555" s="26" t="s">
        <v>8227</v>
      </c>
      <c r="D555" t="s">
        <v>8228</v>
      </c>
      <c r="E555" t="s">
        <v>8229</v>
      </c>
      <c r="F555" t="s">
        <v>5382</v>
      </c>
      <c r="G555">
        <v>2</v>
      </c>
    </row>
    <row r="556" spans="1:7">
      <c r="A556" s="9" t="s">
        <v>368</v>
      </c>
      <c r="C556" s="26" t="s">
        <v>8230</v>
      </c>
      <c r="D556" t="s">
        <v>8231</v>
      </c>
      <c r="E556" t="s">
        <v>8232</v>
      </c>
      <c r="F556" t="s">
        <v>8233</v>
      </c>
      <c r="G556">
        <v>1</v>
      </c>
    </row>
    <row r="557" spans="1:7">
      <c r="A557" s="9" t="s">
        <v>369</v>
      </c>
      <c r="C557" s="26" t="s">
        <v>8234</v>
      </c>
      <c r="D557" t="s">
        <v>8235</v>
      </c>
      <c r="E557" t="s">
        <v>8236</v>
      </c>
      <c r="F557" t="s">
        <v>8237</v>
      </c>
      <c r="G557">
        <v>1</v>
      </c>
    </row>
    <row r="558" spans="1:7">
      <c r="A558" s="9" t="s">
        <v>370</v>
      </c>
      <c r="C558" s="26" t="s">
        <v>8238</v>
      </c>
      <c r="D558" t="s">
        <v>8239</v>
      </c>
      <c r="E558" t="s">
        <v>6036</v>
      </c>
      <c r="F558" t="s">
        <v>8240</v>
      </c>
      <c r="G558">
        <v>0</v>
      </c>
    </row>
    <row r="559" spans="1:7">
      <c r="A559" s="10" t="s">
        <v>371</v>
      </c>
      <c r="C559" s="26" t="s">
        <v>8241</v>
      </c>
      <c r="D559" t="s">
        <v>8242</v>
      </c>
      <c r="E559" t="s">
        <v>8243</v>
      </c>
      <c r="F559" t="s">
        <v>8244</v>
      </c>
      <c r="G559">
        <v>0</v>
      </c>
    </row>
    <row r="560" spans="1:7">
      <c r="A560" s="11"/>
      <c r="C560" s="26" t="s">
        <v>8245</v>
      </c>
      <c r="D560" t="s">
        <v>8246</v>
      </c>
      <c r="E560" t="s">
        <v>8247</v>
      </c>
      <c r="F560" t="s">
        <v>8248</v>
      </c>
      <c r="G560">
        <v>1</v>
      </c>
    </row>
    <row r="561" spans="1:7">
      <c r="A561" s="9" t="s">
        <v>372</v>
      </c>
      <c r="C561" s="26" t="s">
        <v>8249</v>
      </c>
      <c r="D561" t="s">
        <v>8250</v>
      </c>
      <c r="E561" t="s">
        <v>8251</v>
      </c>
      <c r="F561" t="s">
        <v>8252</v>
      </c>
      <c r="G561">
        <v>1</v>
      </c>
    </row>
    <row r="562" spans="1:7">
      <c r="A562" s="9" t="s">
        <v>373</v>
      </c>
      <c r="C562" s="26" t="s">
        <v>5169</v>
      </c>
      <c r="D562" t="s">
        <v>8253</v>
      </c>
      <c r="E562" t="s">
        <v>7593</v>
      </c>
      <c r="F562" t="s">
        <v>4670</v>
      </c>
      <c r="G562">
        <v>0</v>
      </c>
    </row>
    <row r="563" spans="1:7">
      <c r="A563" s="9" t="s">
        <v>374</v>
      </c>
      <c r="C563" s="26" t="s">
        <v>8254</v>
      </c>
      <c r="D563" t="s">
        <v>8255</v>
      </c>
      <c r="E563" t="s">
        <v>8256</v>
      </c>
      <c r="F563" t="s">
        <v>8257</v>
      </c>
      <c r="G563">
        <v>1</v>
      </c>
    </row>
    <row r="564" spans="1:7">
      <c r="A564" s="10" t="s">
        <v>375</v>
      </c>
      <c r="C564" s="26" t="s">
        <v>8258</v>
      </c>
      <c r="D564" t="s">
        <v>8259</v>
      </c>
      <c r="E564" t="s">
        <v>8260</v>
      </c>
      <c r="F564" t="s">
        <v>8261</v>
      </c>
      <c r="G564">
        <v>1</v>
      </c>
    </row>
    <row r="565" spans="1:7">
      <c r="A565" s="11"/>
      <c r="C565" s="26" t="s">
        <v>8262</v>
      </c>
      <c r="D565" t="s">
        <v>8263</v>
      </c>
      <c r="E565" t="s">
        <v>8264</v>
      </c>
      <c r="F565" t="s">
        <v>8265</v>
      </c>
      <c r="G565">
        <v>0</v>
      </c>
    </row>
    <row r="566" spans="1:7" ht="25.5">
      <c r="A566" s="9" t="s">
        <v>376</v>
      </c>
      <c r="C566" s="26" t="s">
        <v>7654</v>
      </c>
      <c r="D566" t="s">
        <v>8266</v>
      </c>
      <c r="E566" t="s">
        <v>8267</v>
      </c>
      <c r="F566" t="s">
        <v>8268</v>
      </c>
      <c r="G566">
        <v>0</v>
      </c>
    </row>
    <row r="567" spans="1:7">
      <c r="A567" s="10" t="s">
        <v>377</v>
      </c>
      <c r="C567" s="26" t="s">
        <v>1854</v>
      </c>
      <c r="D567" t="s">
        <v>8269</v>
      </c>
      <c r="E567" t="s">
        <v>8270</v>
      </c>
      <c r="F567" t="s">
        <v>8271</v>
      </c>
      <c r="G567">
        <v>2</v>
      </c>
    </row>
    <row r="568" spans="1:7">
      <c r="A568" s="9" t="s">
        <v>378</v>
      </c>
      <c r="C568" s="26" t="s">
        <v>7655</v>
      </c>
      <c r="D568" t="s">
        <v>8272</v>
      </c>
      <c r="E568" t="s">
        <v>8273</v>
      </c>
      <c r="F568" t="s">
        <v>8274</v>
      </c>
      <c r="G568">
        <v>1</v>
      </c>
    </row>
    <row r="569" spans="1:7">
      <c r="A569" s="9" t="s">
        <v>379</v>
      </c>
      <c r="C569" s="26" t="s">
        <v>1858</v>
      </c>
      <c r="D569" t="s">
        <v>8275</v>
      </c>
      <c r="E569" t="s">
        <v>8276</v>
      </c>
      <c r="F569" t="s">
        <v>8277</v>
      </c>
      <c r="G569">
        <v>2</v>
      </c>
    </row>
    <row r="570" spans="1:7">
      <c r="A570" s="11"/>
      <c r="C570" s="26" t="s">
        <v>7656</v>
      </c>
      <c r="D570" t="s">
        <v>8278</v>
      </c>
      <c r="E570" t="s">
        <v>8279</v>
      </c>
      <c r="F570" t="s">
        <v>8280</v>
      </c>
      <c r="G570">
        <v>0</v>
      </c>
    </row>
    <row r="571" spans="1:7">
      <c r="A571" s="9" t="s">
        <v>380</v>
      </c>
      <c r="C571" s="26" t="s">
        <v>1859</v>
      </c>
      <c r="D571" t="s">
        <v>8281</v>
      </c>
      <c r="E571" t="s">
        <v>8282</v>
      </c>
      <c r="F571" t="s">
        <v>8283</v>
      </c>
      <c r="G571">
        <v>1</v>
      </c>
    </row>
    <row r="572" spans="1:7">
      <c r="A572" s="9" t="s">
        <v>381</v>
      </c>
      <c r="C572" s="26" t="s">
        <v>1860</v>
      </c>
      <c r="D572" t="s">
        <v>8284</v>
      </c>
      <c r="E572" t="s">
        <v>8285</v>
      </c>
      <c r="F572" t="s">
        <v>8286</v>
      </c>
      <c r="G572">
        <v>2</v>
      </c>
    </row>
    <row r="573" spans="1:7">
      <c r="A573" s="9" t="s">
        <v>382</v>
      </c>
      <c r="C573" s="26" t="s">
        <v>7657</v>
      </c>
      <c r="D573" t="s">
        <v>8287</v>
      </c>
      <c r="E573" t="s">
        <v>8288</v>
      </c>
      <c r="F573" t="s">
        <v>8289</v>
      </c>
      <c r="G573">
        <v>1</v>
      </c>
    </row>
    <row r="574" spans="1:7">
      <c r="A574" s="10" t="s">
        <v>383</v>
      </c>
      <c r="C574" s="26" t="s">
        <v>7659</v>
      </c>
      <c r="D574" t="s">
        <v>6074</v>
      </c>
      <c r="E574" t="s">
        <v>8290</v>
      </c>
      <c r="F574" t="s">
        <v>8291</v>
      </c>
      <c r="G574">
        <v>1</v>
      </c>
    </row>
    <row r="575" spans="1:7">
      <c r="A575" s="11"/>
      <c r="C575" s="26" t="s">
        <v>7660</v>
      </c>
      <c r="D575" t="s">
        <v>4584</v>
      </c>
      <c r="E575" t="s">
        <v>7535</v>
      </c>
      <c r="F575" t="s">
        <v>8292</v>
      </c>
      <c r="G575">
        <v>1</v>
      </c>
    </row>
    <row r="576" spans="1:7">
      <c r="A576" s="9" t="s">
        <v>384</v>
      </c>
      <c r="C576" s="26" t="s">
        <v>7661</v>
      </c>
      <c r="D576" t="s">
        <v>8293</v>
      </c>
      <c r="E576" t="s">
        <v>8294</v>
      </c>
      <c r="F576" t="s">
        <v>8295</v>
      </c>
      <c r="G576">
        <v>1</v>
      </c>
    </row>
    <row r="577" spans="1:7">
      <c r="A577" s="10" t="s">
        <v>385</v>
      </c>
      <c r="C577" s="26" t="s">
        <v>4517</v>
      </c>
      <c r="D577" t="s">
        <v>8296</v>
      </c>
      <c r="E577" t="s">
        <v>8294</v>
      </c>
      <c r="F577" t="s">
        <v>4804</v>
      </c>
      <c r="G577">
        <v>0</v>
      </c>
    </row>
    <row r="578" spans="1:7">
      <c r="A578" s="9" t="s">
        <v>386</v>
      </c>
      <c r="C578" s="26" t="s">
        <v>7662</v>
      </c>
      <c r="D578" t="s">
        <v>8297</v>
      </c>
      <c r="E578" t="s">
        <v>8298</v>
      </c>
      <c r="F578" t="s">
        <v>8299</v>
      </c>
      <c r="G578">
        <v>1</v>
      </c>
    </row>
    <row r="579" spans="1:7">
      <c r="A579" s="9" t="s">
        <v>387</v>
      </c>
      <c r="C579" s="26" t="s">
        <v>7663</v>
      </c>
      <c r="D579" t="s">
        <v>8300</v>
      </c>
      <c r="E579" t="s">
        <v>8301</v>
      </c>
      <c r="F579" t="s">
        <v>8302</v>
      </c>
      <c r="G579">
        <v>2</v>
      </c>
    </row>
    <row r="580" spans="1:7">
      <c r="A580" s="11"/>
      <c r="C580" s="26" t="s">
        <v>7664</v>
      </c>
      <c r="D580" t="s">
        <v>8303</v>
      </c>
      <c r="E580" t="s">
        <v>8304</v>
      </c>
      <c r="F580" t="s">
        <v>8305</v>
      </c>
      <c r="G580">
        <v>0</v>
      </c>
    </row>
    <row r="581" spans="1:7">
      <c r="A581" s="9" t="s">
        <v>388</v>
      </c>
      <c r="C581" s="26" t="s">
        <v>7665</v>
      </c>
      <c r="D581" t="s">
        <v>8306</v>
      </c>
      <c r="E581" t="s">
        <v>8307</v>
      </c>
      <c r="F581" t="s">
        <v>8308</v>
      </c>
      <c r="G581">
        <v>2</v>
      </c>
    </row>
    <row r="582" spans="1:7">
      <c r="A582" s="9" t="s">
        <v>389</v>
      </c>
      <c r="C582" s="26" t="s">
        <v>7666</v>
      </c>
      <c r="D582" t="s">
        <v>8309</v>
      </c>
      <c r="E582" t="s">
        <v>8310</v>
      </c>
      <c r="F582" t="s">
        <v>8311</v>
      </c>
      <c r="G582">
        <v>0</v>
      </c>
    </row>
    <row r="583" spans="1:7">
      <c r="A583" s="10" t="s">
        <v>390</v>
      </c>
      <c r="C583" s="26" t="s">
        <v>7667</v>
      </c>
      <c r="D583" t="s">
        <v>8312</v>
      </c>
      <c r="E583" t="s">
        <v>8313</v>
      </c>
      <c r="F583" t="s">
        <v>8314</v>
      </c>
      <c r="G583">
        <v>2</v>
      </c>
    </row>
    <row r="584" spans="1:7">
      <c r="A584" s="9" t="s">
        <v>391</v>
      </c>
      <c r="C584" s="26" t="s">
        <v>8317</v>
      </c>
      <c r="D584" t="s">
        <v>8315</v>
      </c>
      <c r="E584" t="s">
        <v>8316</v>
      </c>
      <c r="F584" t="s">
        <v>6091</v>
      </c>
      <c r="G584">
        <v>2</v>
      </c>
    </row>
    <row r="585" spans="1:7">
      <c r="A585" s="11"/>
    </row>
    <row r="586" spans="1:7">
      <c r="A586" s="9" t="s">
        <v>392</v>
      </c>
    </row>
    <row r="587" spans="1:7">
      <c r="A587" s="9" t="s">
        <v>393</v>
      </c>
    </row>
    <row r="588" spans="1:7">
      <c r="A588" s="10" t="s">
        <v>394</v>
      </c>
    </row>
    <row r="589" spans="1:7">
      <c r="A589" s="9" t="s">
        <v>395</v>
      </c>
    </row>
    <row r="590" spans="1:7">
      <c r="A590" s="11"/>
    </row>
    <row r="591" spans="1:7">
      <c r="A591" s="9" t="s">
        <v>396</v>
      </c>
    </row>
    <row r="592" spans="1:7">
      <c r="A592" s="9" t="s">
        <v>397</v>
      </c>
    </row>
    <row r="593" spans="1:1">
      <c r="A593" s="9" t="s">
        <v>398</v>
      </c>
    </row>
    <row r="594" spans="1:1">
      <c r="A594" s="10" t="s">
        <v>399</v>
      </c>
    </row>
    <row r="595" spans="1:1">
      <c r="A595" s="11"/>
    </row>
    <row r="596" spans="1:1">
      <c r="A596" s="9" t="s">
        <v>400</v>
      </c>
    </row>
    <row r="597" spans="1:1">
      <c r="A597" s="9" t="s">
        <v>401</v>
      </c>
    </row>
    <row r="598" spans="1:1">
      <c r="A598" s="9" t="s">
        <v>402</v>
      </c>
    </row>
    <row r="599" spans="1:1">
      <c r="A599" s="10" t="s">
        <v>403</v>
      </c>
    </row>
    <row r="600" spans="1:1">
      <c r="A600" s="11"/>
    </row>
    <row r="601" spans="1:1">
      <c r="A601" s="9" t="s">
        <v>404</v>
      </c>
    </row>
    <row r="602" spans="1:1">
      <c r="A602" s="9" t="s">
        <v>405</v>
      </c>
    </row>
    <row r="603" spans="1:1">
      <c r="A603" s="9" t="s">
        <v>406</v>
      </c>
    </row>
    <row r="604" spans="1:1">
      <c r="A604" s="10" t="s">
        <v>407</v>
      </c>
    </row>
    <row r="605" spans="1:1">
      <c r="A605" s="11"/>
    </row>
    <row r="606" spans="1:1">
      <c r="A606" s="9" t="s">
        <v>408</v>
      </c>
    </row>
    <row r="607" spans="1:1">
      <c r="A607" s="9" t="s">
        <v>409</v>
      </c>
    </row>
    <row r="608" spans="1:1">
      <c r="A608" s="9" t="s">
        <v>410</v>
      </c>
    </row>
    <row r="609" spans="1:1">
      <c r="A609" s="10" t="s">
        <v>411</v>
      </c>
    </row>
    <row r="610" spans="1:1">
      <c r="A610" s="11"/>
    </row>
    <row r="611" spans="1:1">
      <c r="A611" s="9" t="s">
        <v>412</v>
      </c>
    </row>
    <row r="612" spans="1:1">
      <c r="A612" s="9" t="s">
        <v>413</v>
      </c>
    </row>
    <row r="613" spans="1:1">
      <c r="A613" s="9" t="s">
        <v>414</v>
      </c>
    </row>
    <row r="614" spans="1:1">
      <c r="A614" s="10" t="s">
        <v>415</v>
      </c>
    </row>
    <row r="615" spans="1:1">
      <c r="A615" s="10"/>
    </row>
    <row r="616" spans="1:1">
      <c r="A616" s="9" t="s">
        <v>416</v>
      </c>
    </row>
    <row r="617" spans="1:1">
      <c r="A617" s="10" t="s">
        <v>417</v>
      </c>
    </row>
    <row r="618" spans="1:1">
      <c r="A618" s="9" t="s">
        <v>418</v>
      </c>
    </row>
    <row r="619" spans="1:1">
      <c r="A619" s="9" t="s">
        <v>419</v>
      </c>
    </row>
    <row r="620" spans="1:1">
      <c r="A620" s="11"/>
    </row>
    <row r="621" spans="1:1">
      <c r="A621" s="9" t="s">
        <v>420</v>
      </c>
    </row>
    <row r="622" spans="1:1">
      <c r="A622" s="10" t="s">
        <v>421</v>
      </c>
    </row>
    <row r="623" spans="1:1">
      <c r="A623" s="14" t="s">
        <v>422</v>
      </c>
    </row>
    <row r="624" spans="1:1">
      <c r="A624" s="14" t="s">
        <v>423</v>
      </c>
    </row>
    <row r="625" spans="1:1">
      <c r="A625" s="11"/>
    </row>
    <row r="626" spans="1:1">
      <c r="A626" s="9" t="s">
        <v>424</v>
      </c>
    </row>
    <row r="627" spans="1:1">
      <c r="A627" s="9" t="s">
        <v>425</v>
      </c>
    </row>
    <row r="628" spans="1:1">
      <c r="A628" s="9" t="s">
        <v>426</v>
      </c>
    </row>
    <row r="629" spans="1:1">
      <c r="A629" s="10" t="s">
        <v>427</v>
      </c>
    </row>
    <row r="630" spans="1:1">
      <c r="A630" s="11"/>
    </row>
    <row r="631" spans="1:1">
      <c r="A631" s="9" t="s">
        <v>428</v>
      </c>
    </row>
    <row r="632" spans="1:1">
      <c r="A632" s="10" t="s">
        <v>429</v>
      </c>
    </row>
    <row r="633" spans="1:1">
      <c r="A633" s="9" t="s">
        <v>430</v>
      </c>
    </row>
    <row r="634" spans="1:1">
      <c r="A634" s="9" t="s">
        <v>431</v>
      </c>
    </row>
    <row r="635" spans="1:1">
      <c r="A635" s="11"/>
    </row>
    <row r="636" spans="1:1">
      <c r="A636" s="9" t="s">
        <v>432</v>
      </c>
    </row>
    <row r="637" spans="1:1">
      <c r="A637" s="9" t="s">
        <v>433</v>
      </c>
    </row>
    <row r="638" spans="1:1">
      <c r="A638" s="9" t="s">
        <v>434</v>
      </c>
    </row>
    <row r="639" spans="1:1">
      <c r="A639" s="10" t="s">
        <v>435</v>
      </c>
    </row>
    <row r="640" spans="1:1">
      <c r="A640" s="11"/>
    </row>
    <row r="641" spans="1:1">
      <c r="A641" s="9" t="s">
        <v>436</v>
      </c>
    </row>
    <row r="642" spans="1:1">
      <c r="A642" s="9" t="s">
        <v>437</v>
      </c>
    </row>
    <row r="643" spans="1:1">
      <c r="A643" s="9" t="s">
        <v>438</v>
      </c>
    </row>
    <row r="644" spans="1:1">
      <c r="A644" s="10" t="s">
        <v>439</v>
      </c>
    </row>
    <row r="645" spans="1:1">
      <c r="A645" s="11"/>
    </row>
    <row r="646" spans="1:1">
      <c r="A646" s="9" t="s">
        <v>440</v>
      </c>
    </row>
    <row r="647" spans="1:1">
      <c r="A647" s="9" t="s">
        <v>441</v>
      </c>
    </row>
    <row r="648" spans="1:1">
      <c r="A648" s="10" t="s">
        <v>208</v>
      </c>
    </row>
    <row r="649" spans="1:1">
      <c r="A649" s="9" t="s">
        <v>93</v>
      </c>
    </row>
    <row r="650" spans="1:1">
      <c r="A650" s="11"/>
    </row>
    <row r="651" spans="1:1">
      <c r="A651" s="9" t="s">
        <v>442</v>
      </c>
    </row>
    <row r="652" spans="1:1">
      <c r="A652" s="9" t="s">
        <v>443</v>
      </c>
    </row>
    <row r="653" spans="1:1">
      <c r="A653" s="10" t="s">
        <v>444</v>
      </c>
    </row>
    <row r="654" spans="1:1">
      <c r="A654" s="9" t="s">
        <v>445</v>
      </c>
    </row>
    <row r="655" spans="1:1">
      <c r="A655" s="11"/>
    </row>
    <row r="656" spans="1:1">
      <c r="A656" s="9" t="s">
        <v>446</v>
      </c>
    </row>
    <row r="657" spans="1:1">
      <c r="A657" s="10" t="s">
        <v>447</v>
      </c>
    </row>
    <row r="658" spans="1:1">
      <c r="A658" s="9" t="s">
        <v>448</v>
      </c>
    </row>
    <row r="659" spans="1:1">
      <c r="A659" s="9" t="s">
        <v>449</v>
      </c>
    </row>
    <row r="660" spans="1:1">
      <c r="A660" s="11"/>
    </row>
    <row r="661" spans="1:1">
      <c r="A661" s="9" t="s">
        <v>450</v>
      </c>
    </row>
    <row r="662" spans="1:1">
      <c r="A662" s="10" t="s">
        <v>451</v>
      </c>
    </row>
    <row r="663" spans="1:1">
      <c r="A663" s="9" t="s">
        <v>452</v>
      </c>
    </row>
    <row r="664" spans="1:1">
      <c r="A664" s="9" t="s">
        <v>453</v>
      </c>
    </row>
    <row r="665" spans="1:1">
      <c r="A665" s="11"/>
    </row>
    <row r="666" spans="1:1">
      <c r="A666" s="9" t="s">
        <v>454</v>
      </c>
    </row>
    <row r="667" spans="1:1">
      <c r="A667" s="10" t="s">
        <v>455</v>
      </c>
    </row>
    <row r="668" spans="1:1">
      <c r="A668" s="9" t="s">
        <v>456</v>
      </c>
    </row>
    <row r="669" spans="1:1">
      <c r="A669" s="9" t="s">
        <v>457</v>
      </c>
    </row>
    <row r="670" spans="1:1">
      <c r="A670" s="11"/>
    </row>
    <row r="671" spans="1:1">
      <c r="A671" s="9" t="s">
        <v>458</v>
      </c>
    </row>
    <row r="672" spans="1:1">
      <c r="A672" s="9" t="s">
        <v>459</v>
      </c>
    </row>
    <row r="673" spans="1:1">
      <c r="A673" s="10" t="s">
        <v>460</v>
      </c>
    </row>
    <row r="674" spans="1:1">
      <c r="A674" s="9" t="s">
        <v>461</v>
      </c>
    </row>
    <row r="675" spans="1:1">
      <c r="A675" s="11"/>
    </row>
    <row r="676" spans="1:1">
      <c r="A676" s="9" t="s">
        <v>462</v>
      </c>
    </row>
    <row r="677" spans="1:1">
      <c r="A677" s="9" t="s">
        <v>463</v>
      </c>
    </row>
    <row r="678" spans="1:1">
      <c r="A678" s="9" t="s">
        <v>464</v>
      </c>
    </row>
    <row r="679" spans="1:1">
      <c r="A679" s="10" t="s">
        <v>465</v>
      </c>
    </row>
    <row r="680" spans="1:1">
      <c r="A680" s="11"/>
    </row>
    <row r="681" spans="1:1">
      <c r="A681" s="9" t="s">
        <v>466</v>
      </c>
    </row>
    <row r="682" spans="1:1">
      <c r="A682" s="9" t="s">
        <v>467</v>
      </c>
    </row>
    <row r="683" spans="1:1">
      <c r="A683" s="9" t="s">
        <v>468</v>
      </c>
    </row>
    <row r="684" spans="1:1">
      <c r="A684" s="10" t="s">
        <v>92</v>
      </c>
    </row>
    <row r="685" spans="1:1">
      <c r="A685" s="11"/>
    </row>
    <row r="686" spans="1:1">
      <c r="A686" s="9" t="s">
        <v>469</v>
      </c>
    </row>
    <row r="687" spans="1:1">
      <c r="A687" s="9" t="s">
        <v>470</v>
      </c>
    </row>
    <row r="688" spans="1:1">
      <c r="A688" s="10" t="s">
        <v>471</v>
      </c>
    </row>
    <row r="689" spans="1:1">
      <c r="A689" s="9" t="s">
        <v>472</v>
      </c>
    </row>
    <row r="690" spans="1:1">
      <c r="A690" s="11"/>
    </row>
    <row r="691" spans="1:1">
      <c r="A691" s="9" t="s">
        <v>473</v>
      </c>
    </row>
    <row r="692" spans="1:1">
      <c r="A692" s="9" t="s">
        <v>474</v>
      </c>
    </row>
    <row r="693" spans="1:1">
      <c r="A693" s="9" t="s">
        <v>475</v>
      </c>
    </row>
    <row r="694" spans="1:1">
      <c r="A694" s="10" t="s">
        <v>476</v>
      </c>
    </row>
    <row r="695" spans="1:1">
      <c r="A695" s="11"/>
    </row>
    <row r="696" spans="1:1">
      <c r="A696" s="9" t="s">
        <v>477</v>
      </c>
    </row>
    <row r="697" spans="1:1">
      <c r="A697" s="9" t="s">
        <v>72</v>
      </c>
    </row>
    <row r="698" spans="1:1">
      <c r="A698" s="10" t="s">
        <v>478</v>
      </c>
    </row>
    <row r="699" spans="1:1">
      <c r="A699" s="9" t="s">
        <v>479</v>
      </c>
    </row>
    <row r="700" spans="1:1">
      <c r="A700" s="11"/>
    </row>
    <row r="701" spans="1:1">
      <c r="A701" s="9" t="s">
        <v>480</v>
      </c>
    </row>
    <row r="702" spans="1:1">
      <c r="A702" s="10" t="s">
        <v>481</v>
      </c>
    </row>
    <row r="703" spans="1:1">
      <c r="A703" s="9" t="s">
        <v>482</v>
      </c>
    </row>
    <row r="704" spans="1:1">
      <c r="A704" s="9" t="s">
        <v>483</v>
      </c>
    </row>
    <row r="705" spans="1:1">
      <c r="A705" s="11"/>
    </row>
    <row r="706" spans="1:1">
      <c r="A706" s="9" t="s">
        <v>484</v>
      </c>
    </row>
    <row r="707" spans="1:1">
      <c r="A707" s="9" t="s">
        <v>485</v>
      </c>
    </row>
    <row r="708" spans="1:1">
      <c r="A708" s="10" t="s">
        <v>486</v>
      </c>
    </row>
    <row r="709" spans="1:1">
      <c r="A709" s="9" t="s">
        <v>487</v>
      </c>
    </row>
    <row r="710" spans="1:1">
      <c r="A710" s="11"/>
    </row>
    <row r="711" spans="1:1">
      <c r="A711" s="9" t="s">
        <v>488</v>
      </c>
    </row>
    <row r="712" spans="1:1">
      <c r="A712" s="9" t="s">
        <v>489</v>
      </c>
    </row>
    <row r="713" spans="1:1">
      <c r="A713" s="9" t="s">
        <v>490</v>
      </c>
    </row>
    <row r="714" spans="1:1">
      <c r="A714" s="10" t="s">
        <v>491</v>
      </c>
    </row>
    <row r="715" spans="1:1">
      <c r="A715" s="11"/>
    </row>
    <row r="716" spans="1:1">
      <c r="A716" s="9" t="s">
        <v>492</v>
      </c>
    </row>
    <row r="717" spans="1:1">
      <c r="A717" s="10" t="s">
        <v>493</v>
      </c>
    </row>
    <row r="718" spans="1:1">
      <c r="A718" s="9" t="s">
        <v>494</v>
      </c>
    </row>
    <row r="719" spans="1:1">
      <c r="A719" s="9" t="s">
        <v>495</v>
      </c>
    </row>
    <row r="720" spans="1:1">
      <c r="A720" s="11"/>
    </row>
    <row r="721" spans="1:1">
      <c r="A721" s="9" t="s">
        <v>496</v>
      </c>
    </row>
    <row r="722" spans="1:1">
      <c r="A722" s="10" t="s">
        <v>497</v>
      </c>
    </row>
    <row r="723" spans="1:1">
      <c r="A723" s="9" t="s">
        <v>498</v>
      </c>
    </row>
    <row r="724" spans="1:1">
      <c r="A724" s="9" t="s">
        <v>499</v>
      </c>
    </row>
    <row r="725" spans="1:1">
      <c r="A725" s="11"/>
    </row>
    <row r="726" spans="1:1">
      <c r="A726" s="9" t="s">
        <v>500</v>
      </c>
    </row>
    <row r="727" spans="1:1">
      <c r="A727" s="9" t="s">
        <v>501</v>
      </c>
    </row>
    <row r="728" spans="1:1">
      <c r="A728" s="10" t="s">
        <v>502</v>
      </c>
    </row>
    <row r="729" spans="1:1">
      <c r="A729" s="9" t="s">
        <v>503</v>
      </c>
    </row>
    <row r="730" spans="1:1">
      <c r="A730" s="11"/>
    </row>
    <row r="731" spans="1:1">
      <c r="A731" s="9" t="s">
        <v>504</v>
      </c>
    </row>
    <row r="732" spans="1:1">
      <c r="A732" s="10" t="s">
        <v>505</v>
      </c>
    </row>
    <row r="733" spans="1:1">
      <c r="A733" s="9" t="s">
        <v>506</v>
      </c>
    </row>
    <row r="734" spans="1:1">
      <c r="A734" s="9" t="s">
        <v>507</v>
      </c>
    </row>
    <row r="735" spans="1:1">
      <c r="A735" s="9"/>
    </row>
    <row r="736" spans="1:1">
      <c r="A736" s="9" t="s">
        <v>508</v>
      </c>
    </row>
    <row r="737" spans="1:1">
      <c r="A737" s="9" t="s">
        <v>509</v>
      </c>
    </row>
    <row r="738" spans="1:1">
      <c r="A738" s="9" t="s">
        <v>510</v>
      </c>
    </row>
    <row r="739" spans="1:1">
      <c r="A739" s="10" t="s">
        <v>511</v>
      </c>
    </row>
    <row r="740" spans="1:1">
      <c r="A740" s="11"/>
    </row>
    <row r="741" spans="1:1">
      <c r="A741" s="9" t="s">
        <v>512</v>
      </c>
    </row>
    <row r="742" spans="1:1">
      <c r="A742" s="9" t="s">
        <v>513</v>
      </c>
    </row>
    <row r="743" spans="1:1">
      <c r="A743" s="10" t="s">
        <v>514</v>
      </c>
    </row>
    <row r="744" spans="1:1">
      <c r="A744" s="9" t="s">
        <v>515</v>
      </c>
    </row>
    <row r="745" spans="1:1">
      <c r="A745" s="11"/>
    </row>
    <row r="746" spans="1:1">
      <c r="A746" s="9" t="s">
        <v>516</v>
      </c>
    </row>
    <row r="747" spans="1:1">
      <c r="A747" s="9" t="s">
        <v>517</v>
      </c>
    </row>
    <row r="748" spans="1:1">
      <c r="A748" s="9" t="s">
        <v>518</v>
      </c>
    </row>
    <row r="749" spans="1:1">
      <c r="A749" s="10" t="s">
        <v>519</v>
      </c>
    </row>
    <row r="750" spans="1:1">
      <c r="A750" s="11"/>
    </row>
    <row r="751" spans="1:1">
      <c r="A751" s="9" t="s">
        <v>520</v>
      </c>
    </row>
    <row r="752" spans="1:1">
      <c r="A752" s="9" t="s">
        <v>521</v>
      </c>
    </row>
    <row r="753" spans="1:1">
      <c r="A753" s="9" t="s">
        <v>522</v>
      </c>
    </row>
    <row r="754" spans="1:1">
      <c r="A754" s="10" t="s">
        <v>523</v>
      </c>
    </row>
    <row r="755" spans="1:1">
      <c r="A755" s="11"/>
    </row>
    <row r="756" spans="1:1">
      <c r="A756" s="9" t="s">
        <v>524</v>
      </c>
    </row>
    <row r="757" spans="1:1">
      <c r="A757" s="10" t="s">
        <v>525</v>
      </c>
    </row>
    <row r="758" spans="1:1">
      <c r="A758" s="9" t="s">
        <v>526</v>
      </c>
    </row>
    <row r="759" spans="1:1">
      <c r="A759" s="9" t="s">
        <v>527</v>
      </c>
    </row>
    <row r="760" spans="1:1">
      <c r="A760" s="11"/>
    </row>
    <row r="761" spans="1:1">
      <c r="A761" s="9" t="s">
        <v>528</v>
      </c>
    </row>
    <row r="762" spans="1:1">
      <c r="A762" s="9" t="s">
        <v>529</v>
      </c>
    </row>
    <row r="763" spans="1:1">
      <c r="A763" s="9" t="s">
        <v>441</v>
      </c>
    </row>
    <row r="764" spans="1:1">
      <c r="A764" s="10" t="s">
        <v>208</v>
      </c>
    </row>
    <row r="765" spans="1:1">
      <c r="A765" s="11"/>
    </row>
    <row r="766" spans="1:1">
      <c r="A766" s="9" t="s">
        <v>530</v>
      </c>
    </row>
    <row r="767" spans="1:1">
      <c r="A767" s="10" t="s">
        <v>531</v>
      </c>
    </row>
    <row r="768" spans="1:1">
      <c r="A768" s="9" t="s">
        <v>532</v>
      </c>
    </row>
    <row r="769" spans="1:1">
      <c r="A769" s="9" t="s">
        <v>533</v>
      </c>
    </row>
    <row r="770" spans="1:1">
      <c r="A770" s="11"/>
    </row>
    <row r="771" spans="1:1">
      <c r="A771" s="9" t="s">
        <v>534</v>
      </c>
    </row>
    <row r="772" spans="1:1">
      <c r="A772" s="9" t="s">
        <v>535</v>
      </c>
    </row>
    <row r="773" spans="1:1">
      <c r="A773" s="10" t="s">
        <v>536</v>
      </c>
    </row>
    <row r="774" spans="1:1">
      <c r="A774" s="9" t="s">
        <v>537</v>
      </c>
    </row>
    <row r="775" spans="1:1">
      <c r="A775" s="11"/>
    </row>
    <row r="776" spans="1:1">
      <c r="A776" s="9" t="s">
        <v>538</v>
      </c>
    </row>
    <row r="777" spans="1:1">
      <c r="A777" s="9" t="s">
        <v>539</v>
      </c>
    </row>
    <row r="778" spans="1:1">
      <c r="A778" s="10" t="s">
        <v>540</v>
      </c>
    </row>
    <row r="779" spans="1:1">
      <c r="A779" s="9" t="s">
        <v>541</v>
      </c>
    </row>
    <row r="780" spans="1:1">
      <c r="A780" s="11"/>
    </row>
    <row r="781" spans="1:1">
      <c r="A781" s="9" t="s">
        <v>542</v>
      </c>
    </row>
    <row r="782" spans="1:1">
      <c r="A782" s="9" t="s">
        <v>543</v>
      </c>
    </row>
    <row r="783" spans="1:1">
      <c r="A783" s="9" t="s">
        <v>544</v>
      </c>
    </row>
    <row r="784" spans="1:1">
      <c r="A784" s="10" t="s">
        <v>545</v>
      </c>
    </row>
    <row r="785" spans="1:1">
      <c r="A785" s="11"/>
    </row>
    <row r="786" spans="1:1">
      <c r="A786" s="9" t="s">
        <v>546</v>
      </c>
    </row>
    <row r="787" spans="1:1">
      <c r="A787" s="9" t="s">
        <v>547</v>
      </c>
    </row>
    <row r="788" spans="1:1">
      <c r="A788" s="10" t="s">
        <v>548</v>
      </c>
    </row>
    <row r="789" spans="1:1">
      <c r="A789" s="9" t="s">
        <v>549</v>
      </c>
    </row>
    <row r="790" spans="1:1">
      <c r="A790" s="11"/>
    </row>
    <row r="791" spans="1:1">
      <c r="A791" s="9" t="s">
        <v>550</v>
      </c>
    </row>
    <row r="792" spans="1:1">
      <c r="A792" s="10" t="s">
        <v>551</v>
      </c>
    </row>
    <row r="793" spans="1:1">
      <c r="A793" s="9" t="s">
        <v>552</v>
      </c>
    </row>
    <row r="794" spans="1:1">
      <c r="A794" s="9" t="s">
        <v>553</v>
      </c>
    </row>
    <row r="795" spans="1:1">
      <c r="A795" s="11"/>
    </row>
    <row r="796" spans="1:1">
      <c r="A796" s="9" t="s">
        <v>554</v>
      </c>
    </row>
    <row r="797" spans="1:1">
      <c r="A797" s="9" t="s">
        <v>555</v>
      </c>
    </row>
    <row r="798" spans="1:1">
      <c r="A798" s="9" t="s">
        <v>556</v>
      </c>
    </row>
    <row r="799" spans="1:1">
      <c r="A799" s="10" t="s">
        <v>557</v>
      </c>
    </row>
    <row r="800" spans="1:1">
      <c r="A800" s="11"/>
    </row>
    <row r="801" spans="1:1">
      <c r="A801" s="9" t="s">
        <v>558</v>
      </c>
    </row>
    <row r="802" spans="1:1">
      <c r="A802" s="9" t="s">
        <v>559</v>
      </c>
    </row>
    <row r="803" spans="1:1">
      <c r="A803" s="9" t="s">
        <v>560</v>
      </c>
    </row>
    <row r="804" spans="1:1">
      <c r="A804" s="10" t="s">
        <v>561</v>
      </c>
    </row>
    <row r="805" spans="1:1">
      <c r="A805" s="11"/>
    </row>
    <row r="806" spans="1:1">
      <c r="A806" s="9" t="s">
        <v>562</v>
      </c>
    </row>
    <row r="807" spans="1:1">
      <c r="A807" s="10" t="s">
        <v>563</v>
      </c>
    </row>
    <row r="808" spans="1:1">
      <c r="A808" s="9" t="s">
        <v>564</v>
      </c>
    </row>
    <row r="809" spans="1:1">
      <c r="A809" s="9" t="s">
        <v>565</v>
      </c>
    </row>
    <row r="810" spans="1:1">
      <c r="A810" s="11"/>
    </row>
    <row r="811" spans="1:1">
      <c r="A811" s="9" t="s">
        <v>566</v>
      </c>
    </row>
    <row r="812" spans="1:1">
      <c r="A812" s="9" t="s">
        <v>567</v>
      </c>
    </row>
    <row r="813" spans="1:1">
      <c r="A813" s="9" t="s">
        <v>568</v>
      </c>
    </row>
    <row r="814" spans="1:1">
      <c r="A814" s="10" t="s">
        <v>569</v>
      </c>
    </row>
    <row r="815" spans="1:1">
      <c r="A815" s="11"/>
    </row>
    <row r="816" spans="1:1">
      <c r="A816" s="9" t="s">
        <v>570</v>
      </c>
    </row>
    <row r="817" spans="1:1">
      <c r="A817" s="10" t="s">
        <v>571</v>
      </c>
    </row>
    <row r="818" spans="1:1">
      <c r="A818" s="9" t="s">
        <v>572</v>
      </c>
    </row>
    <row r="819" spans="1:1">
      <c r="A819" s="9" t="s">
        <v>573</v>
      </c>
    </row>
    <row r="820" spans="1:1">
      <c r="A820" s="11"/>
    </row>
    <row r="821" spans="1:1">
      <c r="A821" s="9" t="s">
        <v>574</v>
      </c>
    </row>
    <row r="822" spans="1:1">
      <c r="A822" s="10" t="s">
        <v>575</v>
      </c>
    </row>
    <row r="823" spans="1:1">
      <c r="A823" s="9" t="s">
        <v>576</v>
      </c>
    </row>
    <row r="824" spans="1:1">
      <c r="A824" s="9" t="s">
        <v>577</v>
      </c>
    </row>
    <row r="825" spans="1:1">
      <c r="A825" s="11"/>
    </row>
    <row r="826" spans="1:1">
      <c r="A826" s="9" t="s">
        <v>578</v>
      </c>
    </row>
    <row r="827" spans="1:1">
      <c r="A827" s="9" t="s">
        <v>579</v>
      </c>
    </row>
    <row r="828" spans="1:1">
      <c r="A828" s="9" t="s">
        <v>580</v>
      </c>
    </row>
    <row r="829" spans="1:1">
      <c r="A829" s="10" t="s">
        <v>581</v>
      </c>
    </row>
    <row r="830" spans="1:1">
      <c r="A830" s="11"/>
    </row>
    <row r="831" spans="1:1">
      <c r="A831" s="9" t="s">
        <v>582</v>
      </c>
    </row>
    <row r="832" spans="1:1">
      <c r="A832" s="10" t="s">
        <v>583</v>
      </c>
    </row>
    <row r="833" spans="1:1">
      <c r="A833" s="9" t="s">
        <v>584</v>
      </c>
    </row>
    <row r="834" spans="1:1">
      <c r="A834" s="9" t="s">
        <v>585</v>
      </c>
    </row>
    <row r="835" spans="1:1">
      <c r="A835" s="11"/>
    </row>
    <row r="836" spans="1:1">
      <c r="A836" s="9" t="s">
        <v>586</v>
      </c>
    </row>
    <row r="837" spans="1:1">
      <c r="A837" s="9" t="s">
        <v>587</v>
      </c>
    </row>
    <row r="838" spans="1:1">
      <c r="A838" s="10" t="s">
        <v>588</v>
      </c>
    </row>
    <row r="839" spans="1:1">
      <c r="A839" s="9" t="s">
        <v>589</v>
      </c>
    </row>
    <row r="840" spans="1:1">
      <c r="A840" s="11"/>
    </row>
    <row r="841" spans="1:1">
      <c r="A841" s="9" t="s">
        <v>590</v>
      </c>
    </row>
    <row r="842" spans="1:1">
      <c r="A842" s="9" t="s">
        <v>591</v>
      </c>
    </row>
    <row r="843" spans="1:1">
      <c r="A843" s="9" t="s">
        <v>592</v>
      </c>
    </row>
    <row r="844" spans="1:1">
      <c r="A844" s="10" t="s">
        <v>593</v>
      </c>
    </row>
    <row r="845" spans="1:1">
      <c r="A845" s="11"/>
    </row>
    <row r="846" spans="1:1">
      <c r="A846" s="9" t="s">
        <v>594</v>
      </c>
    </row>
    <row r="847" spans="1:1">
      <c r="A847" s="9" t="s">
        <v>595</v>
      </c>
    </row>
    <row r="848" spans="1:1">
      <c r="A848" s="10" t="s">
        <v>596</v>
      </c>
    </row>
    <row r="849" spans="1:1">
      <c r="A849" s="9" t="s">
        <v>597</v>
      </c>
    </row>
    <row r="850" spans="1:1">
      <c r="A850" s="11"/>
    </row>
    <row r="851" spans="1:1">
      <c r="A851" s="9" t="s">
        <v>598</v>
      </c>
    </row>
    <row r="852" spans="1:1">
      <c r="A852" s="10" t="s">
        <v>599</v>
      </c>
    </row>
    <row r="853" spans="1:1">
      <c r="A853" s="9" t="s">
        <v>600</v>
      </c>
    </row>
    <row r="854" spans="1:1">
      <c r="A854" s="9" t="s">
        <v>468</v>
      </c>
    </row>
    <row r="855" spans="1:1">
      <c r="A855" s="11"/>
    </row>
    <row r="856" spans="1:1">
      <c r="A856" s="9" t="s">
        <v>601</v>
      </c>
    </row>
    <row r="857" spans="1:1">
      <c r="A857" s="9" t="s">
        <v>602</v>
      </c>
    </row>
    <row r="858" spans="1:1">
      <c r="A858" s="10" t="s">
        <v>603</v>
      </c>
    </row>
    <row r="859" spans="1:1">
      <c r="A859" s="9" t="s">
        <v>604</v>
      </c>
    </row>
    <row r="860" spans="1:1">
      <c r="A860" s="11"/>
    </row>
    <row r="861" spans="1:1">
      <c r="A861" s="9" t="s">
        <v>605</v>
      </c>
    </row>
    <row r="862" spans="1:1">
      <c r="A862" s="9" t="s">
        <v>606</v>
      </c>
    </row>
    <row r="863" spans="1:1">
      <c r="A863" s="10" t="s">
        <v>607</v>
      </c>
    </row>
    <row r="864" spans="1:1">
      <c r="A864" s="9" t="s">
        <v>608</v>
      </c>
    </row>
    <row r="865" spans="1:1">
      <c r="A865" s="11"/>
    </row>
    <row r="866" spans="1:1">
      <c r="A866" s="9" t="s">
        <v>609</v>
      </c>
    </row>
    <row r="867" spans="1:1">
      <c r="A867" s="10" t="s">
        <v>610</v>
      </c>
    </row>
    <row r="868" spans="1:1">
      <c r="A868" s="9" t="s">
        <v>611</v>
      </c>
    </row>
    <row r="869" spans="1:1">
      <c r="A869" s="9" t="s">
        <v>612</v>
      </c>
    </row>
    <row r="870" spans="1:1">
      <c r="A870" s="11"/>
    </row>
    <row r="871" spans="1:1">
      <c r="A871" s="9" t="s">
        <v>613</v>
      </c>
    </row>
    <row r="872" spans="1:1">
      <c r="A872" s="9" t="s">
        <v>614</v>
      </c>
    </row>
    <row r="873" spans="1:1">
      <c r="A873" s="10" t="s">
        <v>615</v>
      </c>
    </row>
    <row r="874" spans="1:1">
      <c r="A874" s="9" t="s">
        <v>616</v>
      </c>
    </row>
    <row r="875" spans="1:1">
      <c r="A875" s="11"/>
    </row>
    <row r="876" spans="1:1">
      <c r="A876" s="9" t="s">
        <v>617</v>
      </c>
    </row>
    <row r="877" spans="1:1">
      <c r="A877" s="9" t="s">
        <v>618</v>
      </c>
    </row>
    <row r="878" spans="1:1">
      <c r="A878" s="10" t="s">
        <v>619</v>
      </c>
    </row>
    <row r="879" spans="1:1">
      <c r="A879" s="9" t="s">
        <v>620</v>
      </c>
    </row>
    <row r="880" spans="1:1">
      <c r="A880" s="11"/>
    </row>
    <row r="881" spans="1:1">
      <c r="A881" s="9" t="s">
        <v>621</v>
      </c>
    </row>
    <row r="882" spans="1:1">
      <c r="A882" s="9" t="s">
        <v>622</v>
      </c>
    </row>
    <row r="883" spans="1:1">
      <c r="A883" s="9" t="s">
        <v>623</v>
      </c>
    </row>
    <row r="884" spans="1:1">
      <c r="A884" s="10" t="s">
        <v>624</v>
      </c>
    </row>
    <row r="885" spans="1:1">
      <c r="A885" s="11"/>
    </row>
    <row r="886" spans="1:1">
      <c r="A886" s="9" t="s">
        <v>625</v>
      </c>
    </row>
    <row r="887" spans="1:1">
      <c r="A887" s="9" t="s">
        <v>626</v>
      </c>
    </row>
    <row r="888" spans="1:1">
      <c r="A888" s="9" t="s">
        <v>627</v>
      </c>
    </row>
    <row r="889" spans="1:1">
      <c r="A889" s="10" t="s">
        <v>628</v>
      </c>
    </row>
    <row r="890" spans="1:1">
      <c r="A890" s="11"/>
    </row>
    <row r="891" spans="1:1">
      <c r="A891" s="9" t="s">
        <v>629</v>
      </c>
    </row>
    <row r="892" spans="1:1">
      <c r="A892" s="10" t="s">
        <v>630</v>
      </c>
    </row>
    <row r="893" spans="1:1">
      <c r="A893" s="9" t="s">
        <v>631</v>
      </c>
    </row>
    <row r="894" spans="1:1">
      <c r="A894" s="9" t="s">
        <v>632</v>
      </c>
    </row>
    <row r="895" spans="1:1">
      <c r="A895" s="11"/>
    </row>
    <row r="896" spans="1:1">
      <c r="A896" s="9" t="s">
        <v>633</v>
      </c>
    </row>
    <row r="897" spans="1:1">
      <c r="A897" s="9" t="s">
        <v>634</v>
      </c>
    </row>
    <row r="898" spans="1:1">
      <c r="A898" s="10" t="s">
        <v>635</v>
      </c>
    </row>
    <row r="899" spans="1:1">
      <c r="A899" s="9" t="s">
        <v>636</v>
      </c>
    </row>
    <row r="900" spans="1:1">
      <c r="A900" s="11"/>
    </row>
    <row r="901" spans="1:1">
      <c r="A901" s="9" t="s">
        <v>637</v>
      </c>
    </row>
    <row r="902" spans="1:1">
      <c r="A902" s="10" t="s">
        <v>638</v>
      </c>
    </row>
    <row r="903" spans="1:1">
      <c r="A903" s="9" t="s">
        <v>639</v>
      </c>
    </row>
    <row r="904" spans="1:1">
      <c r="A904" s="9" t="s">
        <v>640</v>
      </c>
    </row>
    <row r="905" spans="1:1">
      <c r="A905" s="11"/>
    </row>
    <row r="906" spans="1:1">
      <c r="A906" s="9" t="s">
        <v>641</v>
      </c>
    </row>
    <row r="907" spans="1:1">
      <c r="A907" s="10" t="s">
        <v>642</v>
      </c>
    </row>
    <row r="908" spans="1:1">
      <c r="A908" s="9" t="s">
        <v>643</v>
      </c>
    </row>
    <row r="909" spans="1:1">
      <c r="A909" s="9" t="s">
        <v>644</v>
      </c>
    </row>
    <row r="910" spans="1:1">
      <c r="A910" s="11"/>
    </row>
    <row r="911" spans="1:1">
      <c r="A911" s="9" t="s">
        <v>645</v>
      </c>
    </row>
    <row r="912" spans="1:1">
      <c r="A912" s="9" t="s">
        <v>646</v>
      </c>
    </row>
    <row r="913" spans="1:1">
      <c r="A913" s="10" t="s">
        <v>647</v>
      </c>
    </row>
    <row r="914" spans="1:1">
      <c r="A914" s="9" t="s">
        <v>648</v>
      </c>
    </row>
    <row r="915" spans="1:1">
      <c r="A915" s="11"/>
    </row>
    <row r="916" spans="1:1">
      <c r="A916" s="9" t="s">
        <v>4326</v>
      </c>
    </row>
    <row r="917" spans="1:1">
      <c r="A917" s="9" t="s">
        <v>649</v>
      </c>
    </row>
    <row r="918" spans="1:1">
      <c r="A918" s="10" t="s">
        <v>650</v>
      </c>
    </row>
    <row r="919" spans="1:1">
      <c r="A919" s="9" t="s">
        <v>651</v>
      </c>
    </row>
    <row r="920" spans="1:1">
      <c r="A920" s="11"/>
    </row>
    <row r="921" spans="1:1">
      <c r="A921" s="9" t="s">
        <v>652</v>
      </c>
    </row>
    <row r="922" spans="1:1">
      <c r="A922" s="9" t="s">
        <v>207</v>
      </c>
    </row>
    <row r="923" spans="1:1">
      <c r="A923" s="9" t="s">
        <v>556</v>
      </c>
    </row>
    <row r="924" spans="1:1">
      <c r="A924" s="10" t="s">
        <v>441</v>
      </c>
    </row>
    <row r="925" spans="1:1">
      <c r="A925" s="11"/>
    </row>
    <row r="926" spans="1:1">
      <c r="A926" s="9" t="s">
        <v>653</v>
      </c>
    </row>
    <row r="927" spans="1:1">
      <c r="A927" s="9" t="s">
        <v>654</v>
      </c>
    </row>
    <row r="928" spans="1:1">
      <c r="A928" s="10" t="s">
        <v>655</v>
      </c>
    </row>
    <row r="929" spans="1:1">
      <c r="A929" s="9" t="s">
        <v>656</v>
      </c>
    </row>
    <row r="930" spans="1:1">
      <c r="A930" s="11"/>
    </row>
    <row r="931" spans="1:1">
      <c r="A931" s="9" t="s">
        <v>657</v>
      </c>
    </row>
    <row r="932" spans="1:1">
      <c r="A932" s="9" t="s">
        <v>658</v>
      </c>
    </row>
    <row r="933" spans="1:1">
      <c r="A933" s="9" t="s">
        <v>659</v>
      </c>
    </row>
    <row r="934" spans="1:1">
      <c r="A934" s="10" t="s">
        <v>660</v>
      </c>
    </row>
    <row r="935" spans="1:1">
      <c r="A935" s="11"/>
    </row>
    <row r="936" spans="1:1">
      <c r="A936" s="9" t="s">
        <v>661</v>
      </c>
    </row>
    <row r="937" spans="1:1">
      <c r="A937" s="9" t="s">
        <v>662</v>
      </c>
    </row>
    <row r="938" spans="1:1">
      <c r="A938" s="9" t="s">
        <v>663</v>
      </c>
    </row>
    <row r="939" spans="1:1">
      <c r="A939" s="10" t="s">
        <v>664</v>
      </c>
    </row>
    <row r="940" spans="1:1">
      <c r="A940" s="11"/>
    </row>
    <row r="941" spans="1:1">
      <c r="A941" s="9" t="s">
        <v>665</v>
      </c>
    </row>
    <row r="942" spans="1:1">
      <c r="A942" s="9" t="s">
        <v>666</v>
      </c>
    </row>
    <row r="943" spans="1:1">
      <c r="A943" s="9" t="s">
        <v>667</v>
      </c>
    </row>
    <row r="944" spans="1:1">
      <c r="A944" s="10" t="s">
        <v>668</v>
      </c>
    </row>
    <row r="945" spans="1:1">
      <c r="A945" s="11"/>
    </row>
    <row r="946" spans="1:1">
      <c r="A946" s="9" t="s">
        <v>669</v>
      </c>
    </row>
    <row r="947" spans="1:1">
      <c r="A947" s="9" t="s">
        <v>670</v>
      </c>
    </row>
    <row r="948" spans="1:1">
      <c r="A948" s="10" t="s">
        <v>671</v>
      </c>
    </row>
    <row r="949" spans="1:1">
      <c r="A949" s="9" t="s">
        <v>672</v>
      </c>
    </row>
    <row r="950" spans="1:1">
      <c r="A950" s="11"/>
    </row>
    <row r="951" spans="1:1">
      <c r="A951" s="9" t="s">
        <v>673</v>
      </c>
    </row>
    <row r="952" spans="1:1">
      <c r="A952" s="9" t="s">
        <v>674</v>
      </c>
    </row>
    <row r="953" spans="1:1">
      <c r="A953" s="10" t="s">
        <v>675</v>
      </c>
    </row>
    <row r="954" spans="1:1">
      <c r="A954" s="9" t="s">
        <v>676</v>
      </c>
    </row>
    <row r="955" spans="1:1">
      <c r="A955" s="11"/>
    </row>
    <row r="956" spans="1:1">
      <c r="A956" s="9" t="s">
        <v>677</v>
      </c>
    </row>
    <row r="957" spans="1:1">
      <c r="A957" s="9" t="s">
        <v>678</v>
      </c>
    </row>
    <row r="958" spans="1:1">
      <c r="A958" s="10" t="s">
        <v>679</v>
      </c>
    </row>
    <row r="959" spans="1:1">
      <c r="A959" s="9" t="s">
        <v>680</v>
      </c>
    </row>
    <row r="960" spans="1:1">
      <c r="A960" s="11"/>
    </row>
    <row r="961" spans="1:1">
      <c r="A961" s="9" t="s">
        <v>681</v>
      </c>
    </row>
    <row r="962" spans="1:1">
      <c r="A962" s="9" t="s">
        <v>682</v>
      </c>
    </row>
    <row r="963" spans="1:1">
      <c r="A963" s="9" t="s">
        <v>683</v>
      </c>
    </row>
    <row r="964" spans="1:1">
      <c r="A964" s="10" t="s">
        <v>684</v>
      </c>
    </row>
    <row r="965" spans="1:1">
      <c r="A965" s="11"/>
    </row>
    <row r="966" spans="1:1">
      <c r="A966" s="9" t="s">
        <v>685</v>
      </c>
    </row>
    <row r="967" spans="1:1">
      <c r="A967" s="9" t="s">
        <v>686</v>
      </c>
    </row>
    <row r="968" spans="1:1">
      <c r="A968" s="10" t="s">
        <v>687</v>
      </c>
    </row>
    <row r="969" spans="1:1">
      <c r="A969" s="9" t="s">
        <v>688</v>
      </c>
    </row>
    <row r="970" spans="1:1">
      <c r="A970" s="11"/>
    </row>
    <row r="971" spans="1:1">
      <c r="A971" s="9" t="s">
        <v>4327</v>
      </c>
    </row>
    <row r="972" spans="1:1">
      <c r="A972" s="10" t="s">
        <v>689</v>
      </c>
    </row>
    <row r="973" spans="1:1">
      <c r="A973" s="9" t="s">
        <v>690</v>
      </c>
    </row>
    <row r="974" spans="1:1">
      <c r="A974" s="9" t="s">
        <v>691</v>
      </c>
    </row>
    <row r="975" spans="1:1">
      <c r="A975" s="9"/>
    </row>
    <row r="976" spans="1:1">
      <c r="A976" s="9" t="s">
        <v>692</v>
      </c>
    </row>
    <row r="977" spans="1:1">
      <c r="A977" s="9" t="s">
        <v>693</v>
      </c>
    </row>
    <row r="978" spans="1:1">
      <c r="A978" s="10" t="s">
        <v>694</v>
      </c>
    </row>
    <row r="979" spans="1:1">
      <c r="A979" s="9" t="s">
        <v>695</v>
      </c>
    </row>
    <row r="980" spans="1:1">
      <c r="A980" s="11"/>
    </row>
    <row r="981" spans="1:1">
      <c r="A981" s="9" t="s">
        <v>696</v>
      </c>
    </row>
    <row r="982" spans="1:1">
      <c r="A982" s="9" t="s">
        <v>697</v>
      </c>
    </row>
    <row r="983" spans="1:1">
      <c r="A983" s="9" t="s">
        <v>121</v>
      </c>
    </row>
    <row r="984" spans="1:1">
      <c r="A984" s="10" t="s">
        <v>698</v>
      </c>
    </row>
    <row r="985" spans="1:1">
      <c r="A985" s="11"/>
    </row>
    <row r="986" spans="1:1">
      <c r="A986" s="9" t="s">
        <v>699</v>
      </c>
    </row>
    <row r="987" spans="1:1">
      <c r="A987" s="9" t="s">
        <v>700</v>
      </c>
    </row>
    <row r="988" spans="1:1">
      <c r="A988" s="10" t="s">
        <v>701</v>
      </c>
    </row>
    <row r="989" spans="1:1">
      <c r="A989" s="9" t="s">
        <v>78</v>
      </c>
    </row>
    <row r="990" spans="1:1">
      <c r="A990" s="11"/>
    </row>
    <row r="991" spans="1:1">
      <c r="A991" s="9" t="s">
        <v>702</v>
      </c>
    </row>
    <row r="992" spans="1:1">
      <c r="A992" s="9" t="s">
        <v>703</v>
      </c>
    </row>
    <row r="993" spans="1:1">
      <c r="A993" s="9" t="s">
        <v>704</v>
      </c>
    </row>
    <row r="994" spans="1:1">
      <c r="A994" s="10" t="s">
        <v>705</v>
      </c>
    </row>
    <row r="995" spans="1:1">
      <c r="A995" s="9" t="s">
        <v>706</v>
      </c>
    </row>
    <row r="996" spans="1:1">
      <c r="A996" s="9" t="s">
        <v>707</v>
      </c>
    </row>
    <row r="997" spans="1:1">
      <c r="A997" s="9" t="s">
        <v>708</v>
      </c>
    </row>
    <row r="998" spans="1:1">
      <c r="A998" s="9" t="s">
        <v>709</v>
      </c>
    </row>
    <row r="999" spans="1:1">
      <c r="A999" s="10" t="s">
        <v>710</v>
      </c>
    </row>
    <row r="1000" spans="1:1">
      <c r="A1000" s="11"/>
    </row>
    <row r="1001" spans="1:1">
      <c r="A1001" s="9" t="s">
        <v>711</v>
      </c>
    </row>
    <row r="1002" spans="1:1">
      <c r="A1002" s="9" t="s">
        <v>712</v>
      </c>
    </row>
    <row r="1003" spans="1:1">
      <c r="A1003" s="9" t="s">
        <v>713</v>
      </c>
    </row>
    <row r="1004" spans="1:1">
      <c r="A1004" s="10" t="s">
        <v>714</v>
      </c>
    </row>
    <row r="1005" spans="1:1">
      <c r="A1005" s="11"/>
    </row>
    <row r="1006" spans="1:1">
      <c r="A1006" s="9" t="s">
        <v>715</v>
      </c>
    </row>
    <row r="1007" spans="1:1">
      <c r="A1007" s="9" t="s">
        <v>716</v>
      </c>
    </row>
    <row r="1008" spans="1:1">
      <c r="A1008" s="9" t="s">
        <v>717</v>
      </c>
    </row>
    <row r="1009" spans="1:1">
      <c r="A1009" s="10" t="s">
        <v>718</v>
      </c>
    </row>
    <row r="1010" spans="1:1">
      <c r="A1010" s="11"/>
    </row>
    <row r="1011" spans="1:1">
      <c r="A1011" s="9" t="s">
        <v>719</v>
      </c>
    </row>
    <row r="1012" spans="1:1">
      <c r="A1012" s="9" t="s">
        <v>720</v>
      </c>
    </row>
    <row r="1013" spans="1:1">
      <c r="A1013" s="9" t="s">
        <v>721</v>
      </c>
    </row>
    <row r="1014" spans="1:1">
      <c r="A1014" s="10" t="s">
        <v>722</v>
      </c>
    </row>
    <row r="1015" spans="1:1">
      <c r="A1015" s="11"/>
    </row>
    <row r="1016" spans="1:1">
      <c r="A1016" s="9" t="s">
        <v>723</v>
      </c>
    </row>
    <row r="1017" spans="1:1">
      <c r="A1017" s="10">
        <v>17</v>
      </c>
    </row>
    <row r="1018" spans="1:1">
      <c r="A1018" s="9">
        <v>18</v>
      </c>
    </row>
    <row r="1019" spans="1:1">
      <c r="A1019" s="9">
        <v>19</v>
      </c>
    </row>
    <row r="1020" spans="1:1">
      <c r="A1020" s="11"/>
    </row>
    <row r="1021" spans="1:1">
      <c r="A1021" s="9" t="s">
        <v>724</v>
      </c>
    </row>
    <row r="1022" spans="1:1">
      <c r="A1022" s="10" t="s">
        <v>725</v>
      </c>
    </row>
    <row r="1023" spans="1:1">
      <c r="A1023" s="9" t="s">
        <v>726</v>
      </c>
    </row>
    <row r="1024" spans="1:1">
      <c r="A1024" s="9" t="s">
        <v>727</v>
      </c>
    </row>
    <row r="1025" spans="1:1">
      <c r="A1025" s="11"/>
    </row>
    <row r="1026" spans="1:1">
      <c r="A1026" s="9" t="s">
        <v>728</v>
      </c>
    </row>
    <row r="1027" spans="1:1">
      <c r="A1027" s="9" t="s">
        <v>729</v>
      </c>
    </row>
    <row r="1028" spans="1:1">
      <c r="A1028" s="9" t="s">
        <v>730</v>
      </c>
    </row>
    <row r="1029" spans="1:1">
      <c r="A1029" s="10" t="s">
        <v>731</v>
      </c>
    </row>
    <row r="1030" spans="1:1">
      <c r="A1030" s="11"/>
    </row>
    <row r="1031" spans="1:1">
      <c r="A1031" s="9" t="s">
        <v>732</v>
      </c>
    </row>
    <row r="1032" spans="1:1">
      <c r="A1032" s="9" t="s">
        <v>733</v>
      </c>
    </row>
    <row r="1033" spans="1:1">
      <c r="A1033" s="10" t="s">
        <v>734</v>
      </c>
    </row>
    <row r="1034" spans="1:1">
      <c r="A1034" s="9" t="s">
        <v>735</v>
      </c>
    </row>
    <row r="1035" spans="1:1">
      <c r="A1035" s="9"/>
    </row>
    <row r="1036" spans="1:1">
      <c r="A1036" s="9" t="s">
        <v>736</v>
      </c>
    </row>
    <row r="1037" spans="1:1">
      <c r="A1037" s="9" t="s">
        <v>737</v>
      </c>
    </row>
    <row r="1038" spans="1:1">
      <c r="A1038" s="10" t="s">
        <v>738</v>
      </c>
    </row>
    <row r="1039" spans="1:1">
      <c r="A1039" s="9" t="s">
        <v>739</v>
      </c>
    </row>
    <row r="1040" spans="1:1">
      <c r="A1040" s="11"/>
    </row>
    <row r="1041" spans="1:1">
      <c r="A1041" s="9" t="s">
        <v>740</v>
      </c>
    </row>
    <row r="1042" spans="1:1">
      <c r="A1042" s="9" t="s">
        <v>741</v>
      </c>
    </row>
    <row r="1043" spans="1:1">
      <c r="A1043" s="10" t="s">
        <v>742</v>
      </c>
    </row>
    <row r="1044" spans="1:1">
      <c r="A1044" s="9" t="s">
        <v>743</v>
      </c>
    </row>
    <row r="1045" spans="1:1">
      <c r="A1045" s="11"/>
    </row>
    <row r="1046" spans="1:1">
      <c r="A1046" s="9" t="s">
        <v>744</v>
      </c>
    </row>
    <row r="1047" spans="1:1">
      <c r="A1047" s="9" t="s">
        <v>745</v>
      </c>
    </row>
    <row r="1048" spans="1:1">
      <c r="A1048" s="9" t="s">
        <v>746</v>
      </c>
    </row>
    <row r="1049" spans="1:1">
      <c r="A1049" s="10" t="s">
        <v>747</v>
      </c>
    </row>
    <row r="1050" spans="1:1">
      <c r="A1050" s="11"/>
    </row>
    <row r="1051" spans="1:1">
      <c r="A1051" s="9" t="s">
        <v>748</v>
      </c>
    </row>
    <row r="1052" spans="1:1">
      <c r="A1052" s="10" t="s">
        <v>749</v>
      </c>
    </row>
    <row r="1053" spans="1:1">
      <c r="A1053" s="9" t="s">
        <v>750</v>
      </c>
    </row>
    <row r="1054" spans="1:1">
      <c r="A1054" s="9" t="s">
        <v>751</v>
      </c>
    </row>
    <row r="1055" spans="1:1">
      <c r="A1055" s="11"/>
    </row>
    <row r="1056" spans="1:1">
      <c r="A1056" s="9" t="s">
        <v>752</v>
      </c>
    </row>
    <row r="1057" spans="1:1">
      <c r="A1057" s="9" t="s">
        <v>753</v>
      </c>
    </row>
    <row r="1058" spans="1:1">
      <c r="A1058" s="9" t="s">
        <v>754</v>
      </c>
    </row>
    <row r="1059" spans="1:1">
      <c r="A1059" s="10" t="s">
        <v>755</v>
      </c>
    </row>
    <row r="1060" spans="1:1">
      <c r="A1060" s="11"/>
    </row>
    <row r="1061" spans="1:1">
      <c r="A1061" s="9" t="s">
        <v>756</v>
      </c>
    </row>
    <row r="1062" spans="1:1">
      <c r="A1062" s="9" t="s">
        <v>757</v>
      </c>
    </row>
    <row r="1063" spans="1:1">
      <c r="A1063" s="10" t="s">
        <v>758</v>
      </c>
    </row>
    <row r="1064" spans="1:1">
      <c r="A1064" s="9" t="s">
        <v>759</v>
      </c>
    </row>
    <row r="1065" spans="1:1">
      <c r="A1065" s="11"/>
    </row>
    <row r="1066" spans="1:1">
      <c r="A1066" s="9" t="s">
        <v>760</v>
      </c>
    </row>
    <row r="1067" spans="1:1">
      <c r="A1067" s="9" t="s">
        <v>761</v>
      </c>
    </row>
    <row r="1068" spans="1:1">
      <c r="A1068" s="9" t="s">
        <v>762</v>
      </c>
    </row>
    <row r="1069" spans="1:1">
      <c r="A1069" s="10" t="s">
        <v>763</v>
      </c>
    </row>
    <row r="1070" spans="1:1">
      <c r="A1070" s="11"/>
    </row>
    <row r="1071" spans="1:1">
      <c r="A1071" s="9" t="s">
        <v>764</v>
      </c>
    </row>
    <row r="1072" spans="1:1">
      <c r="A1072" s="10" t="s">
        <v>8320</v>
      </c>
    </row>
    <row r="1073" spans="1:1">
      <c r="A1073" s="9" t="s">
        <v>765</v>
      </c>
    </row>
    <row r="1074" spans="1:1">
      <c r="A1074" s="9" t="s">
        <v>8319</v>
      </c>
    </row>
    <row r="1075" spans="1:1">
      <c r="A1075" s="11"/>
    </row>
    <row r="1076" spans="1:1">
      <c r="A1076" s="9" t="s">
        <v>766</v>
      </c>
    </row>
    <row r="1077" spans="1:1">
      <c r="A1077" s="9" t="s">
        <v>767</v>
      </c>
    </row>
    <row r="1078" spans="1:1">
      <c r="A1078" s="10" t="s">
        <v>768</v>
      </c>
    </row>
    <row r="1079" spans="1:1">
      <c r="A1079" s="9" t="s">
        <v>769</v>
      </c>
    </row>
    <row r="1080" spans="1:1">
      <c r="A1080" s="11"/>
    </row>
    <row r="1081" spans="1:1">
      <c r="A1081" s="9" t="s">
        <v>770</v>
      </c>
    </row>
    <row r="1082" spans="1:1">
      <c r="A1082" s="10" t="s">
        <v>771</v>
      </c>
    </row>
    <row r="1083" spans="1:1">
      <c r="A1083" s="9" t="s">
        <v>772</v>
      </c>
    </row>
    <row r="1084" spans="1:1">
      <c r="A1084" s="9" t="s">
        <v>773</v>
      </c>
    </row>
    <row r="1085" spans="1:1">
      <c r="A1085" s="11"/>
    </row>
    <row r="1086" spans="1:1">
      <c r="A1086" s="9" t="s">
        <v>774</v>
      </c>
    </row>
    <row r="1087" spans="1:1">
      <c r="A1087" s="9" t="s">
        <v>775</v>
      </c>
    </row>
    <row r="1088" spans="1:1">
      <c r="A1088" s="10" t="s">
        <v>776</v>
      </c>
    </row>
    <row r="1089" spans="1:1">
      <c r="A1089" s="9" t="s">
        <v>777</v>
      </c>
    </row>
    <row r="1090" spans="1:1">
      <c r="A1090" s="11"/>
    </row>
    <row r="1091" spans="1:1">
      <c r="A1091" s="9" t="s">
        <v>778</v>
      </c>
    </row>
    <row r="1092" spans="1:1">
      <c r="A1092" s="9" t="s">
        <v>779</v>
      </c>
    </row>
    <row r="1093" spans="1:1">
      <c r="A1093" s="9" t="s">
        <v>780</v>
      </c>
    </row>
    <row r="1094" spans="1:1">
      <c r="A1094" s="10" t="s">
        <v>781</v>
      </c>
    </row>
    <row r="1095" spans="1:1">
      <c r="A1095" s="11"/>
    </row>
    <row r="1096" spans="1:1">
      <c r="A1096" s="9" t="s">
        <v>782</v>
      </c>
    </row>
    <row r="1097" spans="1:1">
      <c r="A1097" s="9" t="s">
        <v>783</v>
      </c>
    </row>
    <row r="1098" spans="1:1">
      <c r="A1098" s="9" t="s">
        <v>784</v>
      </c>
    </row>
    <row r="1099" spans="1:1">
      <c r="A1099" s="10" t="s">
        <v>785</v>
      </c>
    </row>
    <row r="1100" spans="1:1">
      <c r="A1100" s="11"/>
    </row>
    <row r="1101" spans="1:1">
      <c r="A1101" s="9" t="s">
        <v>786</v>
      </c>
    </row>
    <row r="1102" spans="1:1">
      <c r="A1102" s="9" t="s">
        <v>787</v>
      </c>
    </row>
    <row r="1103" spans="1:1">
      <c r="A1103" s="9" t="s">
        <v>788</v>
      </c>
    </row>
    <row r="1104" spans="1:1">
      <c r="A1104" s="10" t="s">
        <v>789</v>
      </c>
    </row>
    <row r="1105" spans="1:1">
      <c r="A1105" s="11"/>
    </row>
    <row r="1106" spans="1:1">
      <c r="A1106" s="9" t="s">
        <v>790</v>
      </c>
    </row>
    <row r="1107" spans="1:1">
      <c r="A1107" s="10" t="s">
        <v>791</v>
      </c>
    </row>
    <row r="1108" spans="1:1">
      <c r="A1108" s="9" t="s">
        <v>792</v>
      </c>
    </row>
    <row r="1109" spans="1:1">
      <c r="A1109" s="9" t="s">
        <v>523</v>
      </c>
    </row>
    <row r="1110" spans="1:1">
      <c r="A1110" s="11"/>
    </row>
    <row r="1111" spans="1:1">
      <c r="A1111" s="9" t="s">
        <v>793</v>
      </c>
    </row>
    <row r="1112" spans="1:1">
      <c r="A1112" s="9" t="s">
        <v>794</v>
      </c>
    </row>
    <row r="1113" spans="1:1">
      <c r="A1113" s="10" t="s">
        <v>795</v>
      </c>
    </row>
    <row r="1114" spans="1:1">
      <c r="A1114" s="9" t="s">
        <v>796</v>
      </c>
    </row>
    <row r="1115" spans="1:1">
      <c r="A1115" s="11"/>
    </row>
    <row r="1116" spans="1:1">
      <c r="A1116" s="9" t="s">
        <v>797</v>
      </c>
    </row>
    <row r="1117" spans="1:1">
      <c r="A1117" s="10" t="s">
        <v>798</v>
      </c>
    </row>
    <row r="1118" spans="1:1">
      <c r="A1118" s="9" t="s">
        <v>799</v>
      </c>
    </row>
    <row r="1119" spans="1:1">
      <c r="A1119" s="9" t="s">
        <v>800</v>
      </c>
    </row>
    <row r="1120" spans="1:1">
      <c r="A1120" s="11"/>
    </row>
    <row r="1121" spans="1:1">
      <c r="A1121" s="9" t="s">
        <v>801</v>
      </c>
    </row>
    <row r="1122" spans="1:1">
      <c r="A1122" s="10" t="s">
        <v>802</v>
      </c>
    </row>
    <row r="1123" spans="1:1">
      <c r="A1123" s="9" t="s">
        <v>803</v>
      </c>
    </row>
    <row r="1124" spans="1:1">
      <c r="A1124" s="9" t="s">
        <v>804</v>
      </c>
    </row>
    <row r="1125" spans="1:1">
      <c r="A1125" s="11"/>
    </row>
    <row r="1126" spans="1:1">
      <c r="A1126" s="9" t="s">
        <v>805</v>
      </c>
    </row>
    <row r="1127" spans="1:1">
      <c r="A1127" s="9" t="s">
        <v>806</v>
      </c>
    </row>
    <row r="1128" spans="1:1">
      <c r="A1128" s="10" t="s">
        <v>807</v>
      </c>
    </row>
    <row r="1129" spans="1:1">
      <c r="A1129" s="9" t="s">
        <v>808</v>
      </c>
    </row>
    <row r="1130" spans="1:1">
      <c r="A1130" s="11"/>
    </row>
    <row r="1131" spans="1:1">
      <c r="A1131" s="9" t="s">
        <v>809</v>
      </c>
    </row>
    <row r="1132" spans="1:1">
      <c r="A1132" s="9" t="s">
        <v>810</v>
      </c>
    </row>
    <row r="1133" spans="1:1">
      <c r="A1133" s="10" t="s">
        <v>811</v>
      </c>
    </row>
    <row r="1134" spans="1:1">
      <c r="A1134" s="9" t="s">
        <v>812</v>
      </c>
    </row>
    <row r="1135" spans="1:1">
      <c r="A1135" s="11"/>
    </row>
    <row r="1136" spans="1:1">
      <c r="A1136" s="9" t="s">
        <v>813</v>
      </c>
    </row>
    <row r="1137" spans="1:1">
      <c r="A1137" s="9" t="s">
        <v>814</v>
      </c>
    </row>
    <row r="1138" spans="1:1">
      <c r="A1138" s="9" t="s">
        <v>815</v>
      </c>
    </row>
    <row r="1139" spans="1:1">
      <c r="A1139" s="10" t="s">
        <v>816</v>
      </c>
    </row>
    <row r="1140" spans="1:1">
      <c r="A1140" s="11"/>
    </row>
    <row r="1141" spans="1:1">
      <c r="A1141" s="9" t="s">
        <v>817</v>
      </c>
    </row>
    <row r="1142" spans="1:1">
      <c r="A1142" s="9" t="s">
        <v>818</v>
      </c>
    </row>
    <row r="1143" spans="1:1">
      <c r="A1143" s="10" t="s">
        <v>819</v>
      </c>
    </row>
    <row r="1144" spans="1:1">
      <c r="A1144" s="9" t="s">
        <v>820</v>
      </c>
    </row>
    <row r="1145" spans="1:1">
      <c r="A1145" s="11"/>
    </row>
    <row r="1146" spans="1:1">
      <c r="A1146" s="9" t="s">
        <v>821</v>
      </c>
    </row>
    <row r="1147" spans="1:1">
      <c r="A1147" s="9" t="s">
        <v>822</v>
      </c>
    </row>
    <row r="1148" spans="1:1">
      <c r="A1148" s="10" t="s">
        <v>823</v>
      </c>
    </row>
    <row r="1149" spans="1:1">
      <c r="A1149" s="9" t="s">
        <v>824</v>
      </c>
    </row>
    <row r="1150" spans="1:1">
      <c r="A1150" s="11"/>
    </row>
    <row r="1151" spans="1:1">
      <c r="A1151" s="9" t="s">
        <v>825</v>
      </c>
    </row>
    <row r="1152" spans="1:1">
      <c r="A1152" s="9" t="s">
        <v>826</v>
      </c>
    </row>
    <row r="1153" spans="1:1">
      <c r="A1153" s="9" t="s">
        <v>827</v>
      </c>
    </row>
    <row r="1154" spans="1:1">
      <c r="A1154" s="10" t="s">
        <v>828</v>
      </c>
    </row>
    <row r="1155" spans="1:1">
      <c r="A1155" s="11"/>
    </row>
    <row r="1156" spans="1:1">
      <c r="A1156" s="9" t="s">
        <v>829</v>
      </c>
    </row>
    <row r="1157" spans="1:1">
      <c r="A1157" s="9" t="s">
        <v>830</v>
      </c>
    </row>
    <row r="1158" spans="1:1">
      <c r="A1158" s="9" t="s">
        <v>831</v>
      </c>
    </row>
    <row r="1159" spans="1:1">
      <c r="A1159" s="10" t="s">
        <v>832</v>
      </c>
    </row>
    <row r="1160" spans="1:1">
      <c r="A1160" s="11"/>
    </row>
    <row r="1161" spans="1:1">
      <c r="A1161" s="9" t="s">
        <v>833</v>
      </c>
    </row>
    <row r="1162" spans="1:1">
      <c r="A1162" s="9" t="s">
        <v>834</v>
      </c>
    </row>
    <row r="1163" spans="1:1">
      <c r="A1163" s="9" t="s">
        <v>835</v>
      </c>
    </row>
    <row r="1164" spans="1:1">
      <c r="A1164" s="10" t="s">
        <v>836</v>
      </c>
    </row>
    <row r="1165" spans="1:1">
      <c r="A1165" s="11"/>
    </row>
    <row r="1166" spans="1:1">
      <c r="A1166" s="9" t="s">
        <v>837</v>
      </c>
    </row>
    <row r="1167" spans="1:1">
      <c r="A1167" s="9" t="s">
        <v>838</v>
      </c>
    </row>
    <row r="1168" spans="1:1">
      <c r="A1168" s="9" t="s">
        <v>839</v>
      </c>
    </row>
    <row r="1169" spans="1:1">
      <c r="A1169" s="10" t="s">
        <v>840</v>
      </c>
    </row>
    <row r="1170" spans="1:1">
      <c r="A1170" s="11"/>
    </row>
    <row r="1171" spans="1:1">
      <c r="A1171" s="9" t="s">
        <v>841</v>
      </c>
    </row>
    <row r="1172" spans="1:1">
      <c r="A1172" s="9" t="s">
        <v>92</v>
      </c>
    </row>
    <row r="1173" spans="1:1">
      <c r="A1173" s="10" t="s">
        <v>842</v>
      </c>
    </row>
    <row r="1174" spans="1:1">
      <c r="A1174" s="9" t="s">
        <v>599</v>
      </c>
    </row>
    <row r="1175" spans="1:1">
      <c r="A1175" s="11"/>
    </row>
    <row r="1176" spans="1:1">
      <c r="A1176" s="9" t="s">
        <v>843</v>
      </c>
    </row>
    <row r="1177" spans="1:1">
      <c r="A1177" s="10" t="s">
        <v>844</v>
      </c>
    </row>
    <row r="1178" spans="1:1">
      <c r="A1178" s="9" t="s">
        <v>845</v>
      </c>
    </row>
    <row r="1179" spans="1:1">
      <c r="A1179" s="9" t="s">
        <v>846</v>
      </c>
    </row>
    <row r="1180" spans="1:1">
      <c r="A1180" s="11"/>
    </row>
    <row r="1181" spans="1:1">
      <c r="A1181" s="9" t="s">
        <v>847</v>
      </c>
    </row>
    <row r="1182" spans="1:1">
      <c r="A1182" s="10" t="s">
        <v>848</v>
      </c>
    </row>
    <row r="1183" spans="1:1">
      <c r="A1183" s="9" t="s">
        <v>849</v>
      </c>
    </row>
    <row r="1184" spans="1:1">
      <c r="A1184" s="9" t="s">
        <v>850</v>
      </c>
    </row>
    <row r="1185" spans="1:1">
      <c r="A1185" s="11"/>
    </row>
    <row r="1186" spans="1:1">
      <c r="A1186" s="9" t="s">
        <v>851</v>
      </c>
    </row>
    <row r="1187" spans="1:1">
      <c r="A1187" s="10" t="s">
        <v>852</v>
      </c>
    </row>
    <row r="1188" spans="1:1">
      <c r="A1188" s="9" t="s">
        <v>441</v>
      </c>
    </row>
    <row r="1189" spans="1:1">
      <c r="A1189" s="9" t="s">
        <v>853</v>
      </c>
    </row>
    <row r="1190" spans="1:1">
      <c r="A1190" s="11"/>
    </row>
    <row r="1191" spans="1:1">
      <c r="A1191" s="9" t="s">
        <v>854</v>
      </c>
    </row>
    <row r="1192" spans="1:1">
      <c r="A1192" s="9" t="s">
        <v>855</v>
      </c>
    </row>
    <row r="1193" spans="1:1">
      <c r="A1193" s="9" t="s">
        <v>856</v>
      </c>
    </row>
    <row r="1194" spans="1:1">
      <c r="A1194" s="10" t="s">
        <v>857</v>
      </c>
    </row>
    <row r="1195" spans="1:1">
      <c r="A1195" s="11"/>
    </row>
    <row r="1196" spans="1:1">
      <c r="A1196" s="9" t="s">
        <v>858</v>
      </c>
    </row>
    <row r="1197" spans="1:1">
      <c r="A1197" s="9" t="s">
        <v>859</v>
      </c>
    </row>
    <row r="1198" spans="1:1">
      <c r="A1198" s="9" t="s">
        <v>860</v>
      </c>
    </row>
    <row r="1199" spans="1:1">
      <c r="A1199" s="10" t="s">
        <v>861</v>
      </c>
    </row>
    <row r="1200" spans="1:1">
      <c r="A1200" s="11"/>
    </row>
    <row r="1201" spans="1:1">
      <c r="A1201" s="9" t="s">
        <v>862</v>
      </c>
    </row>
    <row r="1202" spans="1:1">
      <c r="A1202" s="9" t="s">
        <v>863</v>
      </c>
    </row>
    <row r="1203" spans="1:1">
      <c r="A1203" s="10" t="s">
        <v>864</v>
      </c>
    </row>
    <row r="1204" spans="1:1">
      <c r="A1204" s="9" t="s">
        <v>865</v>
      </c>
    </row>
    <row r="1205" spans="1:1">
      <c r="A1205" s="11"/>
    </row>
    <row r="1206" spans="1:1">
      <c r="A1206" s="9" t="s">
        <v>866</v>
      </c>
    </row>
    <row r="1207" spans="1:1">
      <c r="A1207" s="9" t="s">
        <v>867</v>
      </c>
    </row>
    <row r="1208" spans="1:1">
      <c r="A1208" s="10" t="s">
        <v>868</v>
      </c>
    </row>
    <row r="1209" spans="1:1">
      <c r="A1209" s="9" t="s">
        <v>869</v>
      </c>
    </row>
    <row r="1210" spans="1:1">
      <c r="A1210" s="11"/>
    </row>
    <row r="1211" spans="1:1">
      <c r="A1211" s="9" t="s">
        <v>870</v>
      </c>
    </row>
    <row r="1212" spans="1:1">
      <c r="A1212" s="10" t="s">
        <v>871</v>
      </c>
    </row>
    <row r="1213" spans="1:1">
      <c r="A1213" s="9" t="s">
        <v>872</v>
      </c>
    </row>
    <row r="1214" spans="1:1">
      <c r="A1214" s="9" t="s">
        <v>873</v>
      </c>
    </row>
    <row r="1215" spans="1:1">
      <c r="A1215" s="11"/>
    </row>
    <row r="1216" spans="1:1">
      <c r="A1216" s="9" t="s">
        <v>874</v>
      </c>
    </row>
    <row r="1217" spans="1:7">
      <c r="A1217" s="9" t="s">
        <v>875</v>
      </c>
      <c r="G1217">
        <v>1</v>
      </c>
    </row>
    <row r="1218" spans="1:7">
      <c r="A1218" s="10" t="s">
        <v>876</v>
      </c>
      <c r="G1218">
        <v>0</v>
      </c>
    </row>
    <row r="1219" spans="1:7">
      <c r="A1219" s="9" t="s">
        <v>877</v>
      </c>
    </row>
    <row r="1220" spans="1:7">
      <c r="A1220" s="11"/>
    </row>
    <row r="1221" spans="1:7">
      <c r="A1221" s="9" t="s">
        <v>878</v>
      </c>
    </row>
    <row r="1222" spans="1:7">
      <c r="A1222" s="9" t="s">
        <v>879</v>
      </c>
    </row>
    <row r="1223" spans="1:7">
      <c r="A1223" s="10" t="s">
        <v>880</v>
      </c>
    </row>
    <row r="1224" spans="1:7">
      <c r="A1224" s="9" t="s">
        <v>881</v>
      </c>
    </row>
    <row r="1225" spans="1:7">
      <c r="A1225" s="11"/>
    </row>
    <row r="1226" spans="1:7">
      <c r="A1226" s="9" t="s">
        <v>882</v>
      </c>
    </row>
    <row r="1227" spans="1:7">
      <c r="A1227" s="9" t="s">
        <v>883</v>
      </c>
    </row>
    <row r="1228" spans="1:7">
      <c r="A1228" s="9" t="s">
        <v>884</v>
      </c>
    </row>
    <row r="1229" spans="1:7">
      <c r="A1229" s="10" t="s">
        <v>885</v>
      </c>
    </row>
    <row r="1230" spans="1:7">
      <c r="A1230" s="11"/>
    </row>
    <row r="1231" spans="1:7">
      <c r="A1231" s="9" t="s">
        <v>886</v>
      </c>
    </row>
    <row r="1232" spans="1:7">
      <c r="A1232" s="10" t="s">
        <v>887</v>
      </c>
    </row>
    <row r="1233" spans="1:7">
      <c r="A1233" s="9" t="s">
        <v>888</v>
      </c>
    </row>
    <row r="1234" spans="1:7">
      <c r="A1234" s="9" t="s">
        <v>889</v>
      </c>
    </row>
    <row r="1235" spans="1:7">
      <c r="A1235" s="11"/>
    </row>
    <row r="1236" spans="1:7">
      <c r="A1236" s="9" t="s">
        <v>890</v>
      </c>
    </row>
    <row r="1237" spans="1:7">
      <c r="A1237" s="9" t="s">
        <v>891</v>
      </c>
    </row>
    <row r="1238" spans="1:7">
      <c r="A1238" s="10" t="s">
        <v>568</v>
      </c>
    </row>
    <row r="1239" spans="1:7">
      <c r="A1239" s="9" t="s">
        <v>892</v>
      </c>
    </row>
    <row r="1240" spans="1:7">
      <c r="A1240" s="11"/>
    </row>
    <row r="1241" spans="1:7">
      <c r="A1241" s="9" t="s">
        <v>893</v>
      </c>
    </row>
    <row r="1242" spans="1:7">
      <c r="A1242" s="10" t="s">
        <v>894</v>
      </c>
    </row>
    <row r="1243" spans="1:7">
      <c r="A1243" s="9" t="s">
        <v>895</v>
      </c>
    </row>
    <row r="1244" spans="1:7">
      <c r="A1244" s="9" t="s">
        <v>896</v>
      </c>
    </row>
    <row r="1245" spans="1:7">
      <c r="A1245" s="11"/>
    </row>
    <row r="1246" spans="1:7">
      <c r="A1246" s="9" t="s">
        <v>897</v>
      </c>
      <c r="G1246">
        <v>2</v>
      </c>
    </row>
    <row r="1247" spans="1:7">
      <c r="A1247" s="10" t="s">
        <v>898</v>
      </c>
      <c r="G1247">
        <v>2</v>
      </c>
    </row>
    <row r="1248" spans="1:7">
      <c r="A1248" s="9" t="s">
        <v>899</v>
      </c>
      <c r="G1248">
        <v>0</v>
      </c>
    </row>
    <row r="1249" spans="1:7">
      <c r="A1249" s="9" t="s">
        <v>900</v>
      </c>
      <c r="G1249">
        <v>0</v>
      </c>
    </row>
    <row r="1250" spans="1:7">
      <c r="A1250" s="11"/>
      <c r="G1250">
        <v>2</v>
      </c>
    </row>
    <row r="1251" spans="1:7">
      <c r="A1251" s="9" t="s">
        <v>901</v>
      </c>
      <c r="G1251">
        <v>1</v>
      </c>
    </row>
    <row r="1252" spans="1:7">
      <c r="A1252" s="9" t="s">
        <v>902</v>
      </c>
      <c r="G1252">
        <v>0</v>
      </c>
    </row>
    <row r="1253" spans="1:7">
      <c r="A1253" s="10" t="s">
        <v>84</v>
      </c>
    </row>
    <row r="1254" spans="1:7">
      <c r="A1254" s="9" t="s">
        <v>903</v>
      </c>
    </row>
    <row r="1255" spans="1:7">
      <c r="A1255" s="11"/>
    </row>
    <row r="1256" spans="1:7">
      <c r="A1256" s="9" t="s">
        <v>904</v>
      </c>
    </row>
    <row r="1257" spans="1:7">
      <c r="A1257" s="9" t="s">
        <v>905</v>
      </c>
    </row>
    <row r="1258" spans="1:7">
      <c r="A1258" s="10" t="s">
        <v>906</v>
      </c>
    </row>
    <row r="1259" spans="1:7">
      <c r="A1259" s="9" t="s">
        <v>907</v>
      </c>
    </row>
    <row r="1260" spans="1:7">
      <c r="A1260" s="11"/>
    </row>
    <row r="1261" spans="1:7">
      <c r="A1261" s="9" t="s">
        <v>908</v>
      </c>
    </row>
    <row r="1262" spans="1:7">
      <c r="A1262" s="9" t="s">
        <v>909</v>
      </c>
    </row>
    <row r="1263" spans="1:7">
      <c r="A1263" s="9" t="s">
        <v>910</v>
      </c>
    </row>
    <row r="1264" spans="1:7">
      <c r="A1264" s="10" t="s">
        <v>911</v>
      </c>
    </row>
    <row r="1265" spans="1:1">
      <c r="A1265" s="11"/>
    </row>
    <row r="1266" spans="1:1">
      <c r="A1266" s="9" t="s">
        <v>912</v>
      </c>
    </row>
    <row r="1267" spans="1:1">
      <c r="A1267" s="9" t="s">
        <v>913</v>
      </c>
    </row>
    <row r="1268" spans="1:1">
      <c r="A1268" s="9" t="s">
        <v>914</v>
      </c>
    </row>
    <row r="1269" spans="1:1">
      <c r="A1269" s="10" t="s">
        <v>915</v>
      </c>
    </row>
    <row r="1270" spans="1:1">
      <c r="A1270" s="10"/>
    </row>
    <row r="1271" spans="1:1">
      <c r="A1271" s="9" t="s">
        <v>916</v>
      </c>
    </row>
    <row r="1272" spans="1:1">
      <c r="A1272" s="9" t="s">
        <v>917</v>
      </c>
    </row>
    <row r="1273" spans="1:1">
      <c r="A1273" s="9" t="s">
        <v>395</v>
      </c>
    </row>
    <row r="1274" spans="1:1">
      <c r="A1274" s="10" t="s">
        <v>918</v>
      </c>
    </row>
    <row r="1275" spans="1:1">
      <c r="A1275" s="11"/>
    </row>
    <row r="1276" spans="1:1">
      <c r="A1276" s="9" t="s">
        <v>919</v>
      </c>
    </row>
    <row r="1277" spans="1:1">
      <c r="A1277" s="9" t="s">
        <v>920</v>
      </c>
    </row>
    <row r="1278" spans="1:1">
      <c r="A1278" s="9" t="s">
        <v>921</v>
      </c>
    </row>
    <row r="1279" spans="1:1">
      <c r="A1279" s="10" t="s">
        <v>922</v>
      </c>
    </row>
    <row r="1280" spans="1:1">
      <c r="A1280" s="11"/>
    </row>
    <row r="1281" spans="1:1">
      <c r="A1281" s="9" t="s">
        <v>923</v>
      </c>
    </row>
    <row r="1282" spans="1:1">
      <c r="A1282" s="9" t="s">
        <v>924</v>
      </c>
    </row>
    <row r="1283" spans="1:1">
      <c r="A1283" s="10" t="s">
        <v>925</v>
      </c>
    </row>
    <row r="1284" spans="1:1">
      <c r="A1284" s="9" t="s">
        <v>926</v>
      </c>
    </row>
    <row r="1285" spans="1:1">
      <c r="A1285" s="11"/>
    </row>
    <row r="1286" spans="1:1">
      <c r="A1286" s="9" t="s">
        <v>927</v>
      </c>
    </row>
    <row r="1287" spans="1:1">
      <c r="A1287" s="10" t="s">
        <v>928</v>
      </c>
    </row>
    <row r="1288" spans="1:1">
      <c r="A1288" s="9" t="s">
        <v>929</v>
      </c>
    </row>
    <row r="1289" spans="1:1">
      <c r="A1289" s="9" t="s">
        <v>930</v>
      </c>
    </row>
    <row r="1290" spans="1:1">
      <c r="A1290" s="11"/>
    </row>
    <row r="1291" spans="1:1">
      <c r="A1291" s="9" t="s">
        <v>931</v>
      </c>
    </row>
    <row r="1292" spans="1:1">
      <c r="A1292" s="9" t="s">
        <v>842</v>
      </c>
    </row>
    <row r="1293" spans="1:1">
      <c r="A1293" s="10" t="s">
        <v>932</v>
      </c>
    </row>
    <row r="1294" spans="1:1">
      <c r="A1294" s="9" t="s">
        <v>599</v>
      </c>
    </row>
    <row r="1295" spans="1:1">
      <c r="A1295" s="9"/>
    </row>
    <row r="1296" spans="1:1">
      <c r="A1296" s="9" t="s">
        <v>933</v>
      </c>
    </row>
    <row r="1297" spans="1:1">
      <c r="A1297" s="10" t="s">
        <v>934</v>
      </c>
    </row>
    <row r="1298" spans="1:1">
      <c r="A1298" s="9" t="s">
        <v>935</v>
      </c>
    </row>
    <row r="1299" spans="1:1">
      <c r="A1299" s="9" t="s">
        <v>936</v>
      </c>
    </row>
    <row r="1300" spans="1:1">
      <c r="A1300" s="11"/>
    </row>
    <row r="1301" spans="1:1">
      <c r="A1301" s="9" t="s">
        <v>937</v>
      </c>
    </row>
    <row r="1302" spans="1:1">
      <c r="A1302" s="10" t="s">
        <v>938</v>
      </c>
    </row>
    <row r="1303" spans="1:1">
      <c r="A1303" s="9" t="s">
        <v>939</v>
      </c>
    </row>
    <row r="1304" spans="1:1">
      <c r="A1304" s="9" t="s">
        <v>940</v>
      </c>
    </row>
    <row r="1305" spans="1:1">
      <c r="A1305" s="11"/>
    </row>
    <row r="1306" spans="1:1">
      <c r="A1306" s="9" t="s">
        <v>941</v>
      </c>
    </row>
    <row r="1307" spans="1:1">
      <c r="A1307" s="9" t="s">
        <v>942</v>
      </c>
    </row>
    <row r="1308" spans="1:1">
      <c r="A1308" s="10" t="s">
        <v>943</v>
      </c>
    </row>
    <row r="1309" spans="1:1">
      <c r="A1309" s="9" t="s">
        <v>944</v>
      </c>
    </row>
    <row r="1310" spans="1:1">
      <c r="A1310" s="11"/>
    </row>
    <row r="1311" spans="1:1">
      <c r="A1311" s="9" t="s">
        <v>945</v>
      </c>
    </row>
    <row r="1312" spans="1:1">
      <c r="A1312" s="9" t="s">
        <v>946</v>
      </c>
    </row>
    <row r="1313" spans="1:1">
      <c r="A1313" s="9" t="s">
        <v>947</v>
      </c>
    </row>
    <row r="1314" spans="1:1">
      <c r="A1314" s="10" t="s">
        <v>948</v>
      </c>
    </row>
    <row r="1315" spans="1:1">
      <c r="A1315" s="11"/>
    </row>
    <row r="1316" spans="1:1">
      <c r="A1316" s="9" t="s">
        <v>949</v>
      </c>
    </row>
    <row r="1317" spans="1:1">
      <c r="A1317" s="9" t="s">
        <v>950</v>
      </c>
    </row>
    <row r="1318" spans="1:1">
      <c r="A1318" s="10" t="s">
        <v>951</v>
      </c>
    </row>
    <row r="1319" spans="1:1">
      <c r="A1319" s="9" t="s">
        <v>952</v>
      </c>
    </row>
    <row r="1320" spans="1:1">
      <c r="A1320" s="11"/>
    </row>
    <row r="1321" spans="1:1">
      <c r="A1321" s="9" t="s">
        <v>953</v>
      </c>
    </row>
    <row r="1322" spans="1:1">
      <c r="A1322" s="10" t="s">
        <v>954</v>
      </c>
    </row>
    <row r="1323" spans="1:1">
      <c r="A1323" s="9" t="s">
        <v>955</v>
      </c>
    </row>
    <row r="1324" spans="1:1">
      <c r="A1324" s="9" t="s">
        <v>956</v>
      </c>
    </row>
    <row r="1325" spans="1:1">
      <c r="A1325" s="9"/>
    </row>
    <row r="1326" spans="1:1">
      <c r="A1326" s="9" t="s">
        <v>957</v>
      </c>
    </row>
    <row r="1327" spans="1:1">
      <c r="A1327" s="10" t="s">
        <v>958</v>
      </c>
    </row>
    <row r="1328" spans="1:1">
      <c r="A1328" s="9" t="s">
        <v>959</v>
      </c>
    </row>
    <row r="1329" spans="1:1">
      <c r="A1329" s="9" t="s">
        <v>960</v>
      </c>
    </row>
    <row r="1330" spans="1:1">
      <c r="A1330" s="11"/>
    </row>
    <row r="1331" spans="1:1">
      <c r="A1331" s="9" t="s">
        <v>961</v>
      </c>
    </row>
    <row r="1332" spans="1:1">
      <c r="A1332" s="9" t="s">
        <v>962</v>
      </c>
    </row>
    <row r="1333" spans="1:1">
      <c r="A1333" s="9" t="s">
        <v>963</v>
      </c>
    </row>
    <row r="1334" spans="1:1">
      <c r="A1334" s="10" t="s">
        <v>53</v>
      </c>
    </row>
    <row r="1335" spans="1:1">
      <c r="A1335" s="11"/>
    </row>
    <row r="1336" spans="1:1">
      <c r="A1336" s="9" t="s">
        <v>964</v>
      </c>
    </row>
    <row r="1337" spans="1:1">
      <c r="A1337" s="9" t="s">
        <v>965</v>
      </c>
    </row>
    <row r="1338" spans="1:1">
      <c r="A1338" s="9" t="s">
        <v>966</v>
      </c>
    </row>
    <row r="1339" spans="1:1">
      <c r="A1339" s="10" t="s">
        <v>967</v>
      </c>
    </row>
    <row r="1340" spans="1:1">
      <c r="A1340" s="11"/>
    </row>
    <row r="1341" spans="1:1">
      <c r="A1341" s="9" t="s">
        <v>968</v>
      </c>
    </row>
    <row r="1342" spans="1:1">
      <c r="A1342" s="9" t="s">
        <v>969</v>
      </c>
    </row>
    <row r="1343" spans="1:1">
      <c r="A1343" s="9" t="s">
        <v>970</v>
      </c>
    </row>
    <row r="1344" spans="1:1">
      <c r="A1344" s="10" t="s">
        <v>971</v>
      </c>
    </row>
    <row r="1345" spans="1:1">
      <c r="A1345" s="11"/>
    </row>
    <row r="1346" spans="1:1">
      <c r="A1346" s="9" t="s">
        <v>972</v>
      </c>
    </row>
    <row r="1347" spans="1:1">
      <c r="A1347" s="9" t="s">
        <v>973</v>
      </c>
    </row>
    <row r="1348" spans="1:1">
      <c r="A1348" s="10" t="s">
        <v>974</v>
      </c>
    </row>
    <row r="1349" spans="1:1">
      <c r="A1349" s="9" t="s">
        <v>975</v>
      </c>
    </row>
    <row r="1350" spans="1:1">
      <c r="A1350" s="11"/>
    </row>
    <row r="1351" spans="1:1">
      <c r="A1351" s="9" t="s">
        <v>976</v>
      </c>
    </row>
    <row r="1352" spans="1:1">
      <c r="A1352" s="10" t="s">
        <v>56</v>
      </c>
    </row>
    <row r="1353" spans="1:1">
      <c r="A1353" s="9" t="s">
        <v>977</v>
      </c>
    </row>
    <row r="1354" spans="1:1">
      <c r="A1354" s="9" t="s">
        <v>58</v>
      </c>
    </row>
    <row r="1355" spans="1:1">
      <c r="A1355" s="11"/>
    </row>
    <row r="1356" spans="1:1">
      <c r="A1356" s="9" t="s">
        <v>978</v>
      </c>
    </row>
    <row r="1357" spans="1:1">
      <c r="A1357" s="9" t="s">
        <v>979</v>
      </c>
    </row>
    <row r="1358" spans="1:1">
      <c r="A1358" s="10" t="s">
        <v>980</v>
      </c>
    </row>
    <row r="1359" spans="1:1">
      <c r="A1359" s="9" t="s">
        <v>981</v>
      </c>
    </row>
    <row r="1360" spans="1:1">
      <c r="A1360" s="11"/>
    </row>
    <row r="1361" spans="1:1">
      <c r="A1361" s="9" t="s">
        <v>982</v>
      </c>
    </row>
    <row r="1362" spans="1:1">
      <c r="A1362" s="9" t="s">
        <v>983</v>
      </c>
    </row>
    <row r="1363" spans="1:1">
      <c r="A1363" s="10" t="s">
        <v>984</v>
      </c>
    </row>
    <row r="1364" spans="1:1">
      <c r="A1364" s="9" t="s">
        <v>985</v>
      </c>
    </row>
    <row r="1365" spans="1:1">
      <c r="A1365" s="11"/>
    </row>
    <row r="1366" spans="1:1">
      <c r="A1366" s="9" t="s">
        <v>986</v>
      </c>
    </row>
    <row r="1367" spans="1:1">
      <c r="A1367" s="9" t="s">
        <v>987</v>
      </c>
    </row>
    <row r="1368" spans="1:1">
      <c r="A1368" s="9" t="s">
        <v>988</v>
      </c>
    </row>
    <row r="1369" spans="1:1">
      <c r="A1369" s="10" t="s">
        <v>989</v>
      </c>
    </row>
    <row r="1370" spans="1:1">
      <c r="A1370" s="11"/>
    </row>
    <row r="1371" spans="1:1">
      <c r="A1371" s="9" t="s">
        <v>990</v>
      </c>
    </row>
    <row r="1372" spans="1:1">
      <c r="A1372" s="10" t="s">
        <v>991</v>
      </c>
    </row>
    <row r="1373" spans="1:1">
      <c r="A1373" s="9" t="s">
        <v>992</v>
      </c>
    </row>
    <row r="1374" spans="1:1">
      <c r="A1374" s="9" t="s">
        <v>993</v>
      </c>
    </row>
    <row r="1375" spans="1:1">
      <c r="A1375" s="11"/>
    </row>
    <row r="1376" spans="1:1">
      <c r="A1376" s="9" t="s">
        <v>994</v>
      </c>
    </row>
    <row r="1377" spans="1:1">
      <c r="A1377" s="9" t="s">
        <v>995</v>
      </c>
    </row>
    <row r="1378" spans="1:1">
      <c r="A1378" s="9" t="s">
        <v>996</v>
      </c>
    </row>
    <row r="1379" spans="1:1">
      <c r="A1379" s="10" t="s">
        <v>997</v>
      </c>
    </row>
    <row r="1380" spans="1:1">
      <c r="A1380" s="11"/>
    </row>
    <row r="1381" spans="1:1">
      <c r="A1381" s="9" t="s">
        <v>998</v>
      </c>
    </row>
    <row r="1382" spans="1:1">
      <c r="A1382" s="9" t="s">
        <v>999</v>
      </c>
    </row>
    <row r="1383" spans="1:1">
      <c r="A1383" s="9" t="s">
        <v>1000</v>
      </c>
    </row>
    <row r="1384" spans="1:1">
      <c r="A1384" s="10" t="s">
        <v>1001</v>
      </c>
    </row>
    <row r="1385" spans="1:1">
      <c r="A1385" s="11"/>
    </row>
    <row r="1386" spans="1:1">
      <c r="A1386" s="9" t="s">
        <v>1002</v>
      </c>
    </row>
    <row r="1387" spans="1:1">
      <c r="A1387" s="9" t="s">
        <v>1003</v>
      </c>
    </row>
    <row r="1388" spans="1:1">
      <c r="A1388" s="9" t="s">
        <v>1004</v>
      </c>
    </row>
    <row r="1389" spans="1:1">
      <c r="A1389" s="10" t="s">
        <v>1005</v>
      </c>
    </row>
    <row r="1390" spans="1:1">
      <c r="A1390" s="11"/>
    </row>
    <row r="1391" spans="1:1">
      <c r="A1391" s="9" t="s">
        <v>1006</v>
      </c>
    </row>
    <row r="1392" spans="1:1">
      <c r="A1392" s="9" t="s">
        <v>1007</v>
      </c>
    </row>
    <row r="1393" spans="1:1">
      <c r="A1393" s="10" t="s">
        <v>1008</v>
      </c>
    </row>
    <row r="1394" spans="1:1">
      <c r="A1394" s="9" t="s">
        <v>1009</v>
      </c>
    </row>
    <row r="1395" spans="1:1">
      <c r="A1395" s="11"/>
    </row>
    <row r="1396" spans="1:1">
      <c r="A1396" s="9" t="s">
        <v>1010</v>
      </c>
    </row>
    <row r="1397" spans="1:1">
      <c r="A1397" s="9" t="s">
        <v>1011</v>
      </c>
    </row>
    <row r="1398" spans="1:1">
      <c r="A1398" s="10" t="s">
        <v>1012</v>
      </c>
    </row>
    <row r="1399" spans="1:1">
      <c r="A1399" s="9" t="s">
        <v>1013</v>
      </c>
    </row>
    <row r="1400" spans="1:1">
      <c r="A1400" s="11"/>
    </row>
    <row r="1401" spans="1:1">
      <c r="A1401" s="9" t="s">
        <v>1014</v>
      </c>
    </row>
    <row r="1402" spans="1:1">
      <c r="A1402" s="10" t="s">
        <v>1015</v>
      </c>
    </row>
    <row r="1403" spans="1:1">
      <c r="A1403" s="9" t="s">
        <v>1016</v>
      </c>
    </row>
    <row r="1404" spans="1:1">
      <c r="A1404" s="9" t="s">
        <v>1017</v>
      </c>
    </row>
    <row r="1405" spans="1:1">
      <c r="A1405" s="9" t="s">
        <v>706</v>
      </c>
    </row>
    <row r="1406" spans="1:1">
      <c r="A1406" s="9" t="s">
        <v>1018</v>
      </c>
    </row>
    <row r="1407" spans="1:1">
      <c r="A1407" s="9" t="s">
        <v>1019</v>
      </c>
    </row>
    <row r="1408" spans="1:1">
      <c r="A1408" s="10" t="s">
        <v>1020</v>
      </c>
    </row>
    <row r="1409" spans="1:1">
      <c r="A1409" s="9" t="s">
        <v>1021</v>
      </c>
    </row>
    <row r="1410" spans="1:1">
      <c r="A1410" s="11"/>
    </row>
    <row r="1411" spans="1:1">
      <c r="A1411" s="9" t="s">
        <v>1022</v>
      </c>
    </row>
    <row r="1412" spans="1:1">
      <c r="A1412" s="10" t="s">
        <v>1016</v>
      </c>
    </row>
    <row r="1413" spans="1:1">
      <c r="A1413" s="9" t="s">
        <v>1023</v>
      </c>
    </row>
    <row r="1414" spans="1:1">
      <c r="A1414" s="9" t="s">
        <v>207</v>
      </c>
    </row>
    <row r="1415" spans="1:1">
      <c r="A1415" s="11"/>
    </row>
    <row r="1416" spans="1:1">
      <c r="A1416" s="9" t="s">
        <v>1024</v>
      </c>
    </row>
    <row r="1417" spans="1:1">
      <c r="A1417" s="9" t="s">
        <v>1025</v>
      </c>
    </row>
    <row r="1418" spans="1:1">
      <c r="A1418" s="9" t="s">
        <v>1026</v>
      </c>
    </row>
    <row r="1419" spans="1:1">
      <c r="A1419" s="10" t="s">
        <v>1027</v>
      </c>
    </row>
    <row r="1420" spans="1:1">
      <c r="A1420" s="11"/>
    </row>
    <row r="1421" spans="1:1">
      <c r="A1421" s="9" t="s">
        <v>1028</v>
      </c>
    </row>
    <row r="1422" spans="1:1">
      <c r="A1422" s="9" t="s">
        <v>1029</v>
      </c>
    </row>
    <row r="1423" spans="1:1">
      <c r="A1423" s="10" t="s">
        <v>1030</v>
      </c>
    </row>
    <row r="1424" spans="1:1">
      <c r="A1424" s="9" t="s">
        <v>1031</v>
      </c>
    </row>
    <row r="1425" spans="1:1">
      <c r="A1425" s="11"/>
    </row>
    <row r="1426" spans="1:1">
      <c r="A1426" s="9" t="s">
        <v>1032</v>
      </c>
    </row>
    <row r="1427" spans="1:1">
      <c r="A1427" s="10" t="s">
        <v>1033</v>
      </c>
    </row>
    <row r="1428" spans="1:1">
      <c r="A1428" s="9" t="s">
        <v>1034</v>
      </c>
    </row>
    <row r="1429" spans="1:1">
      <c r="A1429" s="9" t="s">
        <v>1035</v>
      </c>
    </row>
    <row r="1430" spans="1:1">
      <c r="A1430" s="11"/>
    </row>
    <row r="1431" spans="1:1">
      <c r="A1431" s="9" t="s">
        <v>1036</v>
      </c>
    </row>
    <row r="1432" spans="1:1">
      <c r="A1432" s="10" t="s">
        <v>1037</v>
      </c>
    </row>
    <row r="1433" spans="1:1">
      <c r="A1433" s="9" t="s">
        <v>1038</v>
      </c>
    </row>
    <row r="1434" spans="1:1">
      <c r="A1434" s="9" t="s">
        <v>1039</v>
      </c>
    </row>
    <row r="1435" spans="1:1">
      <c r="A1435" s="11"/>
    </row>
    <row r="1436" spans="1:1">
      <c r="A1436" s="9" t="s">
        <v>1040</v>
      </c>
    </row>
    <row r="1437" spans="1:1">
      <c r="A1437" s="9" t="s">
        <v>1041</v>
      </c>
    </row>
    <row r="1438" spans="1:1">
      <c r="A1438" s="10" t="s">
        <v>1042</v>
      </c>
    </row>
    <row r="1439" spans="1:1">
      <c r="A1439" s="9" t="s">
        <v>1043</v>
      </c>
    </row>
    <row r="1440" spans="1:1">
      <c r="A1440" s="11"/>
    </row>
    <row r="1441" spans="1:1">
      <c r="A1441" s="9" t="s">
        <v>1044</v>
      </c>
    </row>
    <row r="1442" spans="1:1">
      <c r="A1442" s="10" t="s">
        <v>1045</v>
      </c>
    </row>
    <row r="1443" spans="1:1">
      <c r="A1443" s="9" t="s">
        <v>1046</v>
      </c>
    </row>
    <row r="1444" spans="1:1">
      <c r="A1444" s="9" t="s">
        <v>1047</v>
      </c>
    </row>
    <row r="1445" spans="1:1">
      <c r="A1445" s="11"/>
    </row>
    <row r="1446" spans="1:1">
      <c r="A1446" s="9" t="s">
        <v>1048</v>
      </c>
    </row>
    <row r="1447" spans="1:1">
      <c r="A1447" s="10" t="s">
        <v>1049</v>
      </c>
    </row>
    <row r="1448" spans="1:1">
      <c r="A1448" s="9" t="s">
        <v>1050</v>
      </c>
    </row>
    <row r="1449" spans="1:1">
      <c r="A1449" s="9" t="s">
        <v>1051</v>
      </c>
    </row>
    <row r="1450" spans="1:1">
      <c r="A1450" s="9"/>
    </row>
    <row r="1451" spans="1:1">
      <c r="A1451" s="9" t="s">
        <v>1052</v>
      </c>
    </row>
    <row r="1452" spans="1:1">
      <c r="A1452" s="9" t="s">
        <v>1053</v>
      </c>
    </row>
    <row r="1453" spans="1:1">
      <c r="A1453" s="10" t="s">
        <v>1054</v>
      </c>
    </row>
    <row r="1454" spans="1:1">
      <c r="A1454" s="9" t="s">
        <v>1055</v>
      </c>
    </row>
    <row r="1455" spans="1:1">
      <c r="A1455" s="11"/>
    </row>
    <row r="1456" spans="1:1">
      <c r="A1456" s="9" t="s">
        <v>1056</v>
      </c>
    </row>
    <row r="1457" spans="1:1">
      <c r="A1457" s="9" t="s">
        <v>1057</v>
      </c>
    </row>
    <row r="1458" spans="1:1">
      <c r="A1458" s="9" t="s">
        <v>1058</v>
      </c>
    </row>
    <row r="1459" spans="1:1">
      <c r="A1459" s="10" t="s">
        <v>1059</v>
      </c>
    </row>
    <row r="1460" spans="1:1">
      <c r="A1460" s="11"/>
    </row>
    <row r="1461" spans="1:1">
      <c r="A1461" s="9" t="s">
        <v>1060</v>
      </c>
    </row>
    <row r="1462" spans="1:1">
      <c r="A1462" s="9" t="s">
        <v>1061</v>
      </c>
    </row>
    <row r="1463" spans="1:1">
      <c r="A1463" s="10" t="s">
        <v>1062</v>
      </c>
    </row>
    <row r="1464" spans="1:1">
      <c r="A1464" s="9" t="s">
        <v>1063</v>
      </c>
    </row>
    <row r="1465" spans="1:1">
      <c r="A1465" s="11"/>
    </row>
    <row r="1466" spans="1:1">
      <c r="A1466" s="9" t="s">
        <v>1064</v>
      </c>
    </row>
    <row r="1467" spans="1:1">
      <c r="A1467" s="9" t="s">
        <v>410</v>
      </c>
    </row>
    <row r="1468" spans="1:1">
      <c r="A1468" s="9" t="s">
        <v>1065</v>
      </c>
    </row>
    <row r="1469" spans="1:1">
      <c r="A1469" s="10" t="s">
        <v>1066</v>
      </c>
    </row>
    <row r="1470" spans="1:1">
      <c r="A1470" s="11"/>
    </row>
    <row r="1471" spans="1:1">
      <c r="A1471" s="9" t="s">
        <v>1067</v>
      </c>
    </row>
    <row r="1472" spans="1:1">
      <c r="A1472" s="10" t="s">
        <v>1068</v>
      </c>
    </row>
    <row r="1473" spans="1:1">
      <c r="A1473" s="9" t="s">
        <v>1069</v>
      </c>
    </row>
    <row r="1474" spans="1:1">
      <c r="A1474" s="9" t="s">
        <v>1070</v>
      </c>
    </row>
    <row r="1475" spans="1:1">
      <c r="A1475" s="11"/>
    </row>
    <row r="1476" spans="1:1">
      <c r="A1476" s="9" t="s">
        <v>1071</v>
      </c>
    </row>
    <row r="1477" spans="1:1">
      <c r="A1477" s="9" t="s">
        <v>1072</v>
      </c>
    </row>
    <row r="1478" spans="1:1">
      <c r="A1478" s="10" t="s">
        <v>1073</v>
      </c>
    </row>
    <row r="1479" spans="1:1">
      <c r="A1479" s="9" t="s">
        <v>1074</v>
      </c>
    </row>
    <row r="1480" spans="1:1">
      <c r="A1480" s="11"/>
    </row>
    <row r="1481" spans="1:1">
      <c r="A1481" s="9" t="s">
        <v>1075</v>
      </c>
    </row>
    <row r="1482" spans="1:1">
      <c r="A1482" s="9" t="s">
        <v>121</v>
      </c>
    </row>
    <row r="1483" spans="1:1">
      <c r="A1483" s="9" t="s">
        <v>697</v>
      </c>
    </row>
    <row r="1484" spans="1:1">
      <c r="A1484" s="10" t="s">
        <v>698</v>
      </c>
    </row>
    <row r="1485" spans="1:1">
      <c r="A1485" s="11"/>
    </row>
    <row r="1486" spans="1:1">
      <c r="A1486" s="9" t="s">
        <v>1076</v>
      </c>
    </row>
    <row r="1487" spans="1:1">
      <c r="A1487" s="9" t="s">
        <v>1077</v>
      </c>
    </row>
    <row r="1488" spans="1:1">
      <c r="A1488" s="9" t="s">
        <v>1078</v>
      </c>
    </row>
    <row r="1489" spans="1:1">
      <c r="A1489" s="10" t="s">
        <v>1079</v>
      </c>
    </row>
    <row r="1490" spans="1:1">
      <c r="A1490" s="11"/>
    </row>
    <row r="1491" spans="1:1">
      <c r="A1491" s="9" t="s">
        <v>1080</v>
      </c>
    </row>
    <row r="1492" spans="1:1">
      <c r="A1492" s="9" t="s">
        <v>1081</v>
      </c>
    </row>
    <row r="1493" spans="1:1">
      <c r="A1493" s="10" t="s">
        <v>1082</v>
      </c>
    </row>
    <row r="1494" spans="1:1">
      <c r="A1494" s="9" t="s">
        <v>1083</v>
      </c>
    </row>
    <row r="1495" spans="1:1">
      <c r="A1495" s="11"/>
    </row>
    <row r="1496" spans="1:1">
      <c r="A1496" s="9" t="s">
        <v>1084</v>
      </c>
    </row>
    <row r="1497" spans="1:1">
      <c r="A1497" s="9" t="s">
        <v>1085</v>
      </c>
    </row>
    <row r="1498" spans="1:1">
      <c r="A1498" s="9" t="s">
        <v>1086</v>
      </c>
    </row>
    <row r="1499" spans="1:1">
      <c r="A1499" s="10" t="s">
        <v>1087</v>
      </c>
    </row>
    <row r="1500" spans="1:1">
      <c r="A1500" s="10"/>
    </row>
    <row r="1501" spans="1:1">
      <c r="A1501" s="9" t="s">
        <v>1088</v>
      </c>
    </row>
    <row r="1502" spans="1:1">
      <c r="A1502" s="9" t="s">
        <v>1089</v>
      </c>
    </row>
    <row r="1503" spans="1:1">
      <c r="A1503" s="9" t="s">
        <v>1090</v>
      </c>
    </row>
    <row r="1504" spans="1:1">
      <c r="A1504" s="10" t="s">
        <v>1091</v>
      </c>
    </row>
    <row r="1505" spans="1:1">
      <c r="A1505" s="11"/>
    </row>
    <row r="1506" spans="1:1">
      <c r="A1506" s="9" t="s">
        <v>1092</v>
      </c>
    </row>
    <row r="1507" spans="1:1">
      <c r="A1507" s="9" t="s">
        <v>1093</v>
      </c>
    </row>
    <row r="1508" spans="1:1">
      <c r="A1508" s="9" t="s">
        <v>1094</v>
      </c>
    </row>
    <row r="1509" spans="1:1">
      <c r="A1509" s="10" t="s">
        <v>1095</v>
      </c>
    </row>
    <row r="1510" spans="1:1">
      <c r="A1510" s="11"/>
    </row>
    <row r="1511" spans="1:1">
      <c r="A1511" s="9" t="s">
        <v>1096</v>
      </c>
    </row>
    <row r="1512" spans="1:1">
      <c r="A1512" s="9" t="s">
        <v>1097</v>
      </c>
    </row>
    <row r="1513" spans="1:1">
      <c r="A1513" s="10" t="s">
        <v>1098</v>
      </c>
    </row>
    <row r="1514" spans="1:1">
      <c r="A1514" s="9" t="s">
        <v>1099</v>
      </c>
    </row>
    <row r="1515" spans="1:1">
      <c r="A1515" s="11"/>
    </row>
    <row r="1516" spans="1:1">
      <c r="A1516" s="9" t="s">
        <v>1100</v>
      </c>
    </row>
    <row r="1517" spans="1:1">
      <c r="A1517" s="10" t="s">
        <v>1101</v>
      </c>
    </row>
    <row r="1518" spans="1:1">
      <c r="A1518" s="9" t="s">
        <v>1102</v>
      </c>
    </row>
    <row r="1519" spans="1:1">
      <c r="A1519" s="9" t="s">
        <v>1103</v>
      </c>
    </row>
    <row r="1520" spans="1:1">
      <c r="A1520" s="11"/>
    </row>
    <row r="1521" spans="1:1">
      <c r="A1521" s="9" t="s">
        <v>1104</v>
      </c>
    </row>
    <row r="1522" spans="1:1">
      <c r="A1522" s="9" t="s">
        <v>1105</v>
      </c>
    </row>
    <row r="1523" spans="1:1">
      <c r="A1523" s="9" t="s">
        <v>1106</v>
      </c>
    </row>
    <row r="1524" spans="1:1">
      <c r="A1524" s="10" t="s">
        <v>1107</v>
      </c>
    </row>
    <row r="1525" spans="1:1">
      <c r="A1525" s="11"/>
    </row>
    <row r="1526" spans="1:1">
      <c r="A1526" s="9" t="s">
        <v>1108</v>
      </c>
    </row>
    <row r="1527" spans="1:1">
      <c r="A1527" s="9" t="s">
        <v>1109</v>
      </c>
    </row>
    <row r="1528" spans="1:1">
      <c r="A1528" s="10" t="s">
        <v>1110</v>
      </c>
    </row>
    <row r="1529" spans="1:1">
      <c r="A1529" s="9" t="s">
        <v>1111</v>
      </c>
    </row>
    <row r="1530" spans="1:1">
      <c r="A1530" s="11"/>
    </row>
    <row r="1531" spans="1:1">
      <c r="A1531" s="9" t="s">
        <v>1112</v>
      </c>
    </row>
    <row r="1532" spans="1:1">
      <c r="A1532" s="9" t="s">
        <v>1065</v>
      </c>
    </row>
    <row r="1533" spans="1:1">
      <c r="A1533" s="10" t="s">
        <v>1113</v>
      </c>
    </row>
    <row r="1534" spans="1:1">
      <c r="A1534" s="9" t="s">
        <v>1114</v>
      </c>
    </row>
    <row r="1535" spans="1:1">
      <c r="A1535" s="11"/>
    </row>
    <row r="1536" spans="1:1">
      <c r="A1536" s="9" t="s">
        <v>1115</v>
      </c>
    </row>
    <row r="1537" spans="1:1">
      <c r="A1537" s="9" t="s">
        <v>1116</v>
      </c>
    </row>
    <row r="1538" spans="1:1">
      <c r="A1538" s="9" t="s">
        <v>1117</v>
      </c>
    </row>
    <row r="1539" spans="1:1">
      <c r="A1539" s="10" t="s">
        <v>1118</v>
      </c>
    </row>
    <row r="1540" spans="1:1">
      <c r="A1540" s="11"/>
    </row>
    <row r="1541" spans="1:1">
      <c r="A1541" s="9" t="s">
        <v>1119</v>
      </c>
    </row>
    <row r="1542" spans="1:1">
      <c r="A1542" s="9" t="s">
        <v>1120</v>
      </c>
    </row>
    <row r="1543" spans="1:1">
      <c r="A1543" s="10" t="s">
        <v>1121</v>
      </c>
    </row>
    <row r="1544" spans="1:1">
      <c r="A1544" s="9" t="s">
        <v>1122</v>
      </c>
    </row>
    <row r="1545" spans="1:1">
      <c r="A1545" s="11"/>
    </row>
    <row r="1546" spans="1:1">
      <c r="A1546" s="9" t="s">
        <v>1123</v>
      </c>
    </row>
    <row r="1547" spans="1:1">
      <c r="A1547" s="9" t="s">
        <v>1124</v>
      </c>
    </row>
    <row r="1548" spans="1:1">
      <c r="A1548" s="10" t="s">
        <v>1125</v>
      </c>
    </row>
    <row r="1549" spans="1:1">
      <c r="A1549" s="9" t="s">
        <v>1126</v>
      </c>
    </row>
    <row r="1550" spans="1:1">
      <c r="A1550" s="11"/>
    </row>
    <row r="1551" spans="1:1">
      <c r="A1551" s="9" t="s">
        <v>1127</v>
      </c>
    </row>
    <row r="1552" spans="1:1">
      <c r="A1552" s="9" t="s">
        <v>1128</v>
      </c>
    </row>
    <row r="1553" spans="1:1">
      <c r="A1553" s="10" t="s">
        <v>1129</v>
      </c>
    </row>
    <row r="1554" spans="1:1">
      <c r="A1554" s="9" t="s">
        <v>1130</v>
      </c>
    </row>
    <row r="1555" spans="1:1">
      <c r="A1555" s="11"/>
    </row>
    <row r="1556" spans="1:1">
      <c r="A1556" s="9" t="s">
        <v>1131</v>
      </c>
    </row>
    <row r="1557" spans="1:1">
      <c r="A1557" s="9" t="s">
        <v>1132</v>
      </c>
    </row>
    <row r="1558" spans="1:1">
      <c r="A1558" s="9" t="s">
        <v>1133</v>
      </c>
    </row>
    <row r="1559" spans="1:1">
      <c r="A1559" s="10" t="s">
        <v>1134</v>
      </c>
    </row>
    <row r="1560" spans="1:1">
      <c r="A1560" s="10"/>
    </row>
    <row r="1561" spans="1:1">
      <c r="A1561" s="9" t="s">
        <v>1135</v>
      </c>
    </row>
    <row r="1562" spans="1:1">
      <c r="A1562" s="10" t="s">
        <v>1136</v>
      </c>
    </row>
    <row r="1563" spans="1:1">
      <c r="A1563" s="9" t="s">
        <v>1137</v>
      </c>
    </row>
    <row r="1564" spans="1:1">
      <c r="A1564" s="9" t="s">
        <v>1138</v>
      </c>
    </row>
    <row r="1565" spans="1:1">
      <c r="A1565" s="11"/>
    </row>
    <row r="1566" spans="1:1">
      <c r="A1566" s="9" t="s">
        <v>1139</v>
      </c>
    </row>
    <row r="1567" spans="1:1">
      <c r="A1567" s="9" t="s">
        <v>1140</v>
      </c>
    </row>
    <row r="1568" spans="1:1">
      <c r="A1568" s="10" t="s">
        <v>1141</v>
      </c>
    </row>
    <row r="1569" spans="1:1">
      <c r="A1569" s="9" t="s">
        <v>1142</v>
      </c>
    </row>
    <row r="1570" spans="1:1">
      <c r="A1570" s="11"/>
    </row>
    <row r="1571" spans="1:1">
      <c r="A1571" s="9" t="s">
        <v>1143</v>
      </c>
    </row>
    <row r="1572" spans="1:1">
      <c r="A1572" s="9" t="s">
        <v>1144</v>
      </c>
    </row>
    <row r="1573" spans="1:1">
      <c r="A1573" s="9" t="s">
        <v>1145</v>
      </c>
    </row>
    <row r="1574" spans="1:1">
      <c r="A1574" s="10" t="s">
        <v>1146</v>
      </c>
    </row>
    <row r="1575" spans="1:1">
      <c r="A1575" s="11"/>
    </row>
    <row r="1576" spans="1:1">
      <c r="A1576" s="9" t="s">
        <v>1147</v>
      </c>
    </row>
    <row r="1577" spans="1:1">
      <c r="A1577" s="9" t="s">
        <v>1148</v>
      </c>
    </row>
    <row r="1578" spans="1:1">
      <c r="A1578" s="9" t="s">
        <v>1149</v>
      </c>
    </row>
    <row r="1579" spans="1:1">
      <c r="A1579" s="10" t="s">
        <v>1150</v>
      </c>
    </row>
    <row r="1580" spans="1:1">
      <c r="A1580" s="11"/>
    </row>
    <row r="1581" spans="1:1">
      <c r="A1581" s="9" t="s">
        <v>1151</v>
      </c>
    </row>
    <row r="1582" spans="1:1">
      <c r="A1582" s="10" t="s">
        <v>1152</v>
      </c>
    </row>
    <row r="1583" spans="1:1">
      <c r="A1583" s="9" t="s">
        <v>1153</v>
      </c>
    </row>
    <row r="1584" spans="1:1">
      <c r="A1584" s="9" t="s">
        <v>1154</v>
      </c>
    </row>
    <row r="1585" spans="1:1">
      <c r="A1585" s="11"/>
    </row>
    <row r="1586" spans="1:1">
      <c r="A1586" s="9" t="s">
        <v>1155</v>
      </c>
    </row>
    <row r="1587" spans="1:1">
      <c r="A1587" s="10" t="s">
        <v>1156</v>
      </c>
    </row>
    <row r="1588" spans="1:1">
      <c r="A1588" s="9" t="s">
        <v>1157</v>
      </c>
    </row>
    <row r="1589" spans="1:1">
      <c r="A1589" s="9" t="s">
        <v>1158</v>
      </c>
    </row>
    <row r="1590" spans="1:1">
      <c r="A1590" s="11"/>
    </row>
    <row r="1591" spans="1:1">
      <c r="A1591" s="9" t="s">
        <v>1159</v>
      </c>
    </row>
    <row r="1592" spans="1:1">
      <c r="A1592" s="9" t="s">
        <v>1160</v>
      </c>
    </row>
    <row r="1593" spans="1:1">
      <c r="A1593" s="9" t="s">
        <v>1161</v>
      </c>
    </row>
    <row r="1594" spans="1:1">
      <c r="A1594" s="10" t="s">
        <v>1162</v>
      </c>
    </row>
    <row r="1595" spans="1:1">
      <c r="A1595" s="11"/>
    </row>
    <row r="1596" spans="1:1">
      <c r="A1596" s="9" t="s">
        <v>1163</v>
      </c>
    </row>
    <row r="1597" spans="1:1">
      <c r="A1597" s="9" t="s">
        <v>1164</v>
      </c>
    </row>
    <row r="1598" spans="1:1">
      <c r="A1598" s="10" t="s">
        <v>1165</v>
      </c>
    </row>
    <row r="1599" spans="1:1">
      <c r="A1599" s="9" t="s">
        <v>1166</v>
      </c>
    </row>
    <row r="1600" spans="1:1">
      <c r="A1600" s="11"/>
    </row>
    <row r="1601" spans="1:1">
      <c r="A1601" s="9" t="s">
        <v>1167</v>
      </c>
    </row>
    <row r="1602" spans="1:1">
      <c r="A1602" s="10" t="s">
        <v>1168</v>
      </c>
    </row>
    <row r="1603" spans="1:1">
      <c r="A1603" s="9" t="s">
        <v>1169</v>
      </c>
    </row>
    <row r="1604" spans="1:1">
      <c r="A1604" s="9" t="s">
        <v>1170</v>
      </c>
    </row>
    <row r="1605" spans="1:1">
      <c r="A1605" s="11"/>
    </row>
    <row r="1606" spans="1:1">
      <c r="A1606" s="9" t="s">
        <v>1171</v>
      </c>
    </row>
    <row r="1607" spans="1:1">
      <c r="A1607" s="9">
        <v>200</v>
      </c>
    </row>
    <row r="1608" spans="1:1">
      <c r="A1608" s="10">
        <v>300</v>
      </c>
    </row>
    <row r="1609" spans="1:1">
      <c r="A1609" s="9">
        <v>500</v>
      </c>
    </row>
    <row r="1610" spans="1:1">
      <c r="A1610" s="11"/>
    </row>
    <row r="1611" spans="1:1">
      <c r="A1611" s="9" t="s">
        <v>1172</v>
      </c>
    </row>
    <row r="1612" spans="1:1">
      <c r="A1612" s="9" t="s">
        <v>1173</v>
      </c>
    </row>
    <row r="1613" spans="1:1">
      <c r="A1613" s="10" t="s">
        <v>1174</v>
      </c>
    </row>
    <row r="1614" spans="1:1">
      <c r="A1614" s="9" t="s">
        <v>1175</v>
      </c>
    </row>
    <row r="1615" spans="1:1">
      <c r="A1615" s="11"/>
    </row>
    <row r="1616" spans="1:1">
      <c r="A1616" s="9" t="s">
        <v>1176</v>
      </c>
    </row>
    <row r="1617" spans="1:1">
      <c r="A1617" s="10" t="s">
        <v>824</v>
      </c>
    </row>
    <row r="1618" spans="1:1">
      <c r="A1618" s="9" t="s">
        <v>1177</v>
      </c>
    </row>
    <row r="1619" spans="1:1">
      <c r="A1619" s="9" t="s">
        <v>1178</v>
      </c>
    </row>
    <row r="1620" spans="1:1">
      <c r="A1620" s="11"/>
    </row>
    <row r="1621" spans="1:1">
      <c r="A1621" s="9" t="s">
        <v>4328</v>
      </c>
    </row>
    <row r="1622" spans="1:1">
      <c r="A1622" s="9" t="s">
        <v>1179</v>
      </c>
    </row>
    <row r="1623" spans="1:1">
      <c r="A1623" s="10" t="s">
        <v>4329</v>
      </c>
    </row>
    <row r="1624" spans="1:1">
      <c r="A1624" s="9" t="s">
        <v>1180</v>
      </c>
    </row>
    <row r="1625" spans="1:1">
      <c r="A1625" s="11"/>
    </row>
    <row r="1626" spans="1:1">
      <c r="A1626" s="9" t="s">
        <v>1181</v>
      </c>
    </row>
    <row r="1627" spans="1:1">
      <c r="A1627" s="9" t="s">
        <v>1182</v>
      </c>
    </row>
    <row r="1628" spans="1:1">
      <c r="A1628" s="9" t="s">
        <v>803</v>
      </c>
    </row>
    <row r="1629" spans="1:1">
      <c r="A1629" s="10" t="s">
        <v>1183</v>
      </c>
    </row>
    <row r="1630" spans="1:1">
      <c r="A1630" s="11"/>
    </row>
    <row r="1631" spans="1:1">
      <c r="A1631" s="9" t="s">
        <v>1184</v>
      </c>
    </row>
    <row r="1632" spans="1:1">
      <c r="A1632" s="9" t="s">
        <v>1185</v>
      </c>
    </row>
    <row r="1633" spans="1:1">
      <c r="A1633" s="9" t="s">
        <v>1186</v>
      </c>
    </row>
    <row r="1634" spans="1:1">
      <c r="A1634" s="10" t="s">
        <v>1187</v>
      </c>
    </row>
    <row r="1635" spans="1:1">
      <c r="A1635" s="11"/>
    </row>
    <row r="1636" spans="1:1">
      <c r="A1636" s="9" t="s">
        <v>1188</v>
      </c>
    </row>
    <row r="1637" spans="1:1">
      <c r="A1637" s="10" t="s">
        <v>1189</v>
      </c>
    </row>
    <row r="1638" spans="1:1">
      <c r="A1638" s="9" t="s">
        <v>1190</v>
      </c>
    </row>
    <row r="1639" spans="1:1">
      <c r="A1639" s="9" t="s">
        <v>1191</v>
      </c>
    </row>
    <row r="1640" spans="1:1">
      <c r="A1640" s="11"/>
    </row>
    <row r="1641" spans="1:1">
      <c r="A1641" s="9" t="s">
        <v>1192</v>
      </c>
    </row>
    <row r="1642" spans="1:1">
      <c r="A1642" s="9" t="s">
        <v>1193</v>
      </c>
    </row>
    <row r="1643" spans="1:1">
      <c r="A1643" s="9" t="s">
        <v>1194</v>
      </c>
    </row>
    <row r="1644" spans="1:1">
      <c r="A1644" s="10" t="s">
        <v>1195</v>
      </c>
    </row>
    <row r="1645" spans="1:1">
      <c r="A1645" s="11"/>
    </row>
    <row r="1646" spans="1:1">
      <c r="A1646" s="9" t="s">
        <v>1196</v>
      </c>
    </row>
    <row r="1647" spans="1:1">
      <c r="A1647" s="10">
        <v>0</v>
      </c>
    </row>
    <row r="1648" spans="1:1">
      <c r="A1648" s="9">
        <v>1</v>
      </c>
    </row>
    <row r="1649" spans="1:1">
      <c r="A1649" s="9">
        <v>362880</v>
      </c>
    </row>
    <row r="1650" spans="1:1">
      <c r="A1650" s="11"/>
    </row>
    <row r="1651" spans="1:1">
      <c r="A1651" s="9" t="s">
        <v>1197</v>
      </c>
    </row>
    <row r="1652" spans="1:1">
      <c r="A1652" s="9" t="s">
        <v>1198</v>
      </c>
    </row>
    <row r="1653" spans="1:1">
      <c r="A1653" s="10" t="s">
        <v>1199</v>
      </c>
    </row>
    <row r="1654" spans="1:1">
      <c r="A1654" s="9" t="s">
        <v>1200</v>
      </c>
    </row>
    <row r="1655" spans="1:1">
      <c r="A1655" s="11"/>
    </row>
    <row r="1656" spans="1:1">
      <c r="A1656" s="9" t="s">
        <v>1201</v>
      </c>
    </row>
    <row r="1657" spans="1:1">
      <c r="A1657" s="9" t="s">
        <v>1202</v>
      </c>
    </row>
    <row r="1658" spans="1:1">
      <c r="A1658" s="10" t="s">
        <v>557</v>
      </c>
    </row>
    <row r="1659" spans="1:1">
      <c r="A1659" s="9" t="s">
        <v>599</v>
      </c>
    </row>
    <row r="1660" spans="1:1">
      <c r="A1660" s="11"/>
    </row>
    <row r="1661" spans="1:1">
      <c r="A1661" s="9" t="s">
        <v>1203</v>
      </c>
    </row>
    <row r="1662" spans="1:1">
      <c r="A1662" s="9" t="s">
        <v>1204</v>
      </c>
    </row>
    <row r="1663" spans="1:1">
      <c r="A1663" s="9" t="s">
        <v>1205</v>
      </c>
    </row>
    <row r="1664" spans="1:1">
      <c r="A1664" s="10" t="s">
        <v>1206</v>
      </c>
    </row>
    <row r="1665" spans="1:1">
      <c r="A1665" s="11"/>
    </row>
    <row r="1666" spans="1:1">
      <c r="A1666" s="9" t="s">
        <v>1207</v>
      </c>
    </row>
    <row r="1667" spans="1:1">
      <c r="A1667" s="10" t="s">
        <v>259</v>
      </c>
    </row>
    <row r="1668" spans="1:1">
      <c r="A1668" s="9" t="s">
        <v>1208</v>
      </c>
    </row>
    <row r="1669" spans="1:1">
      <c r="A1669" s="9" t="s">
        <v>1209</v>
      </c>
    </row>
    <row r="1670" spans="1:1">
      <c r="A1670" s="11"/>
    </row>
    <row r="1671" spans="1:1">
      <c r="A1671" s="9" t="s">
        <v>1210</v>
      </c>
    </row>
    <row r="1672" spans="1:1">
      <c r="A1672" s="9" t="s">
        <v>1211</v>
      </c>
    </row>
    <row r="1673" spans="1:1">
      <c r="A1673" s="9" t="s">
        <v>69</v>
      </c>
    </row>
    <row r="1674" spans="1:1">
      <c r="A1674" s="10" t="s">
        <v>1212</v>
      </c>
    </row>
    <row r="1675" spans="1:1">
      <c r="A1675" s="11"/>
    </row>
    <row r="1676" spans="1:1">
      <c r="A1676" s="9" t="s">
        <v>1213</v>
      </c>
    </row>
    <row r="1677" spans="1:1">
      <c r="A1677" s="9" t="s">
        <v>1214</v>
      </c>
    </row>
    <row r="1678" spans="1:1">
      <c r="A1678" s="10" t="s">
        <v>1215</v>
      </c>
    </row>
    <row r="1679" spans="1:1">
      <c r="A1679" s="9" t="s">
        <v>1216</v>
      </c>
    </row>
    <row r="1680" spans="1:1">
      <c r="A1680" s="9"/>
    </row>
    <row r="1681" spans="1:1">
      <c r="A1681" s="9" t="s">
        <v>1217</v>
      </c>
    </row>
    <row r="1682" spans="1:1">
      <c r="A1682" s="9" t="s">
        <v>1218</v>
      </c>
    </row>
    <row r="1683" spans="1:1">
      <c r="A1683" s="9" t="s">
        <v>1219</v>
      </c>
    </row>
    <row r="1684" spans="1:1">
      <c r="A1684" s="10" t="s">
        <v>1220</v>
      </c>
    </row>
    <row r="1685" spans="1:1">
      <c r="A1685" s="11"/>
    </row>
    <row r="1686" spans="1:1">
      <c r="A1686" s="9" t="s">
        <v>1221</v>
      </c>
    </row>
    <row r="1687" spans="1:1">
      <c r="A1687" s="9" t="s">
        <v>1222</v>
      </c>
    </row>
    <row r="1688" spans="1:1">
      <c r="A1688" s="10" t="s">
        <v>1223</v>
      </c>
    </row>
    <row r="1689" spans="1:1">
      <c r="A1689" s="9" t="s">
        <v>1224</v>
      </c>
    </row>
    <row r="1690" spans="1:1">
      <c r="A1690" s="11"/>
    </row>
    <row r="1691" spans="1:1">
      <c r="A1691" s="9" t="s">
        <v>1225</v>
      </c>
    </row>
    <row r="1692" spans="1:1">
      <c r="A1692" s="9" t="s">
        <v>1226</v>
      </c>
    </row>
    <row r="1693" spans="1:1">
      <c r="A1693" s="10" t="s">
        <v>1227</v>
      </c>
    </row>
    <row r="1694" spans="1:1">
      <c r="A1694" s="9" t="s">
        <v>1228</v>
      </c>
    </row>
    <row r="1695" spans="1:1">
      <c r="A1695" s="11"/>
    </row>
    <row r="1696" spans="1:1">
      <c r="A1696" s="9" t="s">
        <v>1229</v>
      </c>
    </row>
    <row r="1697" spans="1:1">
      <c r="A1697" s="9" t="s">
        <v>1230</v>
      </c>
    </row>
    <row r="1698" spans="1:1">
      <c r="A1698" s="10" t="s">
        <v>1231</v>
      </c>
    </row>
    <row r="1699" spans="1:1">
      <c r="A1699" s="9" t="s">
        <v>1232</v>
      </c>
    </row>
    <row r="1700" spans="1:1">
      <c r="A1700" s="11"/>
    </row>
    <row r="1701" spans="1:1">
      <c r="A1701" s="9" t="s">
        <v>1233</v>
      </c>
    </row>
    <row r="1702" spans="1:1">
      <c r="A1702" s="10" t="s">
        <v>1234</v>
      </c>
    </row>
    <row r="1703" spans="1:1">
      <c r="A1703" s="9" t="s">
        <v>1235</v>
      </c>
    </row>
    <row r="1704" spans="1:1">
      <c r="A1704" s="9" t="s">
        <v>1236</v>
      </c>
    </row>
    <row r="1705" spans="1:1">
      <c r="A1705" s="9"/>
    </row>
    <row r="1706" spans="1:1">
      <c r="A1706" s="9" t="s">
        <v>1237</v>
      </c>
    </row>
    <row r="1707" spans="1:1">
      <c r="A1707" s="9" t="s">
        <v>1238</v>
      </c>
    </row>
    <row r="1708" spans="1:1">
      <c r="A1708" s="10" t="s">
        <v>128</v>
      </c>
    </row>
    <row r="1709" spans="1:1">
      <c r="A1709" s="9" t="s">
        <v>1239</v>
      </c>
    </row>
    <row r="1710" spans="1:1">
      <c r="A1710" s="11"/>
    </row>
    <row r="1711" spans="1:1">
      <c r="A1711" s="9" t="s">
        <v>1240</v>
      </c>
    </row>
    <row r="1712" spans="1:1">
      <c r="A1712" s="9" t="s">
        <v>1241</v>
      </c>
    </row>
    <row r="1713" spans="1:1">
      <c r="A1713" s="10" t="s">
        <v>1242</v>
      </c>
    </row>
    <row r="1714" spans="1:1">
      <c r="A1714" s="9" t="s">
        <v>1243</v>
      </c>
    </row>
    <row r="1715" spans="1:1">
      <c r="A1715" s="11"/>
    </row>
    <row r="1716" spans="1:1">
      <c r="A1716" s="9" t="s">
        <v>1244</v>
      </c>
    </row>
    <row r="1717" spans="1:1">
      <c r="A1717" s="9" t="s">
        <v>1245</v>
      </c>
    </row>
    <row r="1718" spans="1:1">
      <c r="A1718" s="10" t="s">
        <v>1246</v>
      </c>
    </row>
    <row r="1719" spans="1:1">
      <c r="A1719" s="9" t="s">
        <v>1247</v>
      </c>
    </row>
    <row r="1720" spans="1:1">
      <c r="A1720" s="11"/>
    </row>
    <row r="1721" spans="1:1">
      <c r="A1721" s="9" t="s">
        <v>1248</v>
      </c>
    </row>
    <row r="1722" spans="1:1">
      <c r="A1722" s="10" t="s">
        <v>1249</v>
      </c>
    </row>
    <row r="1723" spans="1:1">
      <c r="A1723" s="9" t="s">
        <v>1250</v>
      </c>
    </row>
    <row r="1724" spans="1:1">
      <c r="A1724" s="9" t="s">
        <v>1251</v>
      </c>
    </row>
    <row r="1725" spans="1:1">
      <c r="A1725" s="11"/>
    </row>
    <row r="1726" spans="1:1">
      <c r="A1726" s="9" t="s">
        <v>1252</v>
      </c>
    </row>
    <row r="1727" spans="1:1">
      <c r="A1727" s="9" t="s">
        <v>803</v>
      </c>
    </row>
    <row r="1728" spans="1:1">
      <c r="A1728" s="9" t="s">
        <v>1253</v>
      </c>
    </row>
    <row r="1729" spans="1:1">
      <c r="A1729" s="10" t="s">
        <v>1254</v>
      </c>
    </row>
    <row r="1730" spans="1:1">
      <c r="A1730" s="11"/>
    </row>
    <row r="1731" spans="1:1">
      <c r="A1731" s="9" t="s">
        <v>1255</v>
      </c>
    </row>
    <row r="1732" spans="1:1">
      <c r="A1732" s="9" t="s">
        <v>1256</v>
      </c>
    </row>
    <row r="1733" spans="1:1">
      <c r="A1733" s="9" t="s">
        <v>1257</v>
      </c>
    </row>
    <row r="1734" spans="1:1">
      <c r="A1734" s="10" t="s">
        <v>1258</v>
      </c>
    </row>
    <row r="1735" spans="1:1">
      <c r="A1735" s="11"/>
    </row>
    <row r="1736" spans="1:1">
      <c r="A1736" s="9" t="s">
        <v>1259</v>
      </c>
    </row>
    <row r="1737" spans="1:1">
      <c r="A1737" s="9" t="s">
        <v>1260</v>
      </c>
    </row>
    <row r="1738" spans="1:1">
      <c r="A1738" s="9" t="s">
        <v>1261</v>
      </c>
    </row>
    <row r="1739" spans="1:1">
      <c r="A1739" s="10" t="s">
        <v>1262</v>
      </c>
    </row>
    <row r="1740" spans="1:1">
      <c r="A1740" s="10"/>
    </row>
    <row r="1741" spans="1:1">
      <c r="A1741" s="9" t="s">
        <v>1263</v>
      </c>
    </row>
    <row r="1742" spans="1:1">
      <c r="A1742" s="9" t="s">
        <v>1264</v>
      </c>
    </row>
    <row r="1743" spans="1:1">
      <c r="A1743" s="10" t="s">
        <v>1265</v>
      </c>
    </row>
    <row r="1744" spans="1:1">
      <c r="A1744" s="9" t="s">
        <v>1266</v>
      </c>
    </row>
    <row r="1745" spans="1:1">
      <c r="A1745" s="11"/>
    </row>
    <row r="1746" spans="1:1">
      <c r="A1746" s="9" t="s">
        <v>1267</v>
      </c>
    </row>
    <row r="1747" spans="1:1">
      <c r="A1747" s="9" t="s">
        <v>1268</v>
      </c>
    </row>
    <row r="1748" spans="1:1">
      <c r="A1748" s="9" t="s">
        <v>1269</v>
      </c>
    </row>
    <row r="1749" spans="1:1">
      <c r="A1749" s="10" t="s">
        <v>1270</v>
      </c>
    </row>
    <row r="1750" spans="1:1">
      <c r="A1750" s="11"/>
    </row>
    <row r="1751" spans="1:1">
      <c r="A1751" s="9" t="s">
        <v>1271</v>
      </c>
    </row>
    <row r="1752" spans="1:1">
      <c r="A1752" s="9" t="s">
        <v>1272</v>
      </c>
    </row>
    <row r="1753" spans="1:1">
      <c r="A1753" s="10" t="s">
        <v>1273</v>
      </c>
    </row>
    <row r="1754" spans="1:1">
      <c r="A1754" s="9" t="s">
        <v>1274</v>
      </c>
    </row>
    <row r="1755" spans="1:1">
      <c r="A1755" s="11"/>
    </row>
    <row r="1756" spans="1:1">
      <c r="A1756" s="9" t="s">
        <v>1275</v>
      </c>
    </row>
    <row r="1757" spans="1:1">
      <c r="A1757" s="9" t="s">
        <v>1276</v>
      </c>
    </row>
    <row r="1758" spans="1:1">
      <c r="A1758" s="9" t="s">
        <v>1277</v>
      </c>
    </row>
    <row r="1759" spans="1:1">
      <c r="A1759" s="10" t="s">
        <v>1278</v>
      </c>
    </row>
    <row r="1760" spans="1:1">
      <c r="A1760" s="11"/>
    </row>
    <row r="1761" spans="1:1">
      <c r="A1761" s="9" t="s">
        <v>1279</v>
      </c>
    </row>
    <row r="1762" spans="1:1">
      <c r="A1762" s="9" t="s">
        <v>917</v>
      </c>
    </row>
    <row r="1763" spans="1:1">
      <c r="A1763" s="9" t="s">
        <v>1023</v>
      </c>
    </row>
    <row r="1764" spans="1:1">
      <c r="A1764" s="10" t="s">
        <v>555</v>
      </c>
    </row>
    <row r="1765" spans="1:1">
      <c r="A1765" s="11"/>
    </row>
    <row r="1766" spans="1:1">
      <c r="A1766" s="9" t="s">
        <v>1280</v>
      </c>
    </row>
    <row r="1767" spans="1:1">
      <c r="A1767" s="9" t="s">
        <v>1281</v>
      </c>
    </row>
    <row r="1768" spans="1:1">
      <c r="A1768" s="10" t="s">
        <v>128</v>
      </c>
    </row>
    <row r="1769" spans="1:1">
      <c r="A1769" s="9" t="s">
        <v>1282</v>
      </c>
    </row>
    <row r="1770" spans="1:1">
      <c r="A1770" s="9"/>
    </row>
    <row r="1771" spans="1:1">
      <c r="A1771" s="9" t="s">
        <v>1283</v>
      </c>
    </row>
    <row r="1772" spans="1:1">
      <c r="A1772" s="9" t="s">
        <v>1284</v>
      </c>
    </row>
    <row r="1773" spans="1:1">
      <c r="A1773" s="10" t="s">
        <v>1285</v>
      </c>
    </row>
    <row r="1774" spans="1:1">
      <c r="A1774" s="9" t="s">
        <v>1202</v>
      </c>
    </row>
    <row r="1775" spans="1:1">
      <c r="A1775" s="11"/>
    </row>
    <row r="1776" spans="1:1">
      <c r="A1776" s="9" t="s">
        <v>1286</v>
      </c>
    </row>
    <row r="1777" spans="1:1">
      <c r="A1777" s="10" t="s">
        <v>875</v>
      </c>
    </row>
    <row r="1778" spans="1:1">
      <c r="A1778" s="9" t="s">
        <v>876</v>
      </c>
    </row>
    <row r="1779" spans="1:1">
      <c r="A1779" s="9" t="s">
        <v>557</v>
      </c>
    </row>
    <row r="1780" spans="1:1">
      <c r="A1780" s="11"/>
    </row>
    <row r="1781" spans="1:1">
      <c r="A1781" s="9" t="s">
        <v>1287</v>
      </c>
    </row>
    <row r="1782" spans="1:1">
      <c r="A1782" s="10" t="s">
        <v>852</v>
      </c>
    </row>
    <row r="1783" spans="1:1">
      <c r="A1783" s="9" t="s">
        <v>555</v>
      </c>
    </row>
    <row r="1784" spans="1:1">
      <c r="A1784" s="9" t="s">
        <v>93</v>
      </c>
    </row>
    <row r="1785" spans="1:1">
      <c r="A1785" s="11"/>
    </row>
    <row r="1786" spans="1:1">
      <c r="A1786" s="9" t="s">
        <v>1288</v>
      </c>
    </row>
    <row r="1787" spans="1:1">
      <c r="A1787" s="9" t="s">
        <v>1289</v>
      </c>
    </row>
    <row r="1788" spans="1:1">
      <c r="A1788" s="9" t="s">
        <v>1290</v>
      </c>
    </row>
    <row r="1789" spans="1:1">
      <c r="A1789" s="10" t="s">
        <v>1291</v>
      </c>
    </row>
    <row r="1790" spans="1:1">
      <c r="A1790" s="11"/>
    </row>
    <row r="1791" spans="1:1">
      <c r="A1791" s="9" t="s">
        <v>1292</v>
      </c>
    </row>
    <row r="1792" spans="1:1">
      <c r="A1792" s="10" t="s">
        <v>1293</v>
      </c>
    </row>
    <row r="1793" spans="1:1">
      <c r="A1793" s="9" t="s">
        <v>1294</v>
      </c>
    </row>
    <row r="1794" spans="1:1">
      <c r="A1794" s="9" t="s">
        <v>1295</v>
      </c>
    </row>
    <row r="1795" spans="1:1">
      <c r="A1795" s="11"/>
    </row>
    <row r="1796" spans="1:1">
      <c r="A1796" s="9" t="s">
        <v>1296</v>
      </c>
    </row>
    <row r="1797" spans="1:1">
      <c r="A1797" s="9" t="s">
        <v>1297</v>
      </c>
    </row>
    <row r="1798" spans="1:1">
      <c r="A1798" s="10" t="s">
        <v>1298</v>
      </c>
    </row>
    <row r="1799" spans="1:1">
      <c r="A1799" s="9" t="s">
        <v>1299</v>
      </c>
    </row>
    <row r="1800" spans="1:1">
      <c r="A1800" s="11"/>
    </row>
    <row r="1801" spans="1:1">
      <c r="A1801" s="9" t="s">
        <v>1300</v>
      </c>
    </row>
    <row r="1802" spans="1:1">
      <c r="A1802" s="9" t="s">
        <v>1301</v>
      </c>
    </row>
    <row r="1803" spans="1:1">
      <c r="A1803" s="10" t="s">
        <v>1302</v>
      </c>
    </row>
    <row r="1804" spans="1:1">
      <c r="A1804" s="9" t="s">
        <v>1303</v>
      </c>
    </row>
    <row r="1805" spans="1:1">
      <c r="A1805" s="9"/>
    </row>
    <row r="1806" spans="1:1">
      <c r="A1806" s="9" t="s">
        <v>1304</v>
      </c>
    </row>
    <row r="1807" spans="1:1">
      <c r="A1807" s="9" t="s">
        <v>877</v>
      </c>
    </row>
    <row r="1808" spans="1:1">
      <c r="A1808" s="9" t="s">
        <v>1023</v>
      </c>
    </row>
    <row r="1809" spans="1:1">
      <c r="A1809" s="10" t="s">
        <v>1305</v>
      </c>
    </row>
    <row r="1810" spans="1:1">
      <c r="A1810" s="11"/>
    </row>
    <row r="1811" spans="1:1">
      <c r="A1811" s="9" t="s">
        <v>1306</v>
      </c>
    </row>
    <row r="1812" spans="1:1">
      <c r="A1812" s="10" t="s">
        <v>1307</v>
      </c>
    </row>
    <row r="1813" spans="1:1">
      <c r="A1813" s="9" t="s">
        <v>1308</v>
      </c>
    </row>
    <row r="1814" spans="1:1">
      <c r="A1814" s="9" t="s">
        <v>1309</v>
      </c>
    </row>
    <row r="1815" spans="1:1">
      <c r="A1815" s="11"/>
    </row>
    <row r="1816" spans="1:1">
      <c r="A1816" s="9" t="s">
        <v>1310</v>
      </c>
    </row>
    <row r="1817" spans="1:1">
      <c r="A1817" s="9" t="s">
        <v>1311</v>
      </c>
    </row>
    <row r="1818" spans="1:1">
      <c r="A1818" s="9" t="s">
        <v>1312</v>
      </c>
    </row>
    <row r="1819" spans="1:1">
      <c r="A1819" s="10" t="s">
        <v>1313</v>
      </c>
    </row>
    <row r="1820" spans="1:1">
      <c r="A1820" s="10"/>
    </row>
    <row r="1821" spans="1:1">
      <c r="A1821" s="9" t="s">
        <v>1314</v>
      </c>
    </row>
    <row r="1822" spans="1:1">
      <c r="A1822" s="9" t="s">
        <v>1315</v>
      </c>
    </row>
    <row r="1823" spans="1:1">
      <c r="A1823" s="10" t="s">
        <v>1316</v>
      </c>
    </row>
    <row r="1824" spans="1:1">
      <c r="A1824" s="9" t="s">
        <v>1317</v>
      </c>
    </row>
    <row r="1825" spans="1:1">
      <c r="A1825" s="9"/>
    </row>
    <row r="1826" spans="1:1">
      <c r="A1826" s="9" t="s">
        <v>1318</v>
      </c>
    </row>
    <row r="1827" spans="1:1">
      <c r="A1827" s="9" t="s">
        <v>214</v>
      </c>
    </row>
    <row r="1828" spans="1:1">
      <c r="A1828" s="10" t="s">
        <v>213</v>
      </c>
    </row>
    <row r="1829" spans="1:1">
      <c r="A1829" s="9" t="s">
        <v>1319</v>
      </c>
    </row>
    <row r="1830" spans="1:1">
      <c r="A1830" s="11"/>
    </row>
    <row r="1831" spans="1:1">
      <c r="A1831" s="9" t="s">
        <v>1320</v>
      </c>
    </row>
    <row r="1832" spans="1:1">
      <c r="A1832" s="9" t="s">
        <v>1321</v>
      </c>
    </row>
    <row r="1833" spans="1:1">
      <c r="A1833" s="10" t="s">
        <v>1322</v>
      </c>
    </row>
    <row r="1834" spans="1:1">
      <c r="A1834" s="9" t="s">
        <v>1323</v>
      </c>
    </row>
    <row r="1835" spans="1:1">
      <c r="A1835" s="11"/>
    </row>
    <row r="1836" spans="1:1">
      <c r="A1836" s="9" t="s">
        <v>1324</v>
      </c>
    </row>
    <row r="1837" spans="1:1">
      <c r="A1837" s="9" t="s">
        <v>1325</v>
      </c>
    </row>
    <row r="1838" spans="1:1">
      <c r="A1838" s="10" t="s">
        <v>1023</v>
      </c>
    </row>
    <row r="1839" spans="1:1">
      <c r="A1839" s="9" t="s">
        <v>395</v>
      </c>
    </row>
    <row r="1840" spans="1:1">
      <c r="A1840" s="11"/>
    </row>
    <row r="1841" spans="1:1">
      <c r="A1841" s="9" t="s">
        <v>1326</v>
      </c>
    </row>
    <row r="1842" spans="1:1">
      <c r="A1842" s="10" t="s">
        <v>1327</v>
      </c>
    </row>
    <row r="1843" spans="1:1">
      <c r="A1843" s="9" t="s">
        <v>1328</v>
      </c>
    </row>
    <row r="1844" spans="1:1">
      <c r="A1844" s="9" t="s">
        <v>1329</v>
      </c>
    </row>
    <row r="1845" spans="1:1">
      <c r="A1845" s="11"/>
    </row>
    <row r="1846" spans="1:1">
      <c r="A1846" s="9" t="s">
        <v>1330</v>
      </c>
    </row>
    <row r="1847" spans="1:1">
      <c r="A1847" s="9" t="s">
        <v>1331</v>
      </c>
    </row>
    <row r="1848" spans="1:1">
      <c r="A1848" s="10" t="s">
        <v>1332</v>
      </c>
    </row>
    <row r="1849" spans="1:1">
      <c r="A1849" s="9" t="s">
        <v>1333</v>
      </c>
    </row>
    <row r="1850" spans="1:1">
      <c r="A1850" s="11"/>
    </row>
    <row r="1851" spans="1:1">
      <c r="A1851" s="9" t="s">
        <v>1334</v>
      </c>
    </row>
    <row r="1852" spans="1:1">
      <c r="A1852" s="10" t="s">
        <v>1335</v>
      </c>
    </row>
    <row r="1853" spans="1:1">
      <c r="A1853" s="9" t="s">
        <v>1336</v>
      </c>
    </row>
    <row r="1854" spans="1:1">
      <c r="A1854" s="9" t="s">
        <v>1337</v>
      </c>
    </row>
    <row r="1855" spans="1:1">
      <c r="A1855" s="11"/>
    </row>
    <row r="1856" spans="1:1">
      <c r="A1856" s="9" t="s">
        <v>1338</v>
      </c>
    </row>
    <row r="1857" spans="1:1">
      <c r="A1857" s="9" t="s">
        <v>1339</v>
      </c>
    </row>
    <row r="1858" spans="1:1">
      <c r="A1858" s="10" t="s">
        <v>1340</v>
      </c>
    </row>
    <row r="1859" spans="1:1">
      <c r="A1859" s="9" t="s">
        <v>1341</v>
      </c>
    </row>
    <row r="1860" spans="1:1">
      <c r="A1860" s="11"/>
    </row>
    <row r="1861" spans="1:1">
      <c r="A1861" s="9" t="s">
        <v>1342</v>
      </c>
    </row>
    <row r="1862" spans="1:1">
      <c r="A1862" s="9" t="s">
        <v>1343</v>
      </c>
    </row>
    <row r="1863" spans="1:1">
      <c r="A1863" s="9" t="s">
        <v>1344</v>
      </c>
    </row>
    <row r="1864" spans="1:1">
      <c r="A1864" s="10" t="s">
        <v>1345</v>
      </c>
    </row>
    <row r="1865" spans="1:1">
      <c r="A1865" s="10"/>
    </row>
    <row r="1866" spans="1:1">
      <c r="A1866" s="9" t="s">
        <v>1346</v>
      </c>
    </row>
    <row r="1867" spans="1:1">
      <c r="A1867" s="9" t="s">
        <v>1347</v>
      </c>
    </row>
    <row r="1868" spans="1:1">
      <c r="A1868" s="10" t="s">
        <v>1348</v>
      </c>
    </row>
    <row r="1869" spans="1:1">
      <c r="A1869" s="9" t="s">
        <v>1349</v>
      </c>
    </row>
    <row r="1870" spans="1:1">
      <c r="A1870" s="11"/>
    </row>
    <row r="1871" spans="1:1">
      <c r="A1871" s="9" t="s">
        <v>1350</v>
      </c>
    </row>
    <row r="1872" spans="1:1">
      <c r="A1872" s="9" t="s">
        <v>1351</v>
      </c>
    </row>
    <row r="1873" spans="1:1">
      <c r="A1873" s="10" t="s">
        <v>1352</v>
      </c>
    </row>
    <row r="1874" spans="1:1">
      <c r="A1874" s="9" t="s">
        <v>1353</v>
      </c>
    </row>
    <row r="1875" spans="1:1">
      <c r="A1875" s="11"/>
    </row>
    <row r="1876" spans="1:1">
      <c r="A1876" s="9" t="s">
        <v>1354</v>
      </c>
    </row>
    <row r="1877" spans="1:1">
      <c r="A1877" s="10" t="s">
        <v>1355</v>
      </c>
    </row>
    <row r="1878" spans="1:1">
      <c r="A1878" s="9" t="s">
        <v>1356</v>
      </c>
    </row>
    <row r="1879" spans="1:1">
      <c r="A1879" s="9" t="s">
        <v>1357</v>
      </c>
    </row>
    <row r="1880" spans="1:1">
      <c r="A1880" s="11"/>
    </row>
    <row r="1881" spans="1:1">
      <c r="A1881" s="9" t="s">
        <v>1358</v>
      </c>
    </row>
    <row r="1882" spans="1:1">
      <c r="A1882" s="10" t="s">
        <v>326</v>
      </c>
    </row>
    <row r="1883" spans="1:1">
      <c r="A1883" s="9" t="s">
        <v>667</v>
      </c>
    </row>
    <row r="1884" spans="1:1">
      <c r="A1884" s="9" t="s">
        <v>1359</v>
      </c>
    </row>
    <row r="1885" spans="1:1">
      <c r="A1885" s="11"/>
    </row>
    <row r="1886" spans="1:1">
      <c r="A1886" s="9" t="s">
        <v>1360</v>
      </c>
    </row>
    <row r="1887" spans="1:1">
      <c r="A1887" s="9" t="s">
        <v>1361</v>
      </c>
    </row>
    <row r="1888" spans="1:1">
      <c r="A1888" s="9" t="s">
        <v>1362</v>
      </c>
    </row>
    <row r="1889" spans="1:1">
      <c r="A1889" s="10" t="s">
        <v>1363</v>
      </c>
    </row>
    <row r="1890" spans="1:1">
      <c r="A1890" s="11"/>
    </row>
    <row r="1891" spans="1:1">
      <c r="A1891" s="9" t="s">
        <v>1364</v>
      </c>
    </row>
    <row r="1892" spans="1:1">
      <c r="A1892" s="10" t="s">
        <v>1365</v>
      </c>
    </row>
    <row r="1893" spans="1:1">
      <c r="A1893" s="9" t="s">
        <v>1366</v>
      </c>
    </row>
    <row r="1894" spans="1:1">
      <c r="A1894" s="9" t="s">
        <v>1367</v>
      </c>
    </row>
    <row r="1895" spans="1:1">
      <c r="A1895" s="11"/>
    </row>
    <row r="1896" spans="1:1">
      <c r="A1896" s="9" t="s">
        <v>1368</v>
      </c>
    </row>
    <row r="1897" spans="1:1">
      <c r="A1897" s="10" t="s">
        <v>1369</v>
      </c>
    </row>
    <row r="1898" spans="1:1">
      <c r="A1898" s="9" t="s">
        <v>1370</v>
      </c>
    </row>
    <row r="1899" spans="1:1">
      <c r="A1899" s="9" t="s">
        <v>1371</v>
      </c>
    </row>
    <row r="1900" spans="1:1">
      <c r="A1900" s="11"/>
    </row>
    <row r="1901" spans="1:1">
      <c r="A1901" s="9" t="s">
        <v>1372</v>
      </c>
    </row>
    <row r="1902" spans="1:1">
      <c r="A1902" s="9" t="s">
        <v>1373</v>
      </c>
    </row>
    <row r="1903" spans="1:1">
      <c r="A1903" s="10" t="s">
        <v>1374</v>
      </c>
    </row>
    <row r="1904" spans="1:1">
      <c r="A1904" s="9" t="s">
        <v>1375</v>
      </c>
    </row>
    <row r="1905" spans="1:1">
      <c r="A1905" s="11"/>
    </row>
    <row r="1906" spans="1:1">
      <c r="A1906" s="9" t="s">
        <v>1376</v>
      </c>
    </row>
    <row r="1907" spans="1:1">
      <c r="A1907" s="9" t="s">
        <v>1377</v>
      </c>
    </row>
    <row r="1908" spans="1:1">
      <c r="A1908" s="9" t="s">
        <v>1378</v>
      </c>
    </row>
    <row r="1909" spans="1:1">
      <c r="A1909" s="10" t="s">
        <v>1379</v>
      </c>
    </row>
    <row r="1910" spans="1:1">
      <c r="A1910" s="11"/>
    </row>
    <row r="1911" spans="1:1">
      <c r="A1911" s="9" t="s">
        <v>786</v>
      </c>
    </row>
    <row r="1912" spans="1:1">
      <c r="A1912" s="9" t="s">
        <v>1380</v>
      </c>
    </row>
    <row r="1913" spans="1:1">
      <c r="A1913" s="10" t="s">
        <v>1381</v>
      </c>
    </row>
    <row r="1914" spans="1:1">
      <c r="A1914" s="9" t="s">
        <v>1382</v>
      </c>
    </row>
    <row r="1915" spans="1:1">
      <c r="A1915" s="11"/>
    </row>
    <row r="1916" spans="1:1">
      <c r="A1916" s="9" t="s">
        <v>1383</v>
      </c>
    </row>
    <row r="1917" spans="1:1">
      <c r="A1917" s="9" t="s">
        <v>1384</v>
      </c>
    </row>
    <row r="1918" spans="1:1">
      <c r="A1918" s="9" t="s">
        <v>1385</v>
      </c>
    </row>
    <row r="1919" spans="1:1">
      <c r="A1919" s="10" t="s">
        <v>1386</v>
      </c>
    </row>
    <row r="1920" spans="1:1">
      <c r="A1920" s="11"/>
    </row>
    <row r="1921" spans="1:1">
      <c r="A1921" s="9" t="s">
        <v>1387</v>
      </c>
    </row>
    <row r="1922" spans="1:1">
      <c r="A1922" s="10" t="s">
        <v>1388</v>
      </c>
    </row>
    <row r="1923" spans="1:1">
      <c r="A1923" s="9" t="s">
        <v>1389</v>
      </c>
    </row>
    <row r="1924" spans="1:1">
      <c r="A1924" s="9" t="s">
        <v>1390</v>
      </c>
    </row>
    <row r="1925" spans="1:1">
      <c r="A1925" s="9"/>
    </row>
    <row r="1926" spans="1:1">
      <c r="A1926" s="9" t="s">
        <v>1391</v>
      </c>
    </row>
    <row r="1927" spans="1:1">
      <c r="A1927" s="9" t="s">
        <v>1392</v>
      </c>
    </row>
    <row r="1928" spans="1:1">
      <c r="A1928" s="10" t="s">
        <v>1393</v>
      </c>
    </row>
    <row r="1929" spans="1:1">
      <c r="A1929" s="9" t="s">
        <v>1394</v>
      </c>
    </row>
    <row r="1930" spans="1:1">
      <c r="A1930" s="11"/>
    </row>
    <row r="1931" spans="1:1">
      <c r="A1931" s="9" t="s">
        <v>1395</v>
      </c>
    </row>
    <row r="1932" spans="1:1">
      <c r="A1932" s="9">
        <v>1000</v>
      </c>
    </row>
    <row r="1933" spans="1:1">
      <c r="A1933" s="10">
        <v>10000</v>
      </c>
    </row>
    <row r="1934" spans="1:1">
      <c r="A1934" s="9">
        <v>100</v>
      </c>
    </row>
    <row r="1935" spans="1:1">
      <c r="A1935" s="11"/>
    </row>
    <row r="1936" spans="1:1">
      <c r="A1936" s="9" t="s">
        <v>1396</v>
      </c>
    </row>
    <row r="1937" spans="1:1">
      <c r="A1937" s="9" t="s">
        <v>1397</v>
      </c>
    </row>
    <row r="1938" spans="1:1">
      <c r="A1938" s="9" t="s">
        <v>1398</v>
      </c>
    </row>
    <row r="1939" spans="1:1">
      <c r="A1939" s="10" t="s">
        <v>1399</v>
      </c>
    </row>
    <row r="1940" spans="1:1">
      <c r="A1940" s="11"/>
    </row>
    <row r="1941" spans="1:1">
      <c r="A1941" s="9" t="s">
        <v>1400</v>
      </c>
    </row>
    <row r="1942" spans="1:1">
      <c r="A1942" s="10" t="s">
        <v>1401</v>
      </c>
    </row>
    <row r="1943" spans="1:1">
      <c r="A1943" s="9" t="s">
        <v>1402</v>
      </c>
    </row>
    <row r="1944" spans="1:1">
      <c r="A1944" s="9" t="s">
        <v>1403</v>
      </c>
    </row>
    <row r="1945" spans="1:1">
      <c r="A1945" s="11"/>
    </row>
    <row r="1946" spans="1:1">
      <c r="A1946" s="9" t="s">
        <v>1404</v>
      </c>
    </row>
    <row r="1947" spans="1:1">
      <c r="A1947" s="9" t="s">
        <v>1405</v>
      </c>
    </row>
    <row r="1948" spans="1:1">
      <c r="A1948" s="10" t="s">
        <v>580</v>
      </c>
    </row>
    <row r="1949" spans="1:1">
      <c r="A1949" s="9" t="s">
        <v>1406</v>
      </c>
    </row>
    <row r="1950" spans="1:1">
      <c r="A1950" s="11"/>
    </row>
    <row r="1951" spans="1:1">
      <c r="A1951" s="9" t="s">
        <v>1407</v>
      </c>
    </row>
    <row r="1952" spans="1:1">
      <c r="A1952" s="9" t="s">
        <v>698</v>
      </c>
    </row>
    <row r="1953" spans="1:1">
      <c r="A1953" s="10" t="s">
        <v>1408</v>
      </c>
    </row>
    <row r="1954" spans="1:1">
      <c r="A1954" s="9" t="s">
        <v>697</v>
      </c>
    </row>
    <row r="1955" spans="1:1">
      <c r="A1955" s="11"/>
    </row>
    <row r="1956" spans="1:1">
      <c r="A1956" s="9" t="s">
        <v>1409</v>
      </c>
    </row>
    <row r="1957" spans="1:1">
      <c r="A1957" s="9" t="s">
        <v>479</v>
      </c>
    </row>
    <row r="1958" spans="1:1">
      <c r="A1958" s="10" t="s">
        <v>1410</v>
      </c>
    </row>
    <row r="1959" spans="1:1">
      <c r="A1959" s="9" t="s">
        <v>1411</v>
      </c>
    </row>
    <row r="1960" spans="1:1">
      <c r="A1960" s="11"/>
    </row>
    <row r="1961" spans="1:1" ht="25.5">
      <c r="A1961" s="9" t="s">
        <v>1412</v>
      </c>
    </row>
    <row r="1962" spans="1:1">
      <c r="A1962" s="9" t="s">
        <v>1413</v>
      </c>
    </row>
    <row r="1963" spans="1:1">
      <c r="A1963" s="10" t="s">
        <v>1414</v>
      </c>
    </row>
    <row r="1964" spans="1:1">
      <c r="A1964" s="9" t="s">
        <v>1415</v>
      </c>
    </row>
    <row r="1965" spans="1:1">
      <c r="A1965" s="11"/>
    </row>
    <row r="1966" spans="1:1">
      <c r="A1966" s="9" t="s">
        <v>1416</v>
      </c>
    </row>
    <row r="1967" spans="1:1">
      <c r="A1967" s="9" t="s">
        <v>1417</v>
      </c>
    </row>
    <row r="1968" spans="1:1">
      <c r="A1968" s="10" t="s">
        <v>1418</v>
      </c>
    </row>
    <row r="1969" spans="1:1">
      <c r="A1969" s="9" t="s">
        <v>1419</v>
      </c>
    </row>
    <row r="1970" spans="1:1">
      <c r="A1970" s="11"/>
    </row>
    <row r="1971" spans="1:1">
      <c r="A1971" s="9" t="s">
        <v>1420</v>
      </c>
    </row>
    <row r="1972" spans="1:1">
      <c r="A1972" s="9" t="s">
        <v>1421</v>
      </c>
    </row>
    <row r="1973" spans="1:1">
      <c r="A1973" s="10" t="s">
        <v>1422</v>
      </c>
    </row>
    <row r="1974" spans="1:1">
      <c r="A1974" s="9" t="s">
        <v>240</v>
      </c>
    </row>
    <row r="1975" spans="1:1">
      <c r="A1975" s="11"/>
    </row>
    <row r="1976" spans="1:1">
      <c r="A1976" s="9" t="s">
        <v>1423</v>
      </c>
    </row>
    <row r="1977" spans="1:1">
      <c r="A1977" s="9" t="s">
        <v>1424</v>
      </c>
    </row>
    <row r="1978" spans="1:1">
      <c r="A1978" s="10" t="s">
        <v>1425</v>
      </c>
    </row>
    <row r="1979" spans="1:1">
      <c r="A1979" s="9" t="s">
        <v>1426</v>
      </c>
    </row>
    <row r="1980" spans="1:1">
      <c r="A1980" s="11"/>
    </row>
    <row r="1981" spans="1:1">
      <c r="A1981" s="9" t="s">
        <v>1427</v>
      </c>
    </row>
    <row r="1982" spans="1:1">
      <c r="A1982" s="10" t="s">
        <v>1428</v>
      </c>
    </row>
    <row r="1983" spans="1:1">
      <c r="A1983" s="9" t="s">
        <v>1429</v>
      </c>
    </row>
    <row r="1984" spans="1:1">
      <c r="A1984" s="9" t="s">
        <v>1430</v>
      </c>
    </row>
    <row r="1985" spans="1:1">
      <c r="A1985" s="11"/>
    </row>
    <row r="1986" spans="1:1">
      <c r="A1986" s="9" t="s">
        <v>1431</v>
      </c>
    </row>
    <row r="1987" spans="1:1">
      <c r="A1987" s="10" t="s">
        <v>1432</v>
      </c>
    </row>
    <row r="1988" spans="1:1">
      <c r="A1988" s="9" t="s">
        <v>1433</v>
      </c>
    </row>
    <row r="1989" spans="1:1">
      <c r="A1989" s="9" t="s">
        <v>1434</v>
      </c>
    </row>
    <row r="1990" spans="1:1">
      <c r="A1990" s="11"/>
    </row>
    <row r="1991" spans="1:1">
      <c r="A1991" s="9" t="s">
        <v>1435</v>
      </c>
    </row>
    <row r="1992" spans="1:1">
      <c r="A1992" s="9" t="s">
        <v>1436</v>
      </c>
    </row>
    <row r="1993" spans="1:1">
      <c r="A1993" s="10" t="s">
        <v>1437</v>
      </c>
    </row>
    <row r="1994" spans="1:1">
      <c r="A1994" s="9" t="s">
        <v>1438</v>
      </c>
    </row>
    <row r="1995" spans="1:1">
      <c r="A1995" s="11"/>
    </row>
    <row r="1996" spans="1:1">
      <c r="A1996" s="9" t="s">
        <v>1439</v>
      </c>
    </row>
    <row r="1997" spans="1:1">
      <c r="A1997" s="9" t="s">
        <v>1440</v>
      </c>
    </row>
    <row r="1998" spans="1:1">
      <c r="A1998" s="9" t="s">
        <v>1441</v>
      </c>
    </row>
    <row r="1999" spans="1:1">
      <c r="A1999" s="10" t="s">
        <v>1442</v>
      </c>
    </row>
    <row r="2000" spans="1:1">
      <c r="A2000" s="11"/>
    </row>
    <row r="2001" spans="1:1">
      <c r="A2001" s="9" t="s">
        <v>1443</v>
      </c>
    </row>
    <row r="2002" spans="1:1">
      <c r="A2002" s="9" t="s">
        <v>1444</v>
      </c>
    </row>
    <row r="2003" spans="1:1">
      <c r="A2003" s="10" t="s">
        <v>1445</v>
      </c>
    </row>
    <row r="2004" spans="1:1">
      <c r="A2004" s="9" t="s">
        <v>1446</v>
      </c>
    </row>
    <row r="2005" spans="1:1">
      <c r="A2005" s="11"/>
    </row>
    <row r="2006" spans="1:1">
      <c r="A2006" s="9" t="s">
        <v>1447</v>
      </c>
    </row>
    <row r="2007" spans="1:1">
      <c r="A2007" s="10" t="s">
        <v>1448</v>
      </c>
    </row>
    <row r="2008" spans="1:1">
      <c r="A2008" s="9" t="s">
        <v>1449</v>
      </c>
    </row>
    <row r="2009" spans="1:1">
      <c r="A2009" s="9" t="s">
        <v>1450</v>
      </c>
    </row>
    <row r="2010" spans="1:1">
      <c r="A2010" s="9"/>
    </row>
    <row r="2011" spans="1:1">
      <c r="A2011" s="9" t="s">
        <v>1451</v>
      </c>
    </row>
    <row r="2012" spans="1:1">
      <c r="A2012" s="10" t="s">
        <v>1452</v>
      </c>
    </row>
    <row r="2013" spans="1:1">
      <c r="A2013" s="9" t="s">
        <v>1453</v>
      </c>
    </row>
    <row r="2014" spans="1:1">
      <c r="A2014" s="9" t="s">
        <v>1454</v>
      </c>
    </row>
    <row r="2015" spans="1:1">
      <c r="A2015" s="11"/>
    </row>
    <row r="2016" spans="1:1">
      <c r="A2016" s="9" t="s">
        <v>1455</v>
      </c>
    </row>
    <row r="2017" spans="1:1">
      <c r="A2017" s="10" t="s">
        <v>1456</v>
      </c>
    </row>
    <row r="2018" spans="1:1">
      <c r="A2018" s="9" t="s">
        <v>1457</v>
      </c>
    </row>
    <row r="2019" spans="1:1">
      <c r="A2019" s="9" t="s">
        <v>1458</v>
      </c>
    </row>
    <row r="2020" spans="1:1">
      <c r="A2020" s="11"/>
    </row>
    <row r="2021" spans="1:1">
      <c r="A2021" s="9" t="s">
        <v>1459</v>
      </c>
    </row>
    <row r="2022" spans="1:1">
      <c r="A2022" s="10" t="s">
        <v>1460</v>
      </c>
    </row>
    <row r="2023" spans="1:1">
      <c r="A2023" s="9" t="s">
        <v>1461</v>
      </c>
    </row>
    <row r="2024" spans="1:1">
      <c r="A2024" s="9" t="s">
        <v>1462</v>
      </c>
    </row>
    <row r="2025" spans="1:1">
      <c r="A2025" s="11"/>
    </row>
    <row r="2026" spans="1:1">
      <c r="A2026" s="9" t="s">
        <v>1463</v>
      </c>
    </row>
    <row r="2027" spans="1:1">
      <c r="A2027" s="9" t="s">
        <v>1464</v>
      </c>
    </row>
    <row r="2028" spans="1:1">
      <c r="A2028" s="10" t="s">
        <v>1465</v>
      </c>
    </row>
    <row r="2029" spans="1:1">
      <c r="A2029" s="9" t="s">
        <v>1466</v>
      </c>
    </row>
    <row r="2030" spans="1:1">
      <c r="A2030" s="11"/>
    </row>
    <row r="2031" spans="1:1">
      <c r="A2031" s="9" t="s">
        <v>1467</v>
      </c>
    </row>
    <row r="2032" spans="1:1">
      <c r="A2032" s="9" t="s">
        <v>1468</v>
      </c>
    </row>
    <row r="2033" spans="1:1">
      <c r="A2033" s="9" t="s">
        <v>1469</v>
      </c>
    </row>
    <row r="2034" spans="1:1">
      <c r="A2034" s="10" t="s">
        <v>1470</v>
      </c>
    </row>
    <row r="2035" spans="1:1">
      <c r="A2035" s="11"/>
    </row>
    <row r="2036" spans="1:1">
      <c r="A2036" s="9" t="s">
        <v>1471</v>
      </c>
    </row>
    <row r="2037" spans="1:1">
      <c r="A2037" s="9" t="s">
        <v>551</v>
      </c>
    </row>
    <row r="2038" spans="1:1">
      <c r="A2038" s="9" t="s">
        <v>1472</v>
      </c>
    </row>
    <row r="2039" spans="1:1">
      <c r="A2039" s="10" t="s">
        <v>1473</v>
      </c>
    </row>
    <row r="2040" spans="1:1">
      <c r="A2040" s="11"/>
    </row>
    <row r="2041" spans="1:1">
      <c r="A2041" s="9" t="s">
        <v>4330</v>
      </c>
    </row>
    <row r="2042" spans="1:1">
      <c r="A2042" s="9" t="s">
        <v>1474</v>
      </c>
    </row>
    <row r="2043" spans="1:1">
      <c r="A2043" s="9" t="s">
        <v>1475</v>
      </c>
    </row>
    <row r="2044" spans="1:1">
      <c r="A2044" s="10" t="s">
        <v>4331</v>
      </c>
    </row>
    <row r="2045" spans="1:1">
      <c r="A2045" s="11"/>
    </row>
    <row r="2046" spans="1:1">
      <c r="A2046" s="9" t="s">
        <v>1476</v>
      </c>
    </row>
    <row r="2047" spans="1:1">
      <c r="A2047" s="9" t="s">
        <v>4332</v>
      </c>
    </row>
    <row r="2048" spans="1:1">
      <c r="A2048" s="18" t="s">
        <v>4333</v>
      </c>
    </row>
    <row r="2049" spans="1:1">
      <c r="A2049" s="19" t="s">
        <v>4334</v>
      </c>
    </row>
    <row r="2050" spans="1:1">
      <c r="A2050" s="11"/>
    </row>
    <row r="2051" spans="1:1">
      <c r="A2051" s="9" t="s">
        <v>1477</v>
      </c>
    </row>
    <row r="2052" spans="1:1">
      <c r="A2052" s="9" t="s">
        <v>1478</v>
      </c>
    </row>
    <row r="2053" spans="1:1">
      <c r="A2053" s="10" t="s">
        <v>1479</v>
      </c>
    </row>
    <row r="2054" spans="1:1">
      <c r="A2054" s="9" t="s">
        <v>1480</v>
      </c>
    </row>
    <row r="2055" spans="1:1">
      <c r="A2055" s="11"/>
    </row>
    <row r="2056" spans="1:1">
      <c r="A2056" s="9" t="s">
        <v>1481</v>
      </c>
    </row>
    <row r="2057" spans="1:1">
      <c r="A2057" s="9" t="s">
        <v>1482</v>
      </c>
    </row>
    <row r="2058" spans="1:1">
      <c r="A2058" s="10" t="s">
        <v>1483</v>
      </c>
    </row>
    <row r="2059" spans="1:1">
      <c r="A2059" s="9" t="s">
        <v>1484</v>
      </c>
    </row>
    <row r="2060" spans="1:1">
      <c r="A2060" s="9"/>
    </row>
    <row r="2061" spans="1:1">
      <c r="A2061" s="9" t="s">
        <v>1485</v>
      </c>
    </row>
    <row r="2062" spans="1:1">
      <c r="A2062" s="9" t="s">
        <v>1486</v>
      </c>
    </row>
    <row r="2063" spans="1:1">
      <c r="A2063" s="10" t="s">
        <v>1487</v>
      </c>
    </row>
    <row r="2064" spans="1:1">
      <c r="A2064" s="9" t="s">
        <v>1488</v>
      </c>
    </row>
    <row r="2065" spans="1:1">
      <c r="A2065" s="11"/>
    </row>
    <row r="2066" spans="1:1">
      <c r="A2066" s="9" t="s">
        <v>1489</v>
      </c>
    </row>
    <row r="2067" spans="1:1">
      <c r="A2067" s="9" t="s">
        <v>1490</v>
      </c>
    </row>
    <row r="2068" spans="1:1">
      <c r="A2068" s="10" t="s">
        <v>1491</v>
      </c>
    </row>
    <row r="2069" spans="1:1">
      <c r="A2069" s="9" t="s">
        <v>1492</v>
      </c>
    </row>
    <row r="2070" spans="1:1">
      <c r="A2070" s="9"/>
    </row>
    <row r="2071" spans="1:1">
      <c r="A2071" s="9" t="s">
        <v>1493</v>
      </c>
    </row>
    <row r="2072" spans="1:1">
      <c r="A2072" s="9" t="s">
        <v>1494</v>
      </c>
    </row>
    <row r="2073" spans="1:1">
      <c r="A2073" s="9" t="s">
        <v>1495</v>
      </c>
    </row>
    <row r="2074" spans="1:1">
      <c r="A2074" s="10" t="s">
        <v>1496</v>
      </c>
    </row>
    <row r="2075" spans="1:1">
      <c r="A2075" s="11"/>
    </row>
    <row r="2076" spans="1:1">
      <c r="A2076" s="9" t="s">
        <v>1497</v>
      </c>
    </row>
    <row r="2077" spans="1:1">
      <c r="A2077" s="10" t="s">
        <v>1498</v>
      </c>
    </row>
    <row r="2078" spans="1:1">
      <c r="A2078" s="9" t="s">
        <v>24</v>
      </c>
    </row>
    <row r="2079" spans="1:1">
      <c r="A2079" s="9" t="s">
        <v>1499</v>
      </c>
    </row>
    <row r="2080" spans="1:1">
      <c r="A2080" s="11"/>
    </row>
    <row r="2081" spans="1:1">
      <c r="A2081" s="9" t="s">
        <v>1500</v>
      </c>
    </row>
    <row r="2082" spans="1:1">
      <c r="A2082" s="10" t="s">
        <v>1501</v>
      </c>
    </row>
    <row r="2083" spans="1:1">
      <c r="A2083" s="9" t="s">
        <v>1502</v>
      </c>
    </row>
    <row r="2084" spans="1:1">
      <c r="A2084" s="9" t="s">
        <v>1503</v>
      </c>
    </row>
    <row r="2085" spans="1:1">
      <c r="A2085" s="11"/>
    </row>
    <row r="2086" spans="1:1">
      <c r="A2086" s="9" t="s">
        <v>1504</v>
      </c>
    </row>
    <row r="2087" spans="1:1">
      <c r="A2087" s="10" t="s">
        <v>1505</v>
      </c>
    </row>
    <row r="2088" spans="1:1">
      <c r="A2088" s="9" t="s">
        <v>1506</v>
      </c>
    </row>
    <row r="2089" spans="1:1">
      <c r="A2089" s="9" t="s">
        <v>1507</v>
      </c>
    </row>
    <row r="2090" spans="1:1">
      <c r="A2090" s="11"/>
    </row>
    <row r="2091" spans="1:1">
      <c r="A2091" s="9" t="s">
        <v>1508</v>
      </c>
    </row>
    <row r="2092" spans="1:1">
      <c r="A2092" s="10" t="s">
        <v>1509</v>
      </c>
    </row>
    <row r="2093" spans="1:1">
      <c r="A2093" s="9" t="s">
        <v>1510</v>
      </c>
    </row>
    <row r="2094" spans="1:1">
      <c r="A2094" s="9" t="s">
        <v>1511</v>
      </c>
    </row>
    <row r="2095" spans="1:1">
      <c r="A2095" s="11"/>
    </row>
    <row r="2096" spans="1:1">
      <c r="A2096" s="9" t="s">
        <v>1512</v>
      </c>
    </row>
    <row r="2097" spans="1:1">
      <c r="A2097" s="9" t="s">
        <v>1513</v>
      </c>
    </row>
    <row r="2098" spans="1:1">
      <c r="A2098" s="9" t="s">
        <v>1514</v>
      </c>
    </row>
    <row r="2099" spans="1:1">
      <c r="A2099" s="10" t="s">
        <v>1515</v>
      </c>
    </row>
    <row r="2100" spans="1:1">
      <c r="A2100" s="11"/>
    </row>
    <row r="2101" spans="1:1">
      <c r="A2101" s="9" t="s">
        <v>1516</v>
      </c>
    </row>
    <row r="2102" spans="1:1">
      <c r="A2102" s="9" t="s">
        <v>1517</v>
      </c>
    </row>
    <row r="2103" spans="1:1">
      <c r="A2103" s="9" t="s">
        <v>1518</v>
      </c>
    </row>
    <row r="2104" spans="1:1">
      <c r="A2104" s="10" t="s">
        <v>1519</v>
      </c>
    </row>
    <row r="2105" spans="1:1">
      <c r="A2105" s="10"/>
    </row>
    <row r="2106" spans="1:1">
      <c r="A2106" s="9" t="s">
        <v>1520</v>
      </c>
    </row>
    <row r="2107" spans="1:1">
      <c r="A2107" s="10" t="s">
        <v>1521</v>
      </c>
    </row>
    <row r="2108" spans="1:1">
      <c r="A2108" s="9" t="s">
        <v>1522</v>
      </c>
    </row>
    <row r="2109" spans="1:1">
      <c r="A2109" s="9" t="s">
        <v>1523</v>
      </c>
    </row>
    <row r="2110" spans="1:1">
      <c r="A2110" s="11"/>
    </row>
    <row r="2111" spans="1:1">
      <c r="A2111" s="9" t="s">
        <v>1524</v>
      </c>
    </row>
    <row r="2112" spans="1:1">
      <c r="A2112" s="10" t="s">
        <v>1525</v>
      </c>
    </row>
    <row r="2113" spans="1:1">
      <c r="A2113" s="9" t="s">
        <v>1526</v>
      </c>
    </row>
    <row r="2114" spans="1:1">
      <c r="A2114" s="9" t="s">
        <v>1527</v>
      </c>
    </row>
    <row r="2115" spans="1:1">
      <c r="A2115" s="11"/>
    </row>
    <row r="2116" spans="1:1">
      <c r="A2116" s="9" t="s">
        <v>1528</v>
      </c>
    </row>
    <row r="2117" spans="1:1">
      <c r="A2117" s="9" t="s">
        <v>1529</v>
      </c>
    </row>
    <row r="2118" spans="1:1">
      <c r="A2118" s="10" t="s">
        <v>1530</v>
      </c>
    </row>
    <row r="2119" spans="1:1">
      <c r="A2119" s="9" t="s">
        <v>1531</v>
      </c>
    </row>
    <row r="2120" spans="1:1">
      <c r="A2120" s="9"/>
    </row>
    <row r="2121" spans="1:1">
      <c r="A2121" s="9" t="s">
        <v>1532</v>
      </c>
    </row>
    <row r="2122" spans="1:1">
      <c r="A2122" s="9" t="s">
        <v>1533</v>
      </c>
    </row>
    <row r="2123" spans="1:1">
      <c r="A2123" s="9" t="s">
        <v>1534</v>
      </c>
    </row>
    <row r="2124" spans="1:1">
      <c r="A2124" s="10" t="s">
        <v>1535</v>
      </c>
    </row>
    <row r="2125" spans="1:1">
      <c r="A2125" s="11"/>
    </row>
    <row r="2126" spans="1:1">
      <c r="A2126" s="9" t="s">
        <v>1536</v>
      </c>
    </row>
    <row r="2127" spans="1:1">
      <c r="A2127" s="10" t="s">
        <v>1537</v>
      </c>
    </row>
    <row r="2128" spans="1:1">
      <c r="A2128" s="9" t="s">
        <v>398</v>
      </c>
    </row>
    <row r="2129" spans="1:1">
      <c r="A2129" s="9" t="s">
        <v>1538</v>
      </c>
    </row>
    <row r="2130" spans="1:1">
      <c r="A2130" s="11"/>
    </row>
    <row r="2131" spans="1:1">
      <c r="A2131" s="9" t="s">
        <v>1539</v>
      </c>
    </row>
    <row r="2132" spans="1:1">
      <c r="A2132" s="10" t="s">
        <v>1540</v>
      </c>
    </row>
    <row r="2133" spans="1:1">
      <c r="A2133" s="9" t="s">
        <v>1541</v>
      </c>
    </row>
    <row r="2134" spans="1:1">
      <c r="A2134" s="9" t="s">
        <v>1542</v>
      </c>
    </row>
    <row r="2135" spans="1:1">
      <c r="A2135" s="11"/>
    </row>
    <row r="2136" spans="1:1">
      <c r="A2136" s="9" t="s">
        <v>1543</v>
      </c>
    </row>
    <row r="2137" spans="1:1">
      <c r="A2137" s="9" t="s">
        <v>1544</v>
      </c>
    </row>
    <row r="2138" spans="1:1">
      <c r="A2138" s="10" t="s">
        <v>1545</v>
      </c>
    </row>
    <row r="2139" spans="1:1">
      <c r="A2139" s="9" t="s">
        <v>1546</v>
      </c>
    </row>
    <row r="2140" spans="1:1">
      <c r="A2140" s="11"/>
    </row>
    <row r="2141" spans="1:1">
      <c r="A2141" s="9" t="s">
        <v>1547</v>
      </c>
    </row>
    <row r="2142" spans="1:1">
      <c r="A2142" s="10" t="s">
        <v>1548</v>
      </c>
    </row>
    <row r="2143" spans="1:1">
      <c r="A2143" s="9" t="s">
        <v>1549</v>
      </c>
    </row>
    <row r="2144" spans="1:1">
      <c r="A2144" s="9" t="s">
        <v>1550</v>
      </c>
    </row>
    <row r="2145" spans="1:1">
      <c r="A2145" s="11"/>
    </row>
    <row r="2146" spans="1:1">
      <c r="A2146" s="9" t="s">
        <v>1551</v>
      </c>
    </row>
    <row r="2147" spans="1:1">
      <c r="A2147" s="9" t="s">
        <v>128</v>
      </c>
    </row>
    <row r="2148" spans="1:1">
      <c r="A2148" s="10" t="s">
        <v>1552</v>
      </c>
    </row>
    <row r="2149" spans="1:1">
      <c r="A2149" s="9" t="s">
        <v>1553</v>
      </c>
    </row>
    <row r="2150" spans="1:1">
      <c r="A2150" s="11"/>
    </row>
    <row r="2151" spans="1:1">
      <c r="A2151" s="9" t="s">
        <v>1554</v>
      </c>
    </row>
    <row r="2152" spans="1:1">
      <c r="A2152" s="10" t="s">
        <v>1555</v>
      </c>
    </row>
    <row r="2153" spans="1:1">
      <c r="A2153" s="9" t="s">
        <v>1556</v>
      </c>
    </row>
    <row r="2154" spans="1:1">
      <c r="A2154" s="9" t="s">
        <v>1557</v>
      </c>
    </row>
    <row r="2155" spans="1:1">
      <c r="A2155" s="11"/>
    </row>
    <row r="2156" spans="1:1">
      <c r="A2156" s="9" t="s">
        <v>1558</v>
      </c>
    </row>
    <row r="2157" spans="1:1">
      <c r="A2157" s="9" t="s">
        <v>1559</v>
      </c>
    </row>
    <row r="2158" spans="1:1">
      <c r="A2158" s="9" t="s">
        <v>1560</v>
      </c>
    </row>
    <row r="2159" spans="1:1">
      <c r="A2159" s="10" t="s">
        <v>1561</v>
      </c>
    </row>
    <row r="2160" spans="1:1">
      <c r="A2160" s="11"/>
    </row>
    <row r="2161" spans="1:1">
      <c r="A2161" s="9" t="s">
        <v>1562</v>
      </c>
    </row>
    <row r="2162" spans="1:1">
      <c r="A2162" s="9" t="s">
        <v>1563</v>
      </c>
    </row>
    <row r="2163" spans="1:1">
      <c r="A2163" s="9" t="s">
        <v>1564</v>
      </c>
    </row>
    <row r="2164" spans="1:1">
      <c r="A2164" s="10" t="s">
        <v>1565</v>
      </c>
    </row>
    <row r="2165" spans="1:1">
      <c r="A2165" s="11"/>
    </row>
    <row r="2166" spans="1:1">
      <c r="A2166" s="9" t="s">
        <v>1566</v>
      </c>
    </row>
    <row r="2167" spans="1:1">
      <c r="A2167" s="9" t="s">
        <v>1567</v>
      </c>
    </row>
    <row r="2168" spans="1:1">
      <c r="A2168" s="9" t="s">
        <v>1568</v>
      </c>
    </row>
    <row r="2169" spans="1:1">
      <c r="A2169" s="10" t="s">
        <v>1569</v>
      </c>
    </row>
    <row r="2170" spans="1:1">
      <c r="A2170" s="11"/>
    </row>
    <row r="2171" spans="1:1">
      <c r="A2171" s="9" t="s">
        <v>1570</v>
      </c>
    </row>
    <row r="2172" spans="1:1">
      <c r="A2172" s="9" t="s">
        <v>1571</v>
      </c>
    </row>
    <row r="2173" spans="1:1">
      <c r="A2173" s="9" t="s">
        <v>1572</v>
      </c>
    </row>
    <row r="2174" spans="1:1">
      <c r="A2174" s="10" t="s">
        <v>1573</v>
      </c>
    </row>
    <row r="2175" spans="1:1">
      <c r="A2175" s="11"/>
    </row>
    <row r="2176" spans="1:1">
      <c r="A2176" s="9" t="s">
        <v>15</v>
      </c>
    </row>
    <row r="2177" spans="1:1">
      <c r="A2177" s="9" t="s">
        <v>1574</v>
      </c>
    </row>
    <row r="2178" spans="1:1">
      <c r="A2178" s="10" t="s">
        <v>1575</v>
      </c>
    </row>
    <row r="2179" spans="1:1">
      <c r="A2179" s="9" t="s">
        <v>1576</v>
      </c>
    </row>
    <row r="2180" spans="1:1">
      <c r="A2180" s="11"/>
    </row>
    <row r="2181" spans="1:1">
      <c r="A2181" s="9" t="s">
        <v>1577</v>
      </c>
    </row>
    <row r="2182" spans="1:1">
      <c r="A2182" s="9" t="s">
        <v>1578</v>
      </c>
    </row>
    <row r="2183" spans="1:1">
      <c r="A2183" s="10" t="s">
        <v>1579</v>
      </c>
    </row>
    <row r="2184" spans="1:1">
      <c r="A2184" s="9" t="s">
        <v>1580</v>
      </c>
    </row>
    <row r="2185" spans="1:1">
      <c r="A2185" s="11"/>
    </row>
    <row r="2186" spans="1:1">
      <c r="A2186" s="9" t="s">
        <v>1581</v>
      </c>
    </row>
    <row r="2187" spans="1:1">
      <c r="A2187" s="9" t="s">
        <v>1582</v>
      </c>
    </row>
    <row r="2188" spans="1:1">
      <c r="A2188" s="10" t="s">
        <v>1583</v>
      </c>
    </row>
    <row r="2189" spans="1:1">
      <c r="A2189" s="9" t="s">
        <v>1584</v>
      </c>
    </row>
    <row r="2190" spans="1:1">
      <c r="A2190" s="11"/>
    </row>
    <row r="2191" spans="1:1">
      <c r="A2191" s="9" t="s">
        <v>1585</v>
      </c>
    </row>
    <row r="2192" spans="1:1">
      <c r="A2192" s="10" t="s">
        <v>1586</v>
      </c>
    </row>
    <row r="2193" spans="1:1">
      <c r="A2193" s="9" t="s">
        <v>1587</v>
      </c>
    </row>
    <row r="2194" spans="1:1">
      <c r="A2194" s="9" t="s">
        <v>1588</v>
      </c>
    </row>
    <row r="2195" spans="1:1">
      <c r="A2195" s="11"/>
    </row>
    <row r="2196" spans="1:1">
      <c r="A2196" s="9" t="s">
        <v>1589</v>
      </c>
    </row>
    <row r="2197" spans="1:1">
      <c r="A2197" s="9" t="s">
        <v>1590</v>
      </c>
    </row>
    <row r="2198" spans="1:1">
      <c r="A2198" s="9" t="s">
        <v>1591</v>
      </c>
    </row>
    <row r="2199" spans="1:1">
      <c r="A2199" s="10" t="s">
        <v>1592</v>
      </c>
    </row>
    <row r="2200" spans="1:1">
      <c r="A2200" s="11"/>
    </row>
    <row r="2201" spans="1:1">
      <c r="A2201" s="9" t="s">
        <v>1593</v>
      </c>
    </row>
    <row r="2202" spans="1:1">
      <c r="A2202" s="9" t="s">
        <v>1594</v>
      </c>
    </row>
    <row r="2203" spans="1:1">
      <c r="A2203" s="9" t="s">
        <v>1595</v>
      </c>
    </row>
    <row r="2204" spans="1:1">
      <c r="A2204" s="10" t="s">
        <v>1596</v>
      </c>
    </row>
    <row r="2205" spans="1:1">
      <c r="A2205" s="11"/>
    </row>
    <row r="2206" spans="1:1">
      <c r="A2206" s="9" t="s">
        <v>1597</v>
      </c>
    </row>
    <row r="2207" spans="1:1">
      <c r="A2207" s="10" t="s">
        <v>1598</v>
      </c>
    </row>
    <row r="2208" spans="1:1">
      <c r="A2208" s="9" t="s">
        <v>1599</v>
      </c>
    </row>
    <row r="2209" spans="1:1">
      <c r="A2209" s="9" t="s">
        <v>1600</v>
      </c>
    </row>
    <row r="2210" spans="1:1">
      <c r="A2210" s="11"/>
    </row>
    <row r="2211" spans="1:1">
      <c r="A2211" s="9" t="s">
        <v>1601</v>
      </c>
    </row>
    <row r="2212" spans="1:1">
      <c r="A2212" s="9" t="s">
        <v>1602</v>
      </c>
    </row>
    <row r="2213" spans="1:1">
      <c r="A2213" s="10" t="s">
        <v>1603</v>
      </c>
    </row>
    <row r="2214" spans="1:1">
      <c r="A2214" s="9" t="s">
        <v>1604</v>
      </c>
    </row>
    <row r="2215" spans="1:1">
      <c r="A2215" s="11"/>
    </row>
    <row r="2216" spans="1:1">
      <c r="A2216" s="9" t="s">
        <v>1605</v>
      </c>
    </row>
    <row r="2217" spans="1:1">
      <c r="A2217" s="9" t="s">
        <v>1606</v>
      </c>
    </row>
    <row r="2218" spans="1:1">
      <c r="A2218" s="9" t="s">
        <v>1607</v>
      </c>
    </row>
    <row r="2219" spans="1:1">
      <c r="A2219" s="10" t="s">
        <v>1608</v>
      </c>
    </row>
    <row r="2220" spans="1:1">
      <c r="A2220" s="11"/>
    </row>
    <row r="2221" spans="1:1">
      <c r="A2221" s="9" t="s">
        <v>786</v>
      </c>
    </row>
    <row r="2222" spans="1:1">
      <c r="A2222" s="10" t="s">
        <v>1609</v>
      </c>
    </row>
    <row r="2223" spans="1:1">
      <c r="A2223" s="9" t="s">
        <v>1610</v>
      </c>
    </row>
    <row r="2224" spans="1:1">
      <c r="A2224" s="9" t="s">
        <v>1611</v>
      </c>
    </row>
    <row r="2225" spans="1:1">
      <c r="A2225" s="11"/>
    </row>
    <row r="2226" spans="1:1">
      <c r="A2226" s="9" t="s">
        <v>1612</v>
      </c>
    </row>
    <row r="2227" spans="1:1">
      <c r="A2227" s="10" t="s">
        <v>455</v>
      </c>
    </row>
    <row r="2228" spans="1:1">
      <c r="A2228" s="9" t="s">
        <v>1041</v>
      </c>
    </row>
    <row r="2229" spans="1:1">
      <c r="A2229" s="9" t="s">
        <v>1613</v>
      </c>
    </row>
    <row r="2230" spans="1:1">
      <c r="A2230" s="9"/>
    </row>
    <row r="2231" spans="1:1">
      <c r="A2231" s="9" t="s">
        <v>1614</v>
      </c>
    </row>
    <row r="2232" spans="1:1">
      <c r="A2232" s="9" t="s">
        <v>1615</v>
      </c>
    </row>
    <row r="2233" spans="1:1">
      <c r="A2233" s="9" t="s">
        <v>1305</v>
      </c>
    </row>
    <row r="2234" spans="1:1">
      <c r="A2234" s="10" t="s">
        <v>1616</v>
      </c>
    </row>
    <row r="2235" spans="1:1">
      <c r="A2235" s="11"/>
    </row>
    <row r="2236" spans="1:1">
      <c r="A2236" s="9" t="s">
        <v>7</v>
      </c>
    </row>
    <row r="2237" spans="1:1">
      <c r="A2237" s="9" t="s">
        <v>1617</v>
      </c>
    </row>
    <row r="2238" spans="1:1">
      <c r="A2238" s="9" t="s">
        <v>1618</v>
      </c>
    </row>
    <row r="2239" spans="1:1">
      <c r="A2239" s="10" t="s">
        <v>10</v>
      </c>
    </row>
    <row r="2240" spans="1:1">
      <c r="A2240" s="10"/>
    </row>
    <row r="2241" spans="1:1">
      <c r="A2241" s="9" t="s">
        <v>1619</v>
      </c>
    </row>
    <row r="2242" spans="1:1">
      <c r="A2242" s="10" t="s">
        <v>1620</v>
      </c>
    </row>
    <row r="2243" spans="1:1">
      <c r="A2243" s="9" t="s">
        <v>1621</v>
      </c>
    </row>
    <row r="2244" spans="1:1">
      <c r="A2244" s="9" t="s">
        <v>1622</v>
      </c>
    </row>
    <row r="2245" spans="1:1">
      <c r="A2245" s="11"/>
    </row>
    <row r="2246" spans="1:1">
      <c r="A2246" s="9" t="s">
        <v>1623</v>
      </c>
    </row>
    <row r="2247" spans="1:1">
      <c r="A2247" s="10" t="s">
        <v>1624</v>
      </c>
    </row>
    <row r="2248" spans="1:1">
      <c r="A2248" s="9" t="s">
        <v>1625</v>
      </c>
    </row>
    <row r="2249" spans="1:1">
      <c r="A2249" s="9" t="s">
        <v>6</v>
      </c>
    </row>
    <row r="2250" spans="1:1">
      <c r="A2250" s="11"/>
    </row>
    <row r="2251" spans="1:1">
      <c r="A2251" s="9" t="s">
        <v>1626</v>
      </c>
    </row>
    <row r="2252" spans="1:1">
      <c r="A2252" s="9" t="s">
        <v>1627</v>
      </c>
    </row>
    <row r="2253" spans="1:1">
      <c r="A2253" s="10" t="s">
        <v>1628</v>
      </c>
    </row>
    <row r="2254" spans="1:1">
      <c r="A2254" s="9" t="s">
        <v>1629</v>
      </c>
    </row>
    <row r="2255" spans="1:1">
      <c r="A2255" s="11"/>
    </row>
    <row r="2256" spans="1:1">
      <c r="A2256" s="9" t="s">
        <v>1630</v>
      </c>
    </row>
    <row r="2257" spans="1:1">
      <c r="A2257" s="10" t="s">
        <v>1631</v>
      </c>
    </row>
    <row r="2258" spans="1:1">
      <c r="A2258" s="9" t="s">
        <v>1632</v>
      </c>
    </row>
    <row r="2259" spans="1:1">
      <c r="A2259" s="9" t="s">
        <v>1633</v>
      </c>
    </row>
    <row r="2260" spans="1:1">
      <c r="A2260" s="11"/>
    </row>
    <row r="2261" spans="1:1">
      <c r="A2261" s="9" t="s">
        <v>1634</v>
      </c>
    </row>
    <row r="2262" spans="1:1">
      <c r="A2262" s="9" t="s">
        <v>1635</v>
      </c>
    </row>
    <row r="2263" spans="1:1">
      <c r="A2263" s="10" t="s">
        <v>1636</v>
      </c>
    </row>
    <row r="2264" spans="1:1">
      <c r="A2264" s="9" t="s">
        <v>1637</v>
      </c>
    </row>
    <row r="2265" spans="1:1">
      <c r="A2265" s="11"/>
    </row>
    <row r="2266" spans="1:1">
      <c r="A2266" s="9" t="s">
        <v>1638</v>
      </c>
    </row>
    <row r="2267" spans="1:1">
      <c r="A2267" s="9" t="s">
        <v>1243</v>
      </c>
    </row>
    <row r="2268" spans="1:1">
      <c r="A2268" s="9" t="s">
        <v>128</v>
      </c>
    </row>
    <row r="2269" spans="1:1">
      <c r="A2269" s="10" t="s">
        <v>1239</v>
      </c>
    </row>
    <row r="2270" spans="1:1">
      <c r="A2270" s="11"/>
    </row>
    <row r="2271" spans="1:1">
      <c r="A2271" s="9" t="s">
        <v>1639</v>
      </c>
    </row>
    <row r="2272" spans="1:1">
      <c r="A2272" s="10" t="s">
        <v>1640</v>
      </c>
    </row>
    <row r="2273" spans="1:1">
      <c r="A2273" s="9" t="s">
        <v>1641</v>
      </c>
    </row>
    <row r="2274" spans="1:1">
      <c r="A2274" s="9" t="s">
        <v>1642</v>
      </c>
    </row>
    <row r="2275" spans="1:1">
      <c r="A2275" s="11"/>
    </row>
    <row r="2276" spans="1:1">
      <c r="A2276" s="9" t="s">
        <v>1643</v>
      </c>
    </row>
    <row r="2277" spans="1:1">
      <c r="A2277" s="9" t="s">
        <v>1644</v>
      </c>
    </row>
    <row r="2278" spans="1:1">
      <c r="A2278" s="9" t="s">
        <v>1645</v>
      </c>
    </row>
    <row r="2279" spans="1:1">
      <c r="A2279" s="10" t="s">
        <v>1646</v>
      </c>
    </row>
    <row r="2280" spans="1:1">
      <c r="A2280" s="11"/>
    </row>
    <row r="2281" spans="1:1">
      <c r="A2281" s="9" t="s">
        <v>1647</v>
      </c>
    </row>
    <row r="2282" spans="1:1">
      <c r="A2282" s="10" t="s">
        <v>1648</v>
      </c>
    </row>
    <row r="2283" spans="1:1">
      <c r="A2283" s="9" t="s">
        <v>1649</v>
      </c>
    </row>
    <row r="2284" spans="1:1">
      <c r="A2284" s="9" t="s">
        <v>1650</v>
      </c>
    </row>
    <row r="2285" spans="1:1">
      <c r="A2285" s="11"/>
    </row>
    <row r="2286" spans="1:1">
      <c r="A2286" s="9" t="s">
        <v>1651</v>
      </c>
    </row>
    <row r="2287" spans="1:1">
      <c r="A2287" s="10" t="s">
        <v>1652</v>
      </c>
    </row>
    <row r="2288" spans="1:1">
      <c r="A2288" s="9" t="s">
        <v>1653</v>
      </c>
    </row>
    <row r="2289" spans="1:1">
      <c r="A2289" s="9" t="s">
        <v>1654</v>
      </c>
    </row>
    <row r="2290" spans="1:1">
      <c r="A2290" s="11"/>
    </row>
    <row r="2291" spans="1:1">
      <c r="A2291" s="9" t="s">
        <v>1655</v>
      </c>
    </row>
    <row r="2292" spans="1:1">
      <c r="A2292" s="9" t="s">
        <v>1656</v>
      </c>
    </row>
    <row r="2293" spans="1:1">
      <c r="A2293" s="10" t="s">
        <v>1657</v>
      </c>
    </row>
    <row r="2294" spans="1:1">
      <c r="A2294" s="9" t="s">
        <v>1658</v>
      </c>
    </row>
    <row r="2295" spans="1:1">
      <c r="A2295" s="11"/>
    </row>
    <row r="2296" spans="1:1">
      <c r="A2296" s="9" t="s">
        <v>1659</v>
      </c>
    </row>
    <row r="2297" spans="1:1">
      <c r="A2297" s="9" t="s">
        <v>1660</v>
      </c>
    </row>
    <row r="2298" spans="1:1">
      <c r="A2298" s="9" t="s">
        <v>1661</v>
      </c>
    </row>
    <row r="2299" spans="1:1">
      <c r="A2299" s="10" t="s">
        <v>1662</v>
      </c>
    </row>
    <row r="2300" spans="1:1">
      <c r="A2300" s="10"/>
    </row>
    <row r="2301" spans="1:1">
      <c r="A2301" s="9" t="s">
        <v>1663</v>
      </c>
    </row>
    <row r="2302" spans="1:1">
      <c r="A2302" s="10" t="s">
        <v>494</v>
      </c>
    </row>
    <row r="2303" spans="1:1">
      <c r="A2303" s="9" t="s">
        <v>1664</v>
      </c>
    </row>
    <row r="2304" spans="1:1">
      <c r="A2304" s="9" t="s">
        <v>1665</v>
      </c>
    </row>
    <row r="2305" spans="1:1">
      <c r="A2305" s="11"/>
    </row>
    <row r="2306" spans="1:1">
      <c r="A2306" s="9" t="s">
        <v>1666</v>
      </c>
    </row>
    <row r="2307" spans="1:1">
      <c r="A2307" s="10" t="s">
        <v>1667</v>
      </c>
    </row>
    <row r="2308" spans="1:1">
      <c r="A2308" s="9" t="s">
        <v>1668</v>
      </c>
    </row>
    <row r="2309" spans="1:1">
      <c r="A2309" s="9" t="s">
        <v>1669</v>
      </c>
    </row>
    <row r="2310" spans="1:1">
      <c r="A2310" s="11"/>
    </row>
    <row r="2311" spans="1:1">
      <c r="A2311" s="9" t="s">
        <v>1670</v>
      </c>
    </row>
    <row r="2312" spans="1:1">
      <c r="A2312" s="9" t="s">
        <v>1671</v>
      </c>
    </row>
    <row r="2313" spans="1:1">
      <c r="A2313" s="10" t="s">
        <v>1672</v>
      </c>
    </row>
    <row r="2314" spans="1:1">
      <c r="A2314" s="9" t="s">
        <v>1673</v>
      </c>
    </row>
    <row r="2315" spans="1:1">
      <c r="A2315" s="11"/>
    </row>
    <row r="2316" spans="1:1">
      <c r="A2316" s="9" t="s">
        <v>1674</v>
      </c>
    </row>
    <row r="2317" spans="1:1">
      <c r="A2317" s="9" t="s">
        <v>1675</v>
      </c>
    </row>
    <row r="2318" spans="1:1">
      <c r="A2318" s="9" t="s">
        <v>1676</v>
      </c>
    </row>
    <row r="2319" spans="1:1">
      <c r="A2319" s="10" t="s">
        <v>22</v>
      </c>
    </row>
    <row r="2320" spans="1:1">
      <c r="A2320" s="11"/>
    </row>
    <row r="2321" spans="1:1">
      <c r="A2321" s="9" t="s">
        <v>1677</v>
      </c>
    </row>
    <row r="2322" spans="1:1">
      <c r="A2322" s="9" t="s">
        <v>1678</v>
      </c>
    </row>
    <row r="2323" spans="1:1">
      <c r="A2323" s="10" t="s">
        <v>1679</v>
      </c>
    </row>
    <row r="2324" spans="1:1">
      <c r="A2324" s="9" t="s">
        <v>1680</v>
      </c>
    </row>
    <row r="2325" spans="1:1">
      <c r="A2325" s="11"/>
    </row>
    <row r="2326" spans="1:1">
      <c r="A2326" s="9" t="s">
        <v>1681</v>
      </c>
    </row>
    <row r="2327" spans="1:1">
      <c r="A2327" s="10" t="s">
        <v>1682</v>
      </c>
    </row>
    <row r="2328" spans="1:1">
      <c r="A2328" s="9" t="s">
        <v>1683</v>
      </c>
    </row>
    <row r="2329" spans="1:1">
      <c r="A2329" s="9" t="s">
        <v>1684</v>
      </c>
    </row>
    <row r="2330" spans="1:1">
      <c r="A2330" s="11"/>
    </row>
    <row r="2331" spans="1:1">
      <c r="A2331" s="9" t="s">
        <v>1685</v>
      </c>
    </row>
    <row r="2332" spans="1:1">
      <c r="A2332" s="10" t="s">
        <v>1686</v>
      </c>
    </row>
    <row r="2333" spans="1:1">
      <c r="A2333" s="9" t="s">
        <v>1687</v>
      </c>
    </row>
    <row r="2334" spans="1:1">
      <c r="A2334" s="9" t="s">
        <v>1688</v>
      </c>
    </row>
    <row r="2335" spans="1:1">
      <c r="A2335" s="11"/>
    </row>
    <row r="2336" spans="1:1">
      <c r="A2336" s="9" t="s">
        <v>1689</v>
      </c>
    </row>
    <row r="2337" spans="1:1">
      <c r="A2337" s="9" t="s">
        <v>1690</v>
      </c>
    </row>
    <row r="2338" spans="1:1">
      <c r="A2338" s="10" t="s">
        <v>1691</v>
      </c>
    </row>
    <row r="2339" spans="1:1">
      <c r="A2339" s="9" t="s">
        <v>395</v>
      </c>
    </row>
    <row r="2340" spans="1:1">
      <c r="A2340" s="11"/>
    </row>
    <row r="2341" spans="1:1">
      <c r="A2341" s="9" t="s">
        <v>1692</v>
      </c>
    </row>
    <row r="2342" spans="1:1">
      <c r="A2342" s="10" t="s">
        <v>1693</v>
      </c>
    </row>
    <row r="2343" spans="1:1">
      <c r="A2343" s="9" t="s">
        <v>842</v>
      </c>
    </row>
    <row r="2344" spans="1:1">
      <c r="A2344" s="9" t="s">
        <v>207</v>
      </c>
    </row>
    <row r="2345" spans="1:1">
      <c r="A2345" s="11"/>
    </row>
    <row r="2346" spans="1:1">
      <c r="A2346" s="9" t="s">
        <v>1694</v>
      </c>
    </row>
    <row r="2347" spans="1:1">
      <c r="A2347" s="9" t="s">
        <v>1662</v>
      </c>
    </row>
    <row r="2348" spans="1:1">
      <c r="A2348" s="9" t="s">
        <v>1695</v>
      </c>
    </row>
    <row r="2349" spans="1:1">
      <c r="A2349" s="10" t="s">
        <v>1696</v>
      </c>
    </row>
    <row r="2350" spans="1:1">
      <c r="A2350" s="11"/>
    </row>
    <row r="2351" spans="1:1">
      <c r="A2351" s="9" t="s">
        <v>1697</v>
      </c>
    </row>
    <row r="2352" spans="1:1">
      <c r="A2352" s="9" t="s">
        <v>1698</v>
      </c>
    </row>
    <row r="2353" spans="1:1">
      <c r="A2353" s="9" t="s">
        <v>1699</v>
      </c>
    </row>
    <row r="2354" spans="1:1">
      <c r="A2354" s="10" t="s">
        <v>1700</v>
      </c>
    </row>
    <row r="2355" spans="1:1">
      <c r="A2355" s="11"/>
    </row>
    <row r="2356" spans="1:1">
      <c r="A2356" s="9" t="s">
        <v>1701</v>
      </c>
    </row>
    <row r="2357" spans="1:1">
      <c r="A2357" s="9" t="s">
        <v>1702</v>
      </c>
    </row>
    <row r="2358" spans="1:1">
      <c r="A2358" s="9" t="s">
        <v>1703</v>
      </c>
    </row>
    <row r="2359" spans="1:1">
      <c r="A2359" s="10" t="s">
        <v>1704</v>
      </c>
    </row>
    <row r="2360" spans="1:1">
      <c r="A2360" s="10"/>
    </row>
    <row r="2361" spans="1:1">
      <c r="A2361" s="9" t="s">
        <v>1705</v>
      </c>
    </row>
    <row r="2362" spans="1:1">
      <c r="A2362" s="10" t="s">
        <v>1706</v>
      </c>
    </row>
    <row r="2363" spans="1:1">
      <c r="A2363" s="9" t="s">
        <v>1707</v>
      </c>
    </row>
    <row r="2364" spans="1:1">
      <c r="A2364" s="9" t="s">
        <v>1708</v>
      </c>
    </row>
    <row r="2365" spans="1:1">
      <c r="A2365" s="11"/>
    </row>
    <row r="2366" spans="1:1">
      <c r="A2366" s="9" t="s">
        <v>1709</v>
      </c>
    </row>
    <row r="2367" spans="1:1">
      <c r="A2367" s="10" t="s">
        <v>1710</v>
      </c>
    </row>
    <row r="2368" spans="1:1">
      <c r="A2368" s="9" t="s">
        <v>118</v>
      </c>
    </row>
    <row r="2369" spans="1:1">
      <c r="A2369" s="9" t="s">
        <v>119</v>
      </c>
    </row>
    <row r="2370" spans="1:1">
      <c r="A2370" s="11"/>
    </row>
    <row r="2371" spans="1:1">
      <c r="A2371" s="9" t="s">
        <v>4335</v>
      </c>
    </row>
    <row r="2372" spans="1:1">
      <c r="A2372" s="9" t="s">
        <v>1711</v>
      </c>
    </row>
    <row r="2373" spans="1:1">
      <c r="A2373" s="10" t="s">
        <v>1712</v>
      </c>
    </row>
    <row r="2374" spans="1:1">
      <c r="A2374" s="9" t="s">
        <v>1713</v>
      </c>
    </row>
    <row r="2375" spans="1:1">
      <c r="A2375" s="11"/>
    </row>
    <row r="2376" spans="1:1">
      <c r="A2376" s="9" t="s">
        <v>4336</v>
      </c>
    </row>
    <row r="2377" spans="1:1">
      <c r="A2377" s="10" t="s">
        <v>1714</v>
      </c>
    </row>
    <row r="2378" spans="1:1">
      <c r="A2378" s="9" t="s">
        <v>1715</v>
      </c>
    </row>
    <row r="2379" spans="1:1">
      <c r="A2379" s="9" t="s">
        <v>1716</v>
      </c>
    </row>
    <row r="2380" spans="1:1">
      <c r="A2380" s="11"/>
    </row>
    <row r="2381" spans="1:1">
      <c r="A2381" s="9" t="s">
        <v>4337</v>
      </c>
    </row>
    <row r="2382" spans="1:1">
      <c r="A2382" s="9" t="s">
        <v>1717</v>
      </c>
    </row>
    <row r="2383" spans="1:1">
      <c r="A2383" s="9" t="s">
        <v>1718</v>
      </c>
    </row>
    <row r="2384" spans="1:1">
      <c r="A2384" s="10" t="s">
        <v>1719</v>
      </c>
    </row>
    <row r="2385" spans="1:1">
      <c r="A2385" s="11"/>
    </row>
    <row r="2386" spans="1:1">
      <c r="A2386" s="9" t="s">
        <v>4338</v>
      </c>
    </row>
    <row r="2387" spans="1:1">
      <c r="A2387" s="10" t="s">
        <v>1720</v>
      </c>
    </row>
    <row r="2388" spans="1:1">
      <c r="A2388" s="9" t="s">
        <v>1721</v>
      </c>
    </row>
    <row r="2389" spans="1:1">
      <c r="A2389" s="9" t="s">
        <v>1722</v>
      </c>
    </row>
    <row r="2390" spans="1:1">
      <c r="A2390" s="11"/>
    </row>
    <row r="2391" spans="1:1" ht="25.5">
      <c r="A2391" s="9" t="s">
        <v>4339</v>
      </c>
    </row>
    <row r="2392" spans="1:1">
      <c r="A2392" s="9" t="s">
        <v>1723</v>
      </c>
    </row>
    <row r="2393" spans="1:1">
      <c r="A2393" s="9" t="s">
        <v>1724</v>
      </c>
    </row>
    <row r="2394" spans="1:1">
      <c r="A2394" s="10" t="s">
        <v>1725</v>
      </c>
    </row>
    <row r="2395" spans="1:1">
      <c r="A2395" s="11"/>
    </row>
    <row r="2396" spans="1:1">
      <c r="A2396" s="9" t="s">
        <v>4340</v>
      </c>
    </row>
    <row r="2397" spans="1:1">
      <c r="A2397" s="9" t="s">
        <v>1726</v>
      </c>
    </row>
    <row r="2398" spans="1:1">
      <c r="A2398" s="10" t="s">
        <v>1727</v>
      </c>
    </row>
    <row r="2399" spans="1:1">
      <c r="A2399" s="9" t="s">
        <v>1728</v>
      </c>
    </row>
    <row r="2400" spans="1:1">
      <c r="A2400" s="11"/>
    </row>
    <row r="2401" spans="1:1">
      <c r="A2401" s="9" t="s">
        <v>4341</v>
      </c>
    </row>
    <row r="2402" spans="1:1">
      <c r="A2402" s="10" t="s">
        <v>1729</v>
      </c>
    </row>
    <row r="2403" spans="1:1">
      <c r="A2403" s="9" t="s">
        <v>1730</v>
      </c>
    </row>
    <row r="2404" spans="1:1">
      <c r="A2404" s="9" t="s">
        <v>1731</v>
      </c>
    </row>
    <row r="2405" spans="1:1">
      <c r="A2405" s="11"/>
    </row>
    <row r="2406" spans="1:1">
      <c r="A2406" s="9" t="s">
        <v>4342</v>
      </c>
    </row>
    <row r="2407" spans="1:1">
      <c r="A2407" s="9" t="s">
        <v>1732</v>
      </c>
    </row>
    <row r="2408" spans="1:1">
      <c r="A2408" s="10" t="s">
        <v>1733</v>
      </c>
    </row>
    <row r="2409" spans="1:1">
      <c r="A2409" s="9" t="s">
        <v>1734</v>
      </c>
    </row>
    <row r="2410" spans="1:1">
      <c r="A2410" s="11"/>
    </row>
    <row r="2411" spans="1:1">
      <c r="A2411" s="9" t="s">
        <v>4343</v>
      </c>
    </row>
    <row r="2412" spans="1:1">
      <c r="A2412" s="9" t="s">
        <v>198</v>
      </c>
    </row>
    <row r="2413" spans="1:1">
      <c r="A2413" s="9" t="s">
        <v>199</v>
      </c>
    </row>
    <row r="2414" spans="1:1">
      <c r="A2414" s="10" t="s">
        <v>1735</v>
      </c>
    </row>
    <row r="2415" spans="1:1">
      <c r="A2415" s="11"/>
    </row>
    <row r="2416" spans="1:1">
      <c r="A2416" s="9" t="s">
        <v>4344</v>
      </c>
    </row>
    <row r="2417" spans="1:1">
      <c r="A2417" s="9" t="s">
        <v>1736</v>
      </c>
    </row>
    <row r="2418" spans="1:1">
      <c r="A2418" s="10" t="s">
        <v>1737</v>
      </c>
    </row>
    <row r="2419" spans="1:1">
      <c r="A2419" s="9" t="s">
        <v>1738</v>
      </c>
    </row>
    <row r="2420" spans="1:1">
      <c r="A2420" s="11"/>
    </row>
    <row r="2421" spans="1:1">
      <c r="A2421" s="9" t="s">
        <v>4345</v>
      </c>
    </row>
    <row r="2422" spans="1:1">
      <c r="A2422" s="9" t="s">
        <v>1739</v>
      </c>
    </row>
    <row r="2423" spans="1:1">
      <c r="A2423" s="10" t="s">
        <v>1740</v>
      </c>
    </row>
    <row r="2424" spans="1:1">
      <c r="A2424" s="9" t="s">
        <v>1066</v>
      </c>
    </row>
    <row r="2425" spans="1:1">
      <c r="A2425" s="11"/>
    </row>
    <row r="2426" spans="1:1">
      <c r="A2426" s="9" t="s">
        <v>4346</v>
      </c>
    </row>
    <row r="2427" spans="1:1">
      <c r="A2427" s="9" t="s">
        <v>1741</v>
      </c>
    </row>
    <row r="2428" spans="1:1">
      <c r="A2428" s="9" t="s">
        <v>1742</v>
      </c>
    </row>
    <row r="2429" spans="1:1">
      <c r="A2429" s="10" t="s">
        <v>1743</v>
      </c>
    </row>
    <row r="2430" spans="1:1">
      <c r="A2430" s="11"/>
    </row>
    <row r="2431" spans="1:1">
      <c r="A2431" s="9" t="s">
        <v>4347</v>
      </c>
    </row>
    <row r="2432" spans="1:1">
      <c r="A2432" s="9" t="s">
        <v>1744</v>
      </c>
    </row>
    <row r="2433" spans="1:1">
      <c r="A2433" s="9" t="s">
        <v>1745</v>
      </c>
    </row>
    <row r="2434" spans="1:1">
      <c r="A2434" s="10" t="s">
        <v>1746</v>
      </c>
    </row>
    <row r="2435" spans="1:1">
      <c r="A2435" s="11"/>
    </row>
    <row r="2436" spans="1:1">
      <c r="A2436" s="9" t="s">
        <v>4348</v>
      </c>
    </row>
    <row r="2437" spans="1:1">
      <c r="A2437" s="9" t="s">
        <v>1747</v>
      </c>
    </row>
    <row r="2438" spans="1:1">
      <c r="A2438" s="9" t="s">
        <v>1748</v>
      </c>
    </row>
    <row r="2439" spans="1:1">
      <c r="A2439" s="10" t="s">
        <v>1749</v>
      </c>
    </row>
    <row r="2440" spans="1:1">
      <c r="A2440" s="11"/>
    </row>
    <row r="2441" spans="1:1">
      <c r="A2441" s="9" t="s">
        <v>4349</v>
      </c>
    </row>
    <row r="2442" spans="1:1">
      <c r="A2442" s="9" t="s">
        <v>1750</v>
      </c>
    </row>
    <row r="2443" spans="1:1">
      <c r="A2443" s="9" t="s">
        <v>1751</v>
      </c>
    </row>
    <row r="2444" spans="1:1">
      <c r="A2444" s="10" t="s">
        <v>1752</v>
      </c>
    </row>
    <row r="2445" spans="1:1">
      <c r="A2445" s="11"/>
    </row>
    <row r="2446" spans="1:1">
      <c r="A2446" s="9" t="s">
        <v>4350</v>
      </c>
    </row>
    <row r="2447" spans="1:1">
      <c r="A2447" s="9" t="s">
        <v>1753</v>
      </c>
    </row>
    <row r="2448" spans="1:1">
      <c r="A2448" s="9" t="s">
        <v>1754</v>
      </c>
    </row>
    <row r="2449" spans="1:1">
      <c r="A2449" s="10" t="s">
        <v>1755</v>
      </c>
    </row>
    <row r="2450" spans="1:1">
      <c r="A2450" s="11"/>
    </row>
    <row r="2451" spans="1:1">
      <c r="A2451" s="9" t="s">
        <v>4351</v>
      </c>
    </row>
    <row r="2452" spans="1:1">
      <c r="A2452" s="10" t="s">
        <v>1756</v>
      </c>
    </row>
    <row r="2453" spans="1:1">
      <c r="A2453" s="9" t="s">
        <v>1757</v>
      </c>
    </row>
    <row r="2454" spans="1:1">
      <c r="A2454" s="9" t="s">
        <v>1758</v>
      </c>
    </row>
    <row r="2455" spans="1:1">
      <c r="A2455" s="11"/>
    </row>
    <row r="2456" spans="1:1">
      <c r="A2456" s="9" t="s">
        <v>4352</v>
      </c>
    </row>
    <row r="2457" spans="1:1">
      <c r="A2457" s="9" t="s">
        <v>1759</v>
      </c>
    </row>
    <row r="2458" spans="1:1">
      <c r="A2458" s="9" t="s">
        <v>1760</v>
      </c>
    </row>
    <row r="2459" spans="1:1">
      <c r="A2459" s="10" t="s">
        <v>1761</v>
      </c>
    </row>
    <row r="2460" spans="1:1">
      <c r="A2460" s="11"/>
    </row>
    <row r="2461" spans="1:1">
      <c r="A2461" s="9" t="s">
        <v>4353</v>
      </c>
    </row>
    <row r="2462" spans="1:1">
      <c r="A2462" s="9" t="s">
        <v>1762</v>
      </c>
    </row>
    <row r="2463" spans="1:1">
      <c r="A2463" s="9" t="s">
        <v>1763</v>
      </c>
    </row>
    <row r="2464" spans="1:1">
      <c r="A2464" s="10" t="s">
        <v>1764</v>
      </c>
    </row>
    <row r="2465" spans="1:1">
      <c r="A2465" s="11"/>
    </row>
    <row r="2466" spans="1:1">
      <c r="A2466" s="9" t="s">
        <v>4354</v>
      </c>
    </row>
    <row r="2467" spans="1:1">
      <c r="A2467" s="9" t="s">
        <v>1765</v>
      </c>
    </row>
    <row r="2468" spans="1:1">
      <c r="A2468" s="9" t="s">
        <v>1766</v>
      </c>
    </row>
    <row r="2469" spans="1:1">
      <c r="A2469" s="10" t="s">
        <v>1767</v>
      </c>
    </row>
    <row r="2470" spans="1:1">
      <c r="A2470" s="11"/>
    </row>
    <row r="2471" spans="1:1">
      <c r="A2471" s="9" t="s">
        <v>4355</v>
      </c>
    </row>
    <row r="2472" spans="1:1">
      <c r="A2472" s="9" t="s">
        <v>1768</v>
      </c>
    </row>
    <row r="2473" spans="1:1">
      <c r="A2473" s="9" t="s">
        <v>1769</v>
      </c>
    </row>
    <row r="2474" spans="1:1">
      <c r="A2474" s="10" t="s">
        <v>1770</v>
      </c>
    </row>
    <row r="2475" spans="1:1">
      <c r="A2475" s="11"/>
    </row>
    <row r="2476" spans="1:1">
      <c r="A2476" s="9" t="s">
        <v>4356</v>
      </c>
    </row>
    <row r="2477" spans="1:1">
      <c r="A2477" s="9" t="s">
        <v>745</v>
      </c>
    </row>
    <row r="2478" spans="1:1">
      <c r="A2478" s="10" t="s">
        <v>1771</v>
      </c>
    </row>
    <row r="2479" spans="1:1">
      <c r="A2479" s="9" t="s">
        <v>1772</v>
      </c>
    </row>
    <row r="2480" spans="1:1">
      <c r="A2480" s="9"/>
    </row>
    <row r="2481" spans="1:1">
      <c r="A2481" s="9" t="s">
        <v>1773</v>
      </c>
    </row>
    <row r="2482" spans="1:1">
      <c r="A2482" s="9" t="s">
        <v>1774</v>
      </c>
    </row>
    <row r="2483" spans="1:1">
      <c r="A2483" s="10" t="s">
        <v>1775</v>
      </c>
    </row>
    <row r="2484" spans="1:1">
      <c r="A2484" s="9" t="s">
        <v>1776</v>
      </c>
    </row>
    <row r="2485" spans="1:1">
      <c r="A2485" s="11"/>
    </row>
    <row r="2486" spans="1:1">
      <c r="A2486" s="9" t="s">
        <v>4357</v>
      </c>
    </row>
    <row r="2487" spans="1:1">
      <c r="A2487" s="9" t="s">
        <v>1777</v>
      </c>
    </row>
    <row r="2488" spans="1:1">
      <c r="A2488" s="9" t="s">
        <v>1778</v>
      </c>
    </row>
    <row r="2489" spans="1:1">
      <c r="A2489" s="10" t="s">
        <v>1779</v>
      </c>
    </row>
    <row r="2490" spans="1:1">
      <c r="A2490" s="11"/>
    </row>
    <row r="2491" spans="1:1">
      <c r="A2491" s="9" t="s">
        <v>1780</v>
      </c>
    </row>
    <row r="2492" spans="1:1">
      <c r="A2492" s="18" t="s">
        <v>4358</v>
      </c>
    </row>
    <row r="2493" spans="1:1">
      <c r="A2493" s="19" t="s">
        <v>4359</v>
      </c>
    </row>
    <row r="2494" spans="1:1">
      <c r="A2494" s="18" t="s">
        <v>4360</v>
      </c>
    </row>
    <row r="2495" spans="1:1">
      <c r="A2495" s="11"/>
    </row>
    <row r="2496" spans="1:1">
      <c r="A2496" s="9" t="s">
        <v>4361</v>
      </c>
    </row>
    <row r="2497" spans="1:1">
      <c r="A2497" s="9" t="s">
        <v>4362</v>
      </c>
    </row>
    <row r="2498" spans="1:1">
      <c r="A2498" s="18" t="s">
        <v>4363</v>
      </c>
    </row>
    <row r="2499" spans="1:1">
      <c r="A2499" s="19" t="s">
        <v>1615</v>
      </c>
    </row>
    <row r="2500" spans="1:1">
      <c r="A2500" s="11"/>
    </row>
    <row r="2501" spans="1:1">
      <c r="A2501" s="9" t="s">
        <v>4364</v>
      </c>
    </row>
    <row r="2502" spans="1:1">
      <c r="A2502" s="9" t="s">
        <v>4365</v>
      </c>
    </row>
    <row r="2503" spans="1:1">
      <c r="A2503" s="10" t="s">
        <v>4366</v>
      </c>
    </row>
    <row r="2504" spans="1:1">
      <c r="A2504" s="9" t="s">
        <v>4367</v>
      </c>
    </row>
    <row r="2505" spans="1:1">
      <c r="A2505" s="11"/>
    </row>
    <row r="2506" spans="1:1">
      <c r="A2506" s="9" t="s">
        <v>4368</v>
      </c>
    </row>
    <row r="2507" spans="1:1">
      <c r="A2507" s="19" t="s">
        <v>4369</v>
      </c>
    </row>
    <row r="2508" spans="1:1">
      <c r="A2508" s="20" t="s">
        <v>4370</v>
      </c>
    </row>
    <row r="2509" spans="1:1">
      <c r="A2509" s="20" t="s">
        <v>4371</v>
      </c>
    </row>
    <row r="2510" spans="1:1">
      <c r="A2510" s="11"/>
    </row>
    <row r="2511" spans="1:1">
      <c r="A2511" s="9" t="s">
        <v>4372</v>
      </c>
    </row>
    <row r="2512" spans="1:1">
      <c r="A2512" s="9" t="s">
        <v>4373</v>
      </c>
    </row>
    <row r="2513" spans="1:1">
      <c r="A2513" s="19" t="s">
        <v>4374</v>
      </c>
    </row>
    <row r="2514" spans="1:1">
      <c r="A2514" s="18" t="s">
        <v>4375</v>
      </c>
    </row>
    <row r="2515" spans="1:1">
      <c r="A2515" s="15"/>
    </row>
    <row r="2516" spans="1:1">
      <c r="A2516" s="9" t="s">
        <v>4376</v>
      </c>
    </row>
    <row r="2517" spans="1:1">
      <c r="A2517" s="18" t="s">
        <v>4377</v>
      </c>
    </row>
    <row r="2518" spans="1:1">
      <c r="A2518" s="18" t="s">
        <v>4378</v>
      </c>
    </row>
    <row r="2519" spans="1:1">
      <c r="A2519" s="19" t="s">
        <v>4379</v>
      </c>
    </row>
    <row r="2520" spans="1:1">
      <c r="A2520" s="11"/>
    </row>
    <row r="2521" spans="1:1">
      <c r="A2521" s="9" t="s">
        <v>4380</v>
      </c>
    </row>
    <row r="2522" spans="1:1">
      <c r="A2522" s="18" t="s">
        <v>4381</v>
      </c>
    </row>
    <row r="2523" spans="1:1">
      <c r="A2523" s="19" t="s">
        <v>4382</v>
      </c>
    </row>
    <row r="2524" spans="1:1">
      <c r="A2524" s="18" t="s">
        <v>4383</v>
      </c>
    </row>
    <row r="2525" spans="1:1">
      <c r="A2525" s="11"/>
    </row>
    <row r="2526" spans="1:1">
      <c r="A2526" s="9" t="s">
        <v>4384</v>
      </c>
    </row>
    <row r="2527" spans="1:1">
      <c r="A2527" s="10" t="s">
        <v>1781</v>
      </c>
    </row>
    <row r="2528" spans="1:1">
      <c r="A2528" s="9" t="s">
        <v>1782</v>
      </c>
    </row>
    <row r="2529" spans="1:1">
      <c r="A2529" s="9" t="s">
        <v>1783</v>
      </c>
    </row>
    <row r="2530" spans="1:1">
      <c r="A2530" s="11"/>
    </row>
    <row r="2531" spans="1:1">
      <c r="A2531" s="9" t="s">
        <v>4385</v>
      </c>
    </row>
    <row r="2532" spans="1:1">
      <c r="A2532" s="18" t="s">
        <v>4386</v>
      </c>
    </row>
    <row r="2533" spans="1:1">
      <c r="A2533" s="18" t="s">
        <v>4387</v>
      </c>
    </row>
    <row r="2534" spans="1:1">
      <c r="A2534" s="19" t="s">
        <v>4388</v>
      </c>
    </row>
    <row r="2535" spans="1:1">
      <c r="A2535" s="11"/>
    </row>
    <row r="2536" spans="1:1">
      <c r="A2536" s="9" t="s">
        <v>4389</v>
      </c>
    </row>
    <row r="2537" spans="1:1">
      <c r="A2537" s="18" t="s">
        <v>4390</v>
      </c>
    </row>
    <row r="2538" spans="1:1">
      <c r="A2538" s="19" t="s">
        <v>4391</v>
      </c>
    </row>
    <row r="2539" spans="1:1">
      <c r="A2539" s="18" t="s">
        <v>4392</v>
      </c>
    </row>
    <row r="2540" spans="1:1">
      <c r="A2540" s="11"/>
    </row>
    <row r="2541" spans="1:1">
      <c r="A2541" s="9" t="s">
        <v>4393</v>
      </c>
    </row>
    <row r="2542" spans="1:1">
      <c r="A2542" s="19" t="s">
        <v>4394</v>
      </c>
    </row>
    <row r="2543" spans="1:1">
      <c r="A2543" s="20" t="s">
        <v>4395</v>
      </c>
    </row>
    <row r="2544" spans="1:1">
      <c r="A2544" s="20" t="s">
        <v>4396</v>
      </c>
    </row>
    <row r="2545" spans="1:1">
      <c r="A2545" s="11"/>
    </row>
    <row r="2546" spans="1:1">
      <c r="A2546" s="9" t="s">
        <v>4397</v>
      </c>
    </row>
    <row r="2547" spans="1:1">
      <c r="A2547" s="9" t="s">
        <v>1785</v>
      </c>
    </row>
    <row r="2548" spans="1:1">
      <c r="A2548" s="10" t="s">
        <v>1786</v>
      </c>
    </row>
    <row r="2549" spans="1:1">
      <c r="A2549" s="9" t="s">
        <v>1787</v>
      </c>
    </row>
    <row r="2550" spans="1:1">
      <c r="A2550" s="11"/>
    </row>
    <row r="2551" spans="1:1">
      <c r="A2551" s="9" t="s">
        <v>4398</v>
      </c>
    </row>
    <row r="2552" spans="1:1">
      <c r="A2552" s="9" t="s">
        <v>4399</v>
      </c>
    </row>
    <row r="2553" spans="1:1">
      <c r="A2553" s="10" t="s">
        <v>4400</v>
      </c>
    </row>
    <row r="2554" spans="1:1">
      <c r="A2554" s="9" t="s">
        <v>4401</v>
      </c>
    </row>
    <row r="2555" spans="1:1">
      <c r="A2555" s="11"/>
    </row>
    <row r="2556" spans="1:1">
      <c r="A2556" s="21" t="s">
        <v>4402</v>
      </c>
    </row>
    <row r="2557" spans="1:1">
      <c r="A2557" s="9" t="s">
        <v>459</v>
      </c>
    </row>
    <row r="2558" spans="1:1">
      <c r="A2558" s="10" t="s">
        <v>460</v>
      </c>
    </row>
    <row r="2559" spans="1:1">
      <c r="A2559" s="9" t="s">
        <v>461</v>
      </c>
    </row>
    <row r="2560" spans="1:1">
      <c r="A2560" s="11"/>
    </row>
    <row r="2561" spans="1:1">
      <c r="A2561" s="9" t="s">
        <v>4403</v>
      </c>
    </row>
    <row r="2562" spans="1:1">
      <c r="A2562" s="19" t="s">
        <v>4404</v>
      </c>
    </row>
    <row r="2563" spans="1:1">
      <c r="A2563" s="18" t="s">
        <v>4405</v>
      </c>
    </row>
    <row r="2564" spans="1:1">
      <c r="A2564" s="18" t="s">
        <v>1507</v>
      </c>
    </row>
    <row r="2565" spans="1:1">
      <c r="A2565" s="11"/>
    </row>
    <row r="2566" spans="1:1">
      <c r="A2566" s="9" t="s">
        <v>4406</v>
      </c>
    </row>
    <row r="2567" spans="1:1">
      <c r="A2567" s="18" t="s">
        <v>4407</v>
      </c>
    </row>
    <row r="2568" spans="1:1">
      <c r="A2568" s="18" t="s">
        <v>4408</v>
      </c>
    </row>
    <row r="2569" spans="1:1">
      <c r="A2569" s="19" t="s">
        <v>4409</v>
      </c>
    </row>
    <row r="2570" spans="1:1">
      <c r="A2570" s="11"/>
    </row>
    <row r="2571" spans="1:1">
      <c r="A2571" s="9" t="s">
        <v>4410</v>
      </c>
    </row>
    <row r="2572" spans="1:1">
      <c r="A2572" s="18" t="s">
        <v>4411</v>
      </c>
    </row>
    <row r="2573" spans="1:1">
      <c r="A2573" s="19" t="s">
        <v>4412</v>
      </c>
    </row>
    <row r="2574" spans="1:1">
      <c r="A2574" s="18" t="s">
        <v>4413</v>
      </c>
    </row>
    <row r="2575" spans="1:1">
      <c r="A2575" s="11"/>
    </row>
    <row r="2576" spans="1:1">
      <c r="A2576" s="9" t="s">
        <v>4414</v>
      </c>
    </row>
    <row r="2577" spans="1:1">
      <c r="A2577" s="9" t="s">
        <v>4415</v>
      </c>
    </row>
    <row r="2578" spans="1:1">
      <c r="A2578" s="10" t="s">
        <v>4416</v>
      </c>
    </row>
    <row r="2579" spans="1:1">
      <c r="A2579" s="9" t="s">
        <v>4417</v>
      </c>
    </row>
    <row r="2580" spans="1:1">
      <c r="A2580" s="11"/>
    </row>
    <row r="2581" spans="1:1">
      <c r="A2581" s="9" t="s">
        <v>4418</v>
      </c>
    </row>
    <row r="2582" spans="1:1">
      <c r="A2582" s="10" t="s">
        <v>4419</v>
      </c>
    </row>
    <row r="2583" spans="1:1">
      <c r="A2583" s="14" t="s">
        <v>4420</v>
      </c>
    </row>
    <row r="2584" spans="1:1">
      <c r="A2584" s="14" t="s">
        <v>4421</v>
      </c>
    </row>
    <row r="2585" spans="1:1">
      <c r="A2585" s="11"/>
    </row>
    <row r="2586" spans="1:1">
      <c r="A2586" s="9" t="s">
        <v>4422</v>
      </c>
    </row>
    <row r="2587" spans="1:1">
      <c r="A2587" s="18" t="s">
        <v>4423</v>
      </c>
    </row>
    <row r="2588" spans="1:1">
      <c r="A2588" s="19" t="s">
        <v>4424</v>
      </c>
    </row>
    <row r="2589" spans="1:1">
      <c r="A2589" s="18" t="s">
        <v>4425</v>
      </c>
    </row>
    <row r="2590" spans="1:1">
      <c r="A2590" s="11"/>
    </row>
    <row r="2591" spans="1:1">
      <c r="A2591" s="9" t="s">
        <v>4426</v>
      </c>
    </row>
    <row r="2592" spans="1:1">
      <c r="A2592" s="9" t="s">
        <v>4427</v>
      </c>
    </row>
    <row r="2593" spans="1:1">
      <c r="A2593" s="9" t="s">
        <v>4428</v>
      </c>
    </row>
    <row r="2594" spans="1:1">
      <c r="A2594" s="19" t="s">
        <v>4429</v>
      </c>
    </row>
    <row r="2595" spans="1:1">
      <c r="A2595" s="11"/>
    </row>
    <row r="2596" spans="1:1">
      <c r="A2596" s="9" t="s">
        <v>4430</v>
      </c>
    </row>
    <row r="2597" spans="1:1">
      <c r="A2597" s="18" t="s">
        <v>4425</v>
      </c>
    </row>
    <row r="2598" spans="1:1">
      <c r="A2598" s="18" t="s">
        <v>4431</v>
      </c>
    </row>
    <row r="2599" spans="1:1">
      <c r="A2599" s="19" t="s">
        <v>4432</v>
      </c>
    </row>
    <row r="2600" spans="1:1">
      <c r="A2600" s="11"/>
    </row>
    <row r="2601" spans="1:1">
      <c r="A2601" s="9" t="s">
        <v>4433</v>
      </c>
    </row>
    <row r="2602" spans="1:1">
      <c r="A2602" s="19" t="s">
        <v>4434</v>
      </c>
    </row>
    <row r="2603" spans="1:1">
      <c r="A2603" s="18" t="s">
        <v>4435</v>
      </c>
    </row>
    <row r="2604" spans="1:1">
      <c r="A2604" s="18" t="s">
        <v>4436</v>
      </c>
    </row>
    <row r="2605" spans="1:1">
      <c r="A2605" s="11"/>
    </row>
    <row r="2606" spans="1:1">
      <c r="A2606" s="9" t="s">
        <v>4437</v>
      </c>
    </row>
    <row r="2607" spans="1:1">
      <c r="A2607" s="18" t="s">
        <v>4438</v>
      </c>
    </row>
    <row r="2608" spans="1:1">
      <c r="A2608" s="19" t="s">
        <v>4439</v>
      </c>
    </row>
    <row r="2609" spans="1:1">
      <c r="A2609" s="18" t="s">
        <v>4439</v>
      </c>
    </row>
    <row r="2610" spans="1:1">
      <c r="A2610" s="11"/>
    </row>
    <row r="2611" spans="1:1">
      <c r="A2611" s="9" t="s">
        <v>4440</v>
      </c>
    </row>
    <row r="2612" spans="1:1">
      <c r="A2612" s="9" t="s">
        <v>4441</v>
      </c>
    </row>
    <row r="2613" spans="1:1">
      <c r="A2613" s="9" t="s">
        <v>4442</v>
      </c>
    </row>
    <row r="2614" spans="1:1">
      <c r="A2614" s="10" t="s">
        <v>4443</v>
      </c>
    </row>
    <row r="2615" spans="1:1">
      <c r="A2615" s="11"/>
    </row>
    <row r="2616" spans="1:1">
      <c r="A2616" s="9" t="s">
        <v>1791</v>
      </c>
    </row>
    <row r="2617" spans="1:1">
      <c r="A2617" s="18" t="s">
        <v>4444</v>
      </c>
    </row>
    <row r="2618" spans="1:1">
      <c r="A2618" s="19" t="s">
        <v>4445</v>
      </c>
    </row>
    <row r="2619" spans="1:1">
      <c r="A2619" s="18" t="s">
        <v>4446</v>
      </c>
    </row>
    <row r="2620" spans="1:1">
      <c r="A2620" s="11"/>
    </row>
    <row r="2621" spans="1:1">
      <c r="A2621" s="9" t="s">
        <v>1793</v>
      </c>
    </row>
    <row r="2622" spans="1:1">
      <c r="A2622" s="18" t="s">
        <v>4447</v>
      </c>
    </row>
    <row r="2623" spans="1:1">
      <c r="A2623" s="19" t="s">
        <v>4448</v>
      </c>
    </row>
    <row r="2624" spans="1:1">
      <c r="A2624" s="18" t="s">
        <v>4449</v>
      </c>
    </row>
    <row r="2625" spans="1:1">
      <c r="A2625" s="11"/>
    </row>
    <row r="2626" spans="1:1">
      <c r="A2626" s="9" t="s">
        <v>1794</v>
      </c>
    </row>
    <row r="2627" spans="1:1">
      <c r="A2627" s="18" t="s">
        <v>4450</v>
      </c>
    </row>
    <row r="2628" spans="1:1">
      <c r="A2628" s="18" t="s">
        <v>4451</v>
      </c>
    </row>
    <row r="2629" spans="1:1">
      <c r="A2629" s="19" t="s">
        <v>4452</v>
      </c>
    </row>
    <row r="2630" spans="1:1">
      <c r="A2630" s="19"/>
    </row>
    <row r="2631" spans="1:1">
      <c r="A2631" s="9" t="s">
        <v>1794</v>
      </c>
    </row>
    <row r="2632" spans="1:1">
      <c r="A2632" s="18" t="s">
        <v>4453</v>
      </c>
    </row>
    <row r="2633" spans="1:1">
      <c r="A2633" s="18" t="s">
        <v>4454</v>
      </c>
    </row>
    <row r="2634" spans="1:1">
      <c r="A2634" s="19" t="s">
        <v>4455</v>
      </c>
    </row>
    <row r="2635" spans="1:1">
      <c r="A2635" s="11"/>
    </row>
    <row r="2636" spans="1:1">
      <c r="A2636" s="9" t="s">
        <v>1795</v>
      </c>
    </row>
    <row r="2637" spans="1:1">
      <c r="A2637" s="9" t="s">
        <v>1796</v>
      </c>
    </row>
    <row r="2638" spans="1:1">
      <c r="A2638" s="9" t="s">
        <v>1797</v>
      </c>
    </row>
    <row r="2639" spans="1:1">
      <c r="A2639" s="10" t="s">
        <v>1798</v>
      </c>
    </row>
    <row r="2640" spans="1:1">
      <c r="A2640" s="11"/>
    </row>
    <row r="2641" spans="1:1">
      <c r="A2641" s="9" t="s">
        <v>1799</v>
      </c>
    </row>
    <row r="2642" spans="1:1">
      <c r="A2642" s="10" t="s">
        <v>1800</v>
      </c>
    </row>
    <row r="2643" spans="1:1">
      <c r="A2643" s="9" t="s">
        <v>1801</v>
      </c>
    </row>
    <row r="2644" spans="1:1">
      <c r="A2644" s="9" t="s">
        <v>1802</v>
      </c>
    </row>
    <row r="2645" spans="1:1">
      <c r="A2645" s="11"/>
    </row>
    <row r="2646" spans="1:1">
      <c r="A2646" s="9" t="s">
        <v>4456</v>
      </c>
    </row>
    <row r="2647" spans="1:1">
      <c r="A2647" s="18" t="s">
        <v>4457</v>
      </c>
    </row>
    <row r="2648" spans="1:1">
      <c r="A2648" s="19" t="s">
        <v>4458</v>
      </c>
    </row>
    <row r="2649" spans="1:1">
      <c r="A2649" s="18" t="s">
        <v>4459</v>
      </c>
    </row>
    <row r="2650" spans="1:1">
      <c r="A2650" s="11"/>
    </row>
    <row r="2651" spans="1:1">
      <c r="A2651" s="9" t="s">
        <v>4460</v>
      </c>
    </row>
    <row r="2652" spans="1:1">
      <c r="A2652" s="9" t="s">
        <v>4461</v>
      </c>
    </row>
    <row r="2653" spans="1:1">
      <c r="A2653" s="9" t="s">
        <v>4462</v>
      </c>
    </row>
    <row r="2654" spans="1:1">
      <c r="A2654" s="19" t="s">
        <v>4463</v>
      </c>
    </row>
    <row r="2655" spans="1:1">
      <c r="A2655" s="11"/>
    </row>
    <row r="2656" spans="1:1">
      <c r="A2656" s="9" t="s">
        <v>4464</v>
      </c>
    </row>
    <row r="2657" spans="1:1">
      <c r="A2657" s="18" t="s">
        <v>4465</v>
      </c>
    </row>
    <row r="2658" spans="1:1">
      <c r="A2658" s="19" t="s">
        <v>4466</v>
      </c>
    </row>
    <row r="2659" spans="1:1">
      <c r="A2659" s="18" t="s">
        <v>4467</v>
      </c>
    </row>
    <row r="2660" spans="1:1">
      <c r="A2660" s="11"/>
    </row>
    <row r="2661" spans="1:1">
      <c r="A2661" s="9" t="s">
        <v>4468</v>
      </c>
    </row>
    <row r="2662" spans="1:1">
      <c r="A2662" s="18" t="s">
        <v>4469</v>
      </c>
    </row>
    <row r="2663" spans="1:1">
      <c r="A2663" s="19" t="s">
        <v>4470</v>
      </c>
    </row>
    <row r="2664" spans="1:1">
      <c r="A2664" s="18" t="s">
        <v>4471</v>
      </c>
    </row>
    <row r="2665" spans="1:1">
      <c r="A2665" s="11"/>
    </row>
    <row r="2666" spans="1:1">
      <c r="A2666" s="9" t="s">
        <v>4472</v>
      </c>
    </row>
    <row r="2667" spans="1:1">
      <c r="A2667" s="9" t="s">
        <v>1804</v>
      </c>
    </row>
    <row r="2668" spans="1:1">
      <c r="A2668" s="9" t="s">
        <v>1805</v>
      </c>
    </row>
    <row r="2669" spans="1:1">
      <c r="A2669" s="10" t="s">
        <v>1806</v>
      </c>
    </row>
    <row r="2670" spans="1:1">
      <c r="A2670" s="11"/>
    </row>
    <row r="2671" spans="1:1">
      <c r="A2671" s="9" t="s">
        <v>4473</v>
      </c>
    </row>
    <row r="2672" spans="1:1">
      <c r="A2672" s="9" t="s">
        <v>4474</v>
      </c>
    </row>
    <row r="2673" spans="1:1">
      <c r="A2673" s="10" t="s">
        <v>4475</v>
      </c>
    </row>
    <row r="2674" spans="1:1">
      <c r="A2674" s="9" t="s">
        <v>4476</v>
      </c>
    </row>
    <row r="2675" spans="1:1">
      <c r="A2675" s="11"/>
    </row>
    <row r="2676" spans="1:1">
      <c r="A2676" s="9" t="s">
        <v>4477</v>
      </c>
    </row>
    <row r="2677" spans="1:1">
      <c r="A2677" s="9" t="s">
        <v>4478</v>
      </c>
    </row>
    <row r="2678" spans="1:1">
      <c r="A2678" s="9" t="s">
        <v>4479</v>
      </c>
    </row>
    <row r="2679" spans="1:1">
      <c r="A2679" s="19" t="s">
        <v>4480</v>
      </c>
    </row>
    <row r="2680" spans="1:1">
      <c r="A2680" s="11"/>
    </row>
    <row r="2681" spans="1:1">
      <c r="A2681" s="9" t="s">
        <v>4481</v>
      </c>
    </row>
    <row r="2682" spans="1:1">
      <c r="A2682" s="18" t="s">
        <v>4482</v>
      </c>
    </row>
    <row r="2683" spans="1:1">
      <c r="A2683" s="19" t="s">
        <v>4483</v>
      </c>
    </row>
    <row r="2684" spans="1:1">
      <c r="A2684" s="18" t="s">
        <v>4484</v>
      </c>
    </row>
    <row r="2685" spans="1:1">
      <c r="A2685" s="11"/>
    </row>
    <row r="2686" spans="1:1">
      <c r="A2686" s="21" t="s">
        <v>4485</v>
      </c>
    </row>
    <row r="2687" spans="1:1">
      <c r="A2687" s="9" t="s">
        <v>1808</v>
      </c>
    </row>
    <row r="2688" spans="1:1">
      <c r="A2688" s="9" t="s">
        <v>1809</v>
      </c>
    </row>
    <row r="2689" spans="1:1">
      <c r="A2689" s="10" t="s">
        <v>1810</v>
      </c>
    </row>
    <row r="2690" spans="1:1">
      <c r="A2690" s="11"/>
    </row>
    <row r="2691" spans="1:1">
      <c r="A2691" s="9" t="s">
        <v>4486</v>
      </c>
    </row>
    <row r="2692" spans="1:1">
      <c r="A2692" s="19" t="s">
        <v>4487</v>
      </c>
    </row>
    <row r="2693" spans="1:1">
      <c r="A2693" s="20" t="s">
        <v>4488</v>
      </c>
    </row>
    <row r="2694" spans="1:1">
      <c r="A2694" s="20" t="s">
        <v>4489</v>
      </c>
    </row>
    <row r="2695" spans="1:1">
      <c r="A2695" s="11"/>
    </row>
    <row r="2696" spans="1:1">
      <c r="A2696" s="9" t="s">
        <v>1811</v>
      </c>
    </row>
    <row r="2697" spans="1:1">
      <c r="A2697" s="9" t="s">
        <v>1812</v>
      </c>
    </row>
    <row r="2698" spans="1:1">
      <c r="A2698" s="10" t="s">
        <v>853</v>
      </c>
    </row>
    <row r="2699" spans="1:1">
      <c r="A2699" s="9" t="s">
        <v>557</v>
      </c>
    </row>
    <row r="2700" spans="1:1">
      <c r="A2700" s="11"/>
    </row>
    <row r="2701" spans="1:1">
      <c r="A2701" s="9" t="s">
        <v>1813</v>
      </c>
    </row>
    <row r="2702" spans="1:1">
      <c r="A2702" s="9" t="s">
        <v>1814</v>
      </c>
    </row>
    <row r="2703" spans="1:1">
      <c r="A2703" s="10" t="s">
        <v>1815</v>
      </c>
    </row>
    <row r="2704" spans="1:1">
      <c r="A2704" s="9" t="s">
        <v>1816</v>
      </c>
    </row>
    <row r="2705" spans="1:1">
      <c r="A2705" s="11"/>
    </row>
    <row r="2706" spans="1:1">
      <c r="A2706" s="9" t="s">
        <v>4490</v>
      </c>
    </row>
    <row r="2707" spans="1:1">
      <c r="A2707" s="9" t="s">
        <v>4491</v>
      </c>
    </row>
    <row r="2708" spans="1:1">
      <c r="A2708" s="9" t="s">
        <v>4492</v>
      </c>
    </row>
    <row r="2709" spans="1:1">
      <c r="A2709" s="10" t="s">
        <v>4493</v>
      </c>
    </row>
    <row r="2710" spans="1:1">
      <c r="A2710" s="11"/>
    </row>
    <row r="2711" spans="1:1">
      <c r="A2711" s="9" t="s">
        <v>6010</v>
      </c>
    </row>
    <row r="2712" spans="1:1">
      <c r="A2712" s="18" t="s">
        <v>4494</v>
      </c>
    </row>
    <row r="2713" spans="1:1">
      <c r="A2713" s="19" t="s">
        <v>4495</v>
      </c>
    </row>
    <row r="2714" spans="1:1">
      <c r="A2714" s="18" t="s">
        <v>4496</v>
      </c>
    </row>
    <row r="2715" spans="1:1">
      <c r="A2715" s="9"/>
    </row>
    <row r="2716" spans="1:1">
      <c r="A2716" s="9" t="s">
        <v>1817</v>
      </c>
    </row>
    <row r="2717" spans="1:1">
      <c r="A2717" s="18" t="s">
        <v>6003</v>
      </c>
    </row>
    <row r="2718" spans="1:1">
      <c r="A2718" s="18" t="s">
        <v>6004</v>
      </c>
    </row>
    <row r="2719" spans="1:1">
      <c r="A2719" s="10" t="s">
        <v>6005</v>
      </c>
    </row>
    <row r="2720" spans="1:1">
      <c r="A2720" s="10"/>
    </row>
    <row r="2721" spans="1:1">
      <c r="A2721" s="9" t="s">
        <v>1818</v>
      </c>
    </row>
    <row r="2722" spans="1:1">
      <c r="A2722" s="18" t="s">
        <v>6006</v>
      </c>
    </row>
    <row r="2723" spans="1:1">
      <c r="A2723" s="9" t="s">
        <v>6007</v>
      </c>
    </row>
    <row r="2724" spans="1:1">
      <c r="A2724" s="10" t="s">
        <v>6008</v>
      </c>
    </row>
    <row r="2725" spans="1:1">
      <c r="A2725" s="11"/>
    </row>
    <row r="2726" spans="1:1">
      <c r="A2726" s="9" t="s">
        <v>6009</v>
      </c>
    </row>
    <row r="2727" spans="1:1">
      <c r="A2727" s="9" t="s">
        <v>1819</v>
      </c>
    </row>
    <row r="2728" spans="1:1">
      <c r="A2728" s="9" t="s">
        <v>1820</v>
      </c>
    </row>
    <row r="2729" spans="1:1">
      <c r="A2729" s="10" t="s">
        <v>1821</v>
      </c>
    </row>
    <row r="2730" spans="1:1">
      <c r="A2730" s="11"/>
    </row>
    <row r="2731" spans="1:1" ht="25.5">
      <c r="A2731" s="9" t="s">
        <v>1822</v>
      </c>
    </row>
    <row r="2732" spans="1:1">
      <c r="A2732" s="10" t="s">
        <v>6011</v>
      </c>
    </row>
    <row r="2733" spans="1:1">
      <c r="A2733" s="14" t="s">
        <v>6012</v>
      </c>
    </row>
    <row r="2734" spans="1:1">
      <c r="A2734" s="14" t="s">
        <v>6013</v>
      </c>
    </row>
    <row r="2735" spans="1:1">
      <c r="A2735" s="11"/>
    </row>
    <row r="2736" spans="1:1">
      <c r="A2736" s="9" t="s">
        <v>1823</v>
      </c>
    </row>
    <row r="2737" spans="1:1">
      <c r="A2737" s="19" t="s">
        <v>4575</v>
      </c>
    </row>
    <row r="2738" spans="1:1">
      <c r="A2738" s="20" t="s">
        <v>6014</v>
      </c>
    </row>
    <row r="2739" spans="1:1">
      <c r="A2739" s="20" t="s">
        <v>6015</v>
      </c>
    </row>
    <row r="2740" spans="1:1">
      <c r="A2740" s="11"/>
    </row>
    <row r="2741" spans="1:1" ht="25.5">
      <c r="A2741" s="9" t="s">
        <v>1824</v>
      </c>
    </row>
    <row r="2742" spans="1:1">
      <c r="A2742" s="19" t="s">
        <v>6016</v>
      </c>
    </row>
    <row r="2743" spans="1:1">
      <c r="A2743" s="20" t="s">
        <v>6017</v>
      </c>
    </row>
    <row r="2744" spans="1:1">
      <c r="A2744" s="20" t="s">
        <v>4538</v>
      </c>
    </row>
    <row r="2745" spans="1:1">
      <c r="A2745" s="11"/>
    </row>
    <row r="2746" spans="1:1">
      <c r="A2746" s="9" t="s">
        <v>1825</v>
      </c>
    </row>
    <row r="2747" spans="1:1">
      <c r="A2747" s="9" t="s">
        <v>1826</v>
      </c>
    </row>
    <row r="2748" spans="1:1">
      <c r="A2748" s="10" t="s">
        <v>1827</v>
      </c>
    </row>
    <row r="2749" spans="1:1">
      <c r="A2749" s="9" t="s">
        <v>1828</v>
      </c>
    </row>
    <row r="2750" spans="1:1">
      <c r="A2750" s="11"/>
    </row>
    <row r="2751" spans="1:1">
      <c r="A2751" s="9" t="s">
        <v>6018</v>
      </c>
    </row>
    <row r="2752" spans="1:1">
      <c r="A2752" s="9" t="s">
        <v>1829</v>
      </c>
    </row>
    <row r="2753" spans="1:1">
      <c r="A2753" s="9" t="s">
        <v>1830</v>
      </c>
    </row>
    <row r="2754" spans="1:1">
      <c r="A2754" s="10" t="s">
        <v>6019</v>
      </c>
    </row>
    <row r="2755" spans="1:1">
      <c r="A2755" s="11"/>
    </row>
    <row r="2756" spans="1:1">
      <c r="A2756" s="9" t="s">
        <v>6020</v>
      </c>
    </row>
    <row r="2757" spans="1:1">
      <c r="A2757" s="18" t="s">
        <v>6022</v>
      </c>
    </row>
    <row r="2758" spans="1:1">
      <c r="A2758" s="18" t="s">
        <v>6023</v>
      </c>
    </row>
    <row r="2759" spans="1:1">
      <c r="A2759" s="19" t="s">
        <v>6024</v>
      </c>
    </row>
    <row r="2760" spans="1:1">
      <c r="A2760" s="11"/>
    </row>
    <row r="2761" spans="1:1">
      <c r="A2761" s="9" t="s">
        <v>6026</v>
      </c>
    </row>
    <row r="2762" spans="1:1">
      <c r="A2762" s="9" t="s">
        <v>1831</v>
      </c>
    </row>
    <row r="2763" spans="1:1">
      <c r="A2763" s="9" t="s">
        <v>1832</v>
      </c>
    </row>
    <row r="2764" spans="1:1">
      <c r="A2764" s="10" t="s">
        <v>1833</v>
      </c>
    </row>
    <row r="2765" spans="1:1">
      <c r="A2765" s="10"/>
    </row>
    <row r="2766" spans="1:1">
      <c r="A2766" s="9" t="s">
        <v>6025</v>
      </c>
    </row>
    <row r="2767" spans="1:1">
      <c r="A2767" s="9" t="s">
        <v>1834</v>
      </c>
    </row>
    <row r="2768" spans="1:1">
      <c r="A2768" s="9" t="s">
        <v>1835</v>
      </c>
    </row>
    <row r="2769" spans="1:1">
      <c r="A2769" s="10" t="s">
        <v>1836</v>
      </c>
    </row>
    <row r="2770" spans="1:1">
      <c r="A2770" s="11"/>
    </row>
    <row r="2771" spans="1:1">
      <c r="A2771" s="9" t="s">
        <v>1837</v>
      </c>
    </row>
    <row r="2772" spans="1:1">
      <c r="A2772" s="9" t="s">
        <v>6027</v>
      </c>
    </row>
    <row r="2773" spans="1:1">
      <c r="A2773" s="9" t="s">
        <v>6028</v>
      </c>
    </row>
    <row r="2774" spans="1:1">
      <c r="A2774" s="19" t="s">
        <v>5382</v>
      </c>
    </row>
    <row r="2775" spans="1:1">
      <c r="A2775" s="11"/>
    </row>
    <row r="2776" spans="1:1" ht="25.5">
      <c r="A2776" s="9" t="s">
        <v>6029</v>
      </c>
    </row>
    <row r="2777" spans="1:1">
      <c r="A2777" s="9" t="s">
        <v>1838</v>
      </c>
    </row>
    <row r="2778" spans="1:1">
      <c r="A2778" s="10" t="s">
        <v>1839</v>
      </c>
    </row>
    <row r="2779" spans="1:1">
      <c r="A2779" s="9" t="s">
        <v>1840</v>
      </c>
    </row>
    <row r="2780" spans="1:1">
      <c r="A2780" s="11"/>
    </row>
    <row r="2781" spans="1:1">
      <c r="A2781" s="9" t="s">
        <v>6030</v>
      </c>
    </row>
    <row r="2782" spans="1:1">
      <c r="A2782" s="18" t="s">
        <v>6031</v>
      </c>
    </row>
    <row r="2783" spans="1:1">
      <c r="A2783" s="19" t="s">
        <v>6032</v>
      </c>
    </row>
    <row r="2784" spans="1:1">
      <c r="A2784" s="18" t="s">
        <v>6033</v>
      </c>
    </row>
    <row r="2785" spans="1:1">
      <c r="A2785" s="11"/>
    </row>
    <row r="2786" spans="1:1">
      <c r="A2786" s="9" t="s">
        <v>1841</v>
      </c>
    </row>
    <row r="2787" spans="1:1">
      <c r="A2787" s="10" t="s">
        <v>6034</v>
      </c>
    </row>
    <row r="2788" spans="1:1">
      <c r="A2788" s="20" t="s">
        <v>6036</v>
      </c>
    </row>
    <row r="2789" spans="1:1">
      <c r="A2789" s="14" t="s">
        <v>6037</v>
      </c>
    </row>
    <row r="2790" spans="1:1">
      <c r="A2790" s="11"/>
    </row>
    <row r="2791" spans="1:1">
      <c r="A2791" s="9" t="s">
        <v>1842</v>
      </c>
    </row>
    <row r="2792" spans="1:1">
      <c r="A2792" s="19" t="s">
        <v>5399</v>
      </c>
    </row>
    <row r="2793" spans="1:1">
      <c r="A2793" s="9" t="s">
        <v>6038</v>
      </c>
    </row>
    <row r="2794" spans="1:1">
      <c r="A2794" s="18" t="s">
        <v>6039</v>
      </c>
    </row>
    <row r="2795" spans="1:1">
      <c r="A2795" s="11"/>
    </row>
    <row r="2796" spans="1:1">
      <c r="A2796" s="9" t="s">
        <v>6040</v>
      </c>
    </row>
    <row r="2797" spans="1:1">
      <c r="A2797" s="18" t="s">
        <v>6041</v>
      </c>
    </row>
    <row r="2798" spans="1:1">
      <c r="A2798" s="19" t="s">
        <v>6043</v>
      </c>
    </row>
    <row r="2799" spans="1:1">
      <c r="A2799" s="9" t="s">
        <v>6042</v>
      </c>
    </row>
    <row r="2800" spans="1:1">
      <c r="A2800" s="9"/>
    </row>
    <row r="2801" spans="1:1">
      <c r="A2801" s="9" t="s">
        <v>1843</v>
      </c>
    </row>
    <row r="2802" spans="1:1">
      <c r="A2802" s="9" t="s">
        <v>1844</v>
      </c>
    </row>
    <row r="2803" spans="1:1">
      <c r="A2803" s="10" t="s">
        <v>1845</v>
      </c>
    </row>
    <row r="2804" spans="1:1">
      <c r="A2804" s="9" t="s">
        <v>1846</v>
      </c>
    </row>
    <row r="2805" spans="1:1">
      <c r="A2805" s="11"/>
    </row>
    <row r="2806" spans="1:1">
      <c r="A2806" s="9" t="s">
        <v>492</v>
      </c>
    </row>
    <row r="2807" spans="1:1">
      <c r="A2807" s="10" t="s">
        <v>493</v>
      </c>
    </row>
    <row r="2808" spans="1:1">
      <c r="A2808" s="9" t="s">
        <v>494</v>
      </c>
    </row>
    <row r="2809" spans="1:1">
      <c r="A2809" s="9" t="s">
        <v>495</v>
      </c>
    </row>
    <row r="2810" spans="1:1">
      <c r="A2810" s="11"/>
    </row>
    <row r="2811" spans="1:1">
      <c r="A2811" s="9" t="s">
        <v>6044</v>
      </c>
    </row>
    <row r="2812" spans="1:1">
      <c r="A2812" s="9" t="s">
        <v>1847</v>
      </c>
    </row>
    <row r="2813" spans="1:1">
      <c r="A2813" s="10" t="s">
        <v>1848</v>
      </c>
    </row>
    <row r="2814" spans="1:1">
      <c r="A2814" s="9" t="s">
        <v>1849</v>
      </c>
    </row>
    <row r="2815" spans="1:1">
      <c r="A2815" s="11"/>
    </row>
    <row r="2816" spans="1:1">
      <c r="A2816" s="9" t="s">
        <v>6048</v>
      </c>
    </row>
    <row r="2817" spans="1:1">
      <c r="A2817" s="9" t="s">
        <v>6045</v>
      </c>
    </row>
    <row r="2818" spans="1:1">
      <c r="A2818" s="19" t="s">
        <v>6047</v>
      </c>
    </row>
    <row r="2819" spans="1:1">
      <c r="A2819" s="9" t="s">
        <v>6046</v>
      </c>
    </row>
    <row r="2820" spans="1:1">
      <c r="A2820" s="11"/>
    </row>
    <row r="2821" spans="1:1">
      <c r="A2821" s="9" t="s">
        <v>6049</v>
      </c>
    </row>
    <row r="2822" spans="1:1">
      <c r="A2822" s="10" t="s">
        <v>6052</v>
      </c>
    </row>
    <row r="2823" spans="1:1">
      <c r="A2823" s="9" t="s">
        <v>6050</v>
      </c>
    </row>
    <row r="2824" spans="1:1">
      <c r="A2824" s="11" t="s">
        <v>6051</v>
      </c>
    </row>
    <row r="2825" spans="1:1">
      <c r="A2825" s="11"/>
    </row>
    <row r="2826" spans="1:1">
      <c r="A2826" s="9" t="s">
        <v>6053</v>
      </c>
    </row>
    <row r="2827" spans="1:1">
      <c r="A2827" s="10" t="s">
        <v>1851</v>
      </c>
    </row>
    <row r="2828" spans="1:1">
      <c r="A2828" s="9" t="s">
        <v>1852</v>
      </c>
    </row>
    <row r="2829" spans="1:1">
      <c r="A2829" s="9" t="s">
        <v>1853</v>
      </c>
    </row>
    <row r="2830" spans="1:1">
      <c r="A2830" s="11"/>
    </row>
    <row r="2831" spans="1:1">
      <c r="A2831" s="9" t="s">
        <v>1854</v>
      </c>
    </row>
    <row r="2832" spans="1:1">
      <c r="A2832" s="9" t="s">
        <v>1855</v>
      </c>
    </row>
    <row r="2833" spans="1:1">
      <c r="A2833" s="9" t="s">
        <v>1856</v>
      </c>
    </row>
    <row r="2834" spans="1:1">
      <c r="A2834" s="10" t="s">
        <v>1857</v>
      </c>
    </row>
    <row r="2835" spans="1:1">
      <c r="A2835" s="11"/>
    </row>
    <row r="2836" spans="1:1">
      <c r="A2836" s="9" t="s">
        <v>6054</v>
      </c>
    </row>
    <row r="2837" spans="1:1">
      <c r="A2837" s="9" t="s">
        <v>6055</v>
      </c>
    </row>
    <row r="2838" spans="1:1">
      <c r="A2838" s="19" t="s">
        <v>6057</v>
      </c>
    </row>
    <row r="2839" spans="1:1">
      <c r="A2839" s="18" t="s">
        <v>6056</v>
      </c>
    </row>
    <row r="2840" spans="1:1">
      <c r="A2840" s="11"/>
    </row>
    <row r="2841" spans="1:1">
      <c r="A2841" s="9" t="s">
        <v>1858</v>
      </c>
    </row>
    <row r="2842" spans="1:1">
      <c r="A2842" s="18" t="s">
        <v>6058</v>
      </c>
    </row>
    <row r="2843" spans="1:1">
      <c r="A2843" s="18" t="s">
        <v>6059</v>
      </c>
    </row>
    <row r="2844" spans="1:1">
      <c r="A2844" s="19" t="s">
        <v>6060</v>
      </c>
    </row>
    <row r="2845" spans="1:1">
      <c r="A2845" s="11"/>
    </row>
    <row r="2846" spans="1:1">
      <c r="A2846" s="9" t="s">
        <v>6061</v>
      </c>
    </row>
    <row r="2847" spans="1:1">
      <c r="A2847" s="19" t="s">
        <v>6063</v>
      </c>
    </row>
    <row r="2848" spans="1:1">
      <c r="A2848" s="18" t="s">
        <v>6064</v>
      </c>
    </row>
    <row r="2849" spans="1:1">
      <c r="A2849" s="11" t="s">
        <v>6065</v>
      </c>
    </row>
    <row r="2850" spans="1:1">
      <c r="A2850" s="11"/>
    </row>
    <row r="2851" spans="1:1">
      <c r="A2851" s="9" t="s">
        <v>1859</v>
      </c>
    </row>
    <row r="2852" spans="1:1">
      <c r="A2852" s="18" t="s">
        <v>6066</v>
      </c>
    </row>
    <row r="2853" spans="1:1">
      <c r="A2853" s="19" t="s">
        <v>6067</v>
      </c>
    </row>
    <row r="2854" spans="1:1">
      <c r="A2854" s="18" t="s">
        <v>6068</v>
      </c>
    </row>
    <row r="2855" spans="1:1">
      <c r="A2855" s="11"/>
    </row>
    <row r="2856" spans="1:1">
      <c r="A2856" s="9" t="s">
        <v>1860</v>
      </c>
    </row>
    <row r="2857" spans="1:1">
      <c r="A2857" s="9" t="s">
        <v>1861</v>
      </c>
    </row>
    <row r="2858" spans="1:1">
      <c r="A2858" s="9" t="s">
        <v>1862</v>
      </c>
    </row>
    <row r="2859" spans="1:1">
      <c r="A2859" s="10" t="s">
        <v>1863</v>
      </c>
    </row>
    <row r="2860" spans="1:1">
      <c r="A2860" s="11"/>
    </row>
    <row r="2861" spans="1:1">
      <c r="A2861" s="9" t="s">
        <v>6069</v>
      </c>
    </row>
    <row r="2862" spans="1:1">
      <c r="A2862" s="9" t="s">
        <v>6070</v>
      </c>
    </row>
    <row r="2863" spans="1:1">
      <c r="A2863" s="10" t="s">
        <v>6072</v>
      </c>
    </row>
    <row r="2864" spans="1:1">
      <c r="A2864" s="9" t="s">
        <v>6071</v>
      </c>
    </row>
    <row r="2865" spans="1:1">
      <c r="A2865" s="11"/>
    </row>
    <row r="2866" spans="1:1">
      <c r="A2866" s="9" t="s">
        <v>6073</v>
      </c>
    </row>
    <row r="2867" spans="1:1">
      <c r="A2867" s="11" t="s">
        <v>6074</v>
      </c>
    </row>
    <row r="2868" spans="1:1">
      <c r="A2868" s="12" t="s">
        <v>6075</v>
      </c>
    </row>
    <row r="2869" spans="1:1">
      <c r="A2869" s="11" t="s">
        <v>6076</v>
      </c>
    </row>
    <row r="2870" spans="1:1">
      <c r="A2870" s="11"/>
    </row>
    <row r="2871" spans="1:1">
      <c r="A2871" s="9" t="s">
        <v>6077</v>
      </c>
    </row>
    <row r="2872" spans="1:1">
      <c r="A2872" s="9" t="s">
        <v>207</v>
      </c>
    </row>
    <row r="2873" spans="1:1">
      <c r="A2873" s="10" t="s">
        <v>395</v>
      </c>
    </row>
    <row r="2874" spans="1:1">
      <c r="A2874" s="9" t="s">
        <v>1864</v>
      </c>
    </row>
    <row r="2875" spans="1:1">
      <c r="A2875" s="11"/>
    </row>
    <row r="2876" spans="1:1">
      <c r="A2876" s="9" t="s">
        <v>6078</v>
      </c>
    </row>
    <row r="2877" spans="1:1">
      <c r="A2877" s="9" t="s">
        <v>1866</v>
      </c>
    </row>
    <row r="2878" spans="1:1">
      <c r="A2878" s="10" t="s">
        <v>1867</v>
      </c>
    </row>
    <row r="2879" spans="1:1">
      <c r="A2879" s="9" t="s">
        <v>1868</v>
      </c>
    </row>
    <row r="2880" spans="1:1">
      <c r="A2880" s="11"/>
    </row>
    <row r="2881" spans="1:1">
      <c r="A2881" s="9" t="s">
        <v>6079</v>
      </c>
    </row>
    <row r="2882" spans="1:1">
      <c r="A2882" s="10" t="s">
        <v>1869</v>
      </c>
    </row>
    <row r="2883" spans="1:1">
      <c r="A2883" s="9" t="s">
        <v>1867</v>
      </c>
    </row>
    <row r="2884" spans="1:1">
      <c r="A2884" s="9" t="s">
        <v>999</v>
      </c>
    </row>
    <row r="2885" spans="1:1">
      <c r="A2885" s="11"/>
    </row>
    <row r="2886" spans="1:1">
      <c r="A2886" s="9" t="s">
        <v>6080</v>
      </c>
    </row>
    <row r="2887" spans="1:1">
      <c r="A2887" s="9" t="s">
        <v>1870</v>
      </c>
    </row>
    <row r="2888" spans="1:1">
      <c r="A2888" s="10" t="s">
        <v>1871</v>
      </c>
    </row>
    <row r="2889" spans="1:1">
      <c r="A2889" s="9" t="s">
        <v>1872</v>
      </c>
    </row>
    <row r="2890" spans="1:1">
      <c r="A2890" s="11"/>
    </row>
    <row r="2891" spans="1:1">
      <c r="A2891" s="9" t="s">
        <v>6081</v>
      </c>
    </row>
    <row r="2892" spans="1:1">
      <c r="A2892" s="9" t="s">
        <v>1873</v>
      </c>
    </row>
    <row r="2893" spans="1:1">
      <c r="A2893" s="9" t="s">
        <v>1874</v>
      </c>
    </row>
    <row r="2894" spans="1:1">
      <c r="A2894" s="10" t="s">
        <v>1875</v>
      </c>
    </row>
    <row r="2895" spans="1:1">
      <c r="A2895" s="11"/>
    </row>
    <row r="2896" spans="1:1">
      <c r="A2896" s="9" t="s">
        <v>6082</v>
      </c>
    </row>
    <row r="2897" spans="1:1">
      <c r="A2897" s="10" t="s">
        <v>1876</v>
      </c>
    </row>
    <row r="2898" spans="1:1">
      <c r="A2898" s="9" t="s">
        <v>1877</v>
      </c>
    </row>
    <row r="2899" spans="1:1">
      <c r="A2899" s="9" t="s">
        <v>1878</v>
      </c>
    </row>
    <row r="2900" spans="1:1">
      <c r="A2900" s="11"/>
    </row>
    <row r="2901" spans="1:1">
      <c r="A2901" s="9" t="s">
        <v>6083</v>
      </c>
    </row>
    <row r="2902" spans="1:1">
      <c r="A2902" s="9" t="s">
        <v>1879</v>
      </c>
    </row>
    <row r="2903" spans="1:1">
      <c r="A2903" s="9" t="s">
        <v>1880</v>
      </c>
    </row>
    <row r="2904" spans="1:1">
      <c r="A2904" s="10" t="s">
        <v>1881</v>
      </c>
    </row>
    <row r="2905" spans="1:1">
      <c r="A2905" s="11"/>
    </row>
    <row r="2906" spans="1:1">
      <c r="A2906" s="9" t="s">
        <v>6084</v>
      </c>
    </row>
    <row r="2907" spans="1:1">
      <c r="A2907" s="10" t="s">
        <v>1882</v>
      </c>
    </row>
    <row r="2908" spans="1:1">
      <c r="A2908" s="9" t="s">
        <v>1883</v>
      </c>
    </row>
    <row r="2909" spans="1:1">
      <c r="A2909" s="9" t="s">
        <v>1884</v>
      </c>
    </row>
    <row r="2910" spans="1:1">
      <c r="A2910" s="11"/>
    </row>
    <row r="2911" spans="1:1">
      <c r="A2911" s="9" t="s">
        <v>6085</v>
      </c>
    </row>
    <row r="2912" spans="1:1">
      <c r="A2912" s="9" t="s">
        <v>6086</v>
      </c>
    </row>
    <row r="2913" spans="1:1">
      <c r="A2913" s="18" t="s">
        <v>6087</v>
      </c>
    </row>
    <row r="2914" spans="1:1">
      <c r="A2914" s="19" t="s">
        <v>6088</v>
      </c>
    </row>
    <row r="2915" spans="1:1">
      <c r="A2915" s="11"/>
    </row>
    <row r="2916" spans="1:1">
      <c r="A2916" s="9" t="s">
        <v>8318</v>
      </c>
    </row>
    <row r="2917" spans="1:1">
      <c r="A2917" s="9" t="s">
        <v>6089</v>
      </c>
    </row>
    <row r="2918" spans="1:1">
      <c r="A2918" s="9" t="s">
        <v>6090</v>
      </c>
    </row>
    <row r="2919" spans="1:1">
      <c r="A2919" s="19" t="s">
        <v>6091</v>
      </c>
    </row>
    <row r="2920" spans="1:1">
      <c r="A2920" s="11"/>
    </row>
    <row r="6236" spans="1:1">
      <c r="A6236" s="9"/>
    </row>
    <row r="6237" spans="1:1">
      <c r="A6237" s="10"/>
    </row>
    <row r="6238" spans="1:1">
      <c r="A6238" s="11"/>
    </row>
    <row r="6239" spans="1:1">
      <c r="A6239" s="9"/>
    </row>
    <row r="6240" spans="1:1">
      <c r="A6240" s="9"/>
    </row>
    <row r="6241" spans="1:1">
      <c r="A6241" s="10"/>
    </row>
    <row r="6242" spans="1:1">
      <c r="A6242" s="9"/>
    </row>
    <row r="6243" spans="1:1">
      <c r="A6243" s="11"/>
    </row>
    <row r="6244" spans="1:1">
      <c r="A6244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840"/>
  <sheetViews>
    <sheetView workbookViewId="0">
      <selection activeCell="J30" sqref="J30"/>
    </sheetView>
  </sheetViews>
  <sheetFormatPr defaultRowHeight="16.5"/>
  <cols>
    <col min="1" max="1" width="88.625" customWidth="1"/>
  </cols>
  <sheetData>
    <row r="1" spans="1:7">
      <c r="A1" s="36" t="s">
        <v>9305</v>
      </c>
      <c r="B1" s="37"/>
      <c r="C1" t="s">
        <v>10095</v>
      </c>
      <c r="D1" t="s">
        <v>10096</v>
      </c>
      <c r="E1" t="s">
        <v>10097</v>
      </c>
      <c r="F1" t="s">
        <v>9885</v>
      </c>
      <c r="G1">
        <v>0</v>
      </c>
    </row>
    <row r="2" spans="1:7">
      <c r="A2" s="37" t="s">
        <v>9306</v>
      </c>
      <c r="C2" t="s">
        <v>10098</v>
      </c>
      <c r="D2" t="s">
        <v>9962</v>
      </c>
      <c r="E2" t="s">
        <v>9886</v>
      </c>
      <c r="F2" t="s">
        <v>10099</v>
      </c>
      <c r="G2">
        <v>2</v>
      </c>
    </row>
    <row r="3" spans="1:7">
      <c r="A3" s="36" t="s">
        <v>9307</v>
      </c>
      <c r="C3" t="s">
        <v>10100</v>
      </c>
      <c r="D3" t="s">
        <v>10101</v>
      </c>
      <c r="E3" t="s">
        <v>9887</v>
      </c>
      <c r="F3" t="s">
        <v>9888</v>
      </c>
      <c r="G3">
        <v>0</v>
      </c>
    </row>
    <row r="4" spans="1:7">
      <c r="A4" s="36" t="s">
        <v>9308</v>
      </c>
      <c r="C4" t="s">
        <v>10102</v>
      </c>
      <c r="D4" t="s">
        <v>10103</v>
      </c>
      <c r="E4" t="s">
        <v>9889</v>
      </c>
      <c r="F4" t="s">
        <v>9890</v>
      </c>
      <c r="G4">
        <v>1</v>
      </c>
    </row>
    <row r="5" spans="1:7">
      <c r="A5" s="36" t="s">
        <v>9309</v>
      </c>
      <c r="C5" t="s">
        <v>10104</v>
      </c>
      <c r="D5" t="s">
        <v>10105</v>
      </c>
      <c r="E5" t="s">
        <v>10106</v>
      </c>
      <c r="F5" t="s">
        <v>9891</v>
      </c>
      <c r="G5">
        <v>1</v>
      </c>
    </row>
    <row r="6" spans="1:7">
      <c r="A6" s="36" t="s">
        <v>9310</v>
      </c>
      <c r="C6" t="s">
        <v>10107</v>
      </c>
      <c r="D6" t="s">
        <v>9892</v>
      </c>
      <c r="E6" t="s">
        <v>9893</v>
      </c>
      <c r="F6" t="s">
        <v>10108</v>
      </c>
      <c r="G6">
        <v>1</v>
      </c>
    </row>
    <row r="7" spans="1:7">
      <c r="A7" s="36" t="s">
        <v>128</v>
      </c>
      <c r="C7" t="s">
        <v>9894</v>
      </c>
      <c r="D7" t="s">
        <v>10109</v>
      </c>
      <c r="E7" t="s">
        <v>10110</v>
      </c>
      <c r="F7" t="s">
        <v>10111</v>
      </c>
      <c r="G7">
        <v>0</v>
      </c>
    </row>
    <row r="8" spans="1:7">
      <c r="A8" s="36" t="s">
        <v>410</v>
      </c>
      <c r="C8" t="s">
        <v>10112</v>
      </c>
      <c r="D8" t="s">
        <v>10113</v>
      </c>
      <c r="E8" t="s">
        <v>10114</v>
      </c>
      <c r="F8" t="s">
        <v>10115</v>
      </c>
      <c r="G8">
        <v>2</v>
      </c>
    </row>
    <row r="9" spans="1:7">
      <c r="A9" s="37" t="s">
        <v>9311</v>
      </c>
      <c r="C9" t="s">
        <v>10116</v>
      </c>
      <c r="D9" t="s">
        <v>10117</v>
      </c>
      <c r="E9" t="s">
        <v>9895</v>
      </c>
      <c r="F9" t="s">
        <v>10118</v>
      </c>
      <c r="G9">
        <v>2</v>
      </c>
    </row>
    <row r="10" spans="1:7">
      <c r="A10" s="36" t="s">
        <v>9309</v>
      </c>
      <c r="C10" t="s">
        <v>10119</v>
      </c>
      <c r="D10" t="s">
        <v>9896</v>
      </c>
      <c r="E10" t="s">
        <v>10120</v>
      </c>
      <c r="F10" t="s">
        <v>10121</v>
      </c>
      <c r="G10">
        <v>2</v>
      </c>
    </row>
    <row r="11" spans="1:7">
      <c r="A11" s="36" t="s">
        <v>9312</v>
      </c>
      <c r="C11" t="s">
        <v>10122</v>
      </c>
      <c r="D11" t="s">
        <v>9897</v>
      </c>
      <c r="E11" t="s">
        <v>9898</v>
      </c>
      <c r="F11" t="s">
        <v>9899</v>
      </c>
      <c r="G11">
        <v>0</v>
      </c>
    </row>
    <row r="12" spans="1:7">
      <c r="A12" s="37" t="s">
        <v>4515</v>
      </c>
      <c r="C12" t="s">
        <v>10123</v>
      </c>
      <c r="D12" t="s">
        <v>9900</v>
      </c>
      <c r="E12" t="s">
        <v>10124</v>
      </c>
      <c r="F12" t="s">
        <v>9901</v>
      </c>
      <c r="G12">
        <v>2</v>
      </c>
    </row>
    <row r="13" spans="1:7">
      <c r="A13" s="36" t="s">
        <v>4514</v>
      </c>
      <c r="C13" t="s">
        <v>10125</v>
      </c>
      <c r="D13" t="s">
        <v>10126</v>
      </c>
      <c r="E13" t="s">
        <v>10127</v>
      </c>
      <c r="F13" t="s">
        <v>9902</v>
      </c>
      <c r="G13">
        <v>2</v>
      </c>
    </row>
    <row r="14" spans="1:7">
      <c r="A14" s="36" t="s">
        <v>966</v>
      </c>
      <c r="C14" t="s">
        <v>10128</v>
      </c>
      <c r="D14" t="s">
        <v>10129</v>
      </c>
      <c r="E14" t="s">
        <v>9903</v>
      </c>
      <c r="F14" t="s">
        <v>9904</v>
      </c>
      <c r="G14">
        <v>0</v>
      </c>
    </row>
    <row r="15" spans="1:7">
      <c r="A15" s="36" t="s">
        <v>9309</v>
      </c>
      <c r="C15" t="s">
        <v>10130</v>
      </c>
      <c r="D15" t="s">
        <v>10131</v>
      </c>
      <c r="E15" t="s">
        <v>9905</v>
      </c>
      <c r="F15" t="s">
        <v>10132</v>
      </c>
      <c r="G15">
        <v>0</v>
      </c>
    </row>
    <row r="16" spans="1:7">
      <c r="A16" s="36" t="s">
        <v>9313</v>
      </c>
      <c r="C16" t="s">
        <v>10133</v>
      </c>
      <c r="D16" t="s">
        <v>9906</v>
      </c>
      <c r="E16" t="s">
        <v>10134</v>
      </c>
      <c r="F16" t="s">
        <v>10135</v>
      </c>
      <c r="G16">
        <v>0</v>
      </c>
    </row>
    <row r="17" spans="1:7">
      <c r="A17" s="36" t="s">
        <v>9314</v>
      </c>
      <c r="C17" t="s">
        <v>10136</v>
      </c>
      <c r="D17" t="s">
        <v>9907</v>
      </c>
      <c r="E17" t="s">
        <v>9908</v>
      </c>
      <c r="F17" t="s">
        <v>9909</v>
      </c>
      <c r="G17">
        <v>1</v>
      </c>
    </row>
    <row r="18" spans="1:7">
      <c r="A18" s="37" t="s">
        <v>9315</v>
      </c>
      <c r="C18" t="s">
        <v>10137</v>
      </c>
      <c r="D18" t="s">
        <v>9910</v>
      </c>
      <c r="E18" t="s">
        <v>10138</v>
      </c>
      <c r="F18" t="s">
        <v>9911</v>
      </c>
      <c r="G18">
        <v>1</v>
      </c>
    </row>
    <row r="19" spans="1:7">
      <c r="A19" s="36" t="s">
        <v>9316</v>
      </c>
      <c r="C19" t="s">
        <v>10139</v>
      </c>
      <c r="D19" t="s">
        <v>10140</v>
      </c>
      <c r="E19" t="s">
        <v>9912</v>
      </c>
      <c r="F19" t="s">
        <v>9913</v>
      </c>
      <c r="G19">
        <v>2</v>
      </c>
    </row>
    <row r="20" spans="1:7">
      <c r="A20" s="36"/>
      <c r="C20" t="s">
        <v>10141</v>
      </c>
      <c r="D20" t="s">
        <v>10142</v>
      </c>
      <c r="E20" t="s">
        <v>10143</v>
      </c>
      <c r="F20" t="s">
        <v>10144</v>
      </c>
      <c r="G20">
        <v>2</v>
      </c>
    </row>
    <row r="21" spans="1:7">
      <c r="A21" s="36" t="s">
        <v>9317</v>
      </c>
      <c r="C21" t="s">
        <v>10145</v>
      </c>
      <c r="D21" t="s">
        <v>10146</v>
      </c>
      <c r="E21" t="s">
        <v>10147</v>
      </c>
      <c r="F21" t="s">
        <v>9375</v>
      </c>
      <c r="G21">
        <v>1</v>
      </c>
    </row>
    <row r="22" spans="1:7">
      <c r="A22" s="36" t="s">
        <v>1243</v>
      </c>
      <c r="C22" t="s">
        <v>10148</v>
      </c>
      <c r="D22" t="s">
        <v>9914</v>
      </c>
      <c r="E22" t="s">
        <v>9915</v>
      </c>
      <c r="F22" t="s">
        <v>10149</v>
      </c>
      <c r="G22">
        <v>0</v>
      </c>
    </row>
    <row r="23" spans="1:7">
      <c r="A23" s="37" t="s">
        <v>128</v>
      </c>
      <c r="C23" t="s">
        <v>10150</v>
      </c>
      <c r="D23" t="s">
        <v>9916</v>
      </c>
      <c r="E23" t="s">
        <v>10151</v>
      </c>
      <c r="F23" t="s">
        <v>9917</v>
      </c>
      <c r="G23">
        <v>2</v>
      </c>
    </row>
    <row r="24" spans="1:7">
      <c r="A24" s="36" t="s">
        <v>449</v>
      </c>
      <c r="C24" t="s">
        <v>10152</v>
      </c>
      <c r="D24" t="s">
        <v>10153</v>
      </c>
      <c r="E24" t="s">
        <v>9918</v>
      </c>
      <c r="F24" t="s">
        <v>10154</v>
      </c>
      <c r="G24">
        <v>2</v>
      </c>
    </row>
    <row r="25" spans="1:7">
      <c r="A25" s="36" t="s">
        <v>9309</v>
      </c>
      <c r="C25" t="s">
        <v>10155</v>
      </c>
      <c r="D25" t="s">
        <v>10156</v>
      </c>
      <c r="E25" t="s">
        <v>10157</v>
      </c>
      <c r="F25" t="s">
        <v>10158</v>
      </c>
      <c r="G25">
        <v>0</v>
      </c>
    </row>
    <row r="26" spans="1:7">
      <c r="A26" s="36" t="s">
        <v>9318</v>
      </c>
      <c r="C26" t="s">
        <v>10159</v>
      </c>
      <c r="D26" t="s">
        <v>9919</v>
      </c>
      <c r="E26" t="s">
        <v>9920</v>
      </c>
      <c r="F26" t="s">
        <v>10160</v>
      </c>
      <c r="G26">
        <v>2</v>
      </c>
    </row>
    <row r="27" spans="1:7">
      <c r="A27" s="36" t="s">
        <v>9319</v>
      </c>
      <c r="C27" t="s">
        <v>10161</v>
      </c>
      <c r="D27" t="s">
        <v>10162</v>
      </c>
      <c r="E27" t="s">
        <v>10163</v>
      </c>
      <c r="F27" t="s">
        <v>10164</v>
      </c>
      <c r="G27">
        <v>2</v>
      </c>
    </row>
    <row r="28" spans="1:7">
      <c r="A28" s="37" t="s">
        <v>9320</v>
      </c>
      <c r="C28" t="s">
        <v>10165</v>
      </c>
      <c r="D28" t="s">
        <v>10166</v>
      </c>
      <c r="E28" t="s">
        <v>9921</v>
      </c>
      <c r="F28" t="s">
        <v>10167</v>
      </c>
      <c r="G28">
        <v>1</v>
      </c>
    </row>
    <row r="29" spans="1:7">
      <c r="A29" s="36" t="s">
        <v>9321</v>
      </c>
      <c r="C29" t="s">
        <v>10168</v>
      </c>
      <c r="D29" t="s">
        <v>10169</v>
      </c>
      <c r="E29" t="s">
        <v>9922</v>
      </c>
      <c r="F29" t="s">
        <v>10170</v>
      </c>
      <c r="G29">
        <v>2</v>
      </c>
    </row>
    <row r="30" spans="1:7">
      <c r="A30" s="36" t="s">
        <v>9309</v>
      </c>
      <c r="C30" t="s">
        <v>10171</v>
      </c>
      <c r="D30" t="s">
        <v>10172</v>
      </c>
      <c r="E30" t="s">
        <v>10173</v>
      </c>
      <c r="F30" t="s">
        <v>9923</v>
      </c>
      <c r="G30">
        <v>0</v>
      </c>
    </row>
    <row r="31" spans="1:7">
      <c r="A31" s="36" t="s">
        <v>9322</v>
      </c>
      <c r="C31" t="s">
        <v>10174</v>
      </c>
      <c r="D31" t="s">
        <v>9963</v>
      </c>
      <c r="E31" t="s">
        <v>10175</v>
      </c>
      <c r="F31" t="s">
        <v>10176</v>
      </c>
      <c r="G31">
        <v>2</v>
      </c>
    </row>
    <row r="32" spans="1:7">
      <c r="A32" s="37" t="s">
        <v>9323</v>
      </c>
      <c r="C32" t="s">
        <v>10177</v>
      </c>
      <c r="D32" t="s">
        <v>10178</v>
      </c>
      <c r="E32" t="s">
        <v>9925</v>
      </c>
      <c r="F32" t="s">
        <v>9926</v>
      </c>
      <c r="G32">
        <v>0</v>
      </c>
    </row>
    <row r="33" spans="1:7">
      <c r="A33" s="36" t="s">
        <v>9324</v>
      </c>
      <c r="C33" t="s">
        <v>10179</v>
      </c>
      <c r="D33" t="s">
        <v>10180</v>
      </c>
      <c r="E33" t="s">
        <v>9927</v>
      </c>
      <c r="F33" t="s">
        <v>9928</v>
      </c>
      <c r="G33">
        <v>0</v>
      </c>
    </row>
    <row r="34" spans="1:7">
      <c r="A34" s="36" t="s">
        <v>4831</v>
      </c>
      <c r="C34" t="s">
        <v>10181</v>
      </c>
      <c r="D34" t="s">
        <v>10182</v>
      </c>
      <c r="E34" t="s">
        <v>10183</v>
      </c>
      <c r="F34" t="s">
        <v>9929</v>
      </c>
      <c r="G34">
        <v>1</v>
      </c>
    </row>
    <row r="35" spans="1:7">
      <c r="A35" s="36" t="s">
        <v>9309</v>
      </c>
      <c r="C35" t="s">
        <v>10184</v>
      </c>
      <c r="D35" t="s">
        <v>10185</v>
      </c>
      <c r="E35" t="s">
        <v>10186</v>
      </c>
      <c r="F35" t="s">
        <v>10187</v>
      </c>
      <c r="G35">
        <v>0</v>
      </c>
    </row>
    <row r="36" spans="1:7">
      <c r="A36" s="36" t="s">
        <v>9325</v>
      </c>
      <c r="C36" t="s">
        <v>10188</v>
      </c>
      <c r="D36" t="s">
        <v>10189</v>
      </c>
      <c r="E36" t="s">
        <v>9930</v>
      </c>
      <c r="F36" t="s">
        <v>9931</v>
      </c>
      <c r="G36">
        <v>1</v>
      </c>
    </row>
    <row r="37" spans="1:7">
      <c r="A37" s="36" t="s">
        <v>9326</v>
      </c>
      <c r="C37" t="s">
        <v>10190</v>
      </c>
      <c r="D37" t="s">
        <v>10191</v>
      </c>
      <c r="E37" t="s">
        <v>10192</v>
      </c>
      <c r="F37" t="s">
        <v>9932</v>
      </c>
      <c r="G37">
        <v>0</v>
      </c>
    </row>
    <row r="38" spans="1:7">
      <c r="A38" s="36" t="s">
        <v>9327</v>
      </c>
      <c r="C38" t="s">
        <v>10193</v>
      </c>
      <c r="D38" t="s">
        <v>9933</v>
      </c>
      <c r="E38" t="s">
        <v>10194</v>
      </c>
      <c r="F38" t="s">
        <v>9434</v>
      </c>
      <c r="G38">
        <v>0</v>
      </c>
    </row>
    <row r="39" spans="1:7">
      <c r="A39" s="37" t="s">
        <v>9328</v>
      </c>
      <c r="C39" t="s">
        <v>10195</v>
      </c>
      <c r="D39" t="s">
        <v>9934</v>
      </c>
      <c r="E39" t="s">
        <v>10196</v>
      </c>
      <c r="F39" t="s">
        <v>10197</v>
      </c>
      <c r="G39">
        <v>2</v>
      </c>
    </row>
    <row r="40" spans="1:7">
      <c r="A40" s="37"/>
      <c r="C40" t="s">
        <v>10198</v>
      </c>
      <c r="D40" t="s">
        <v>10199</v>
      </c>
      <c r="E40" t="s">
        <v>9935</v>
      </c>
      <c r="F40" t="s">
        <v>9936</v>
      </c>
      <c r="G40">
        <v>1</v>
      </c>
    </row>
    <row r="41" spans="1:7">
      <c r="A41" s="36" t="s">
        <v>9329</v>
      </c>
      <c r="C41" t="s">
        <v>10200</v>
      </c>
      <c r="D41" t="s">
        <v>10201</v>
      </c>
      <c r="E41" t="s">
        <v>10202</v>
      </c>
      <c r="F41" t="s">
        <v>9937</v>
      </c>
      <c r="G41">
        <v>0</v>
      </c>
    </row>
    <row r="42" spans="1:7">
      <c r="A42" s="36" t="s">
        <v>9330</v>
      </c>
      <c r="C42" t="s">
        <v>10203</v>
      </c>
      <c r="D42" t="s">
        <v>9938</v>
      </c>
      <c r="E42" t="s">
        <v>10204</v>
      </c>
      <c r="F42" t="s">
        <v>9450</v>
      </c>
      <c r="G42">
        <v>1</v>
      </c>
    </row>
    <row r="43" spans="1:7">
      <c r="A43" s="36" t="s">
        <v>9331</v>
      </c>
      <c r="C43" t="s">
        <v>10205</v>
      </c>
      <c r="D43" t="s">
        <v>9939</v>
      </c>
      <c r="E43" t="s">
        <v>10206</v>
      </c>
      <c r="F43" t="s">
        <v>10207</v>
      </c>
      <c r="G43">
        <v>1</v>
      </c>
    </row>
    <row r="44" spans="1:7">
      <c r="A44" s="37" t="s">
        <v>9332</v>
      </c>
      <c r="C44" t="s">
        <v>10208</v>
      </c>
      <c r="D44" t="s">
        <v>10209</v>
      </c>
      <c r="E44" t="s">
        <v>10210</v>
      </c>
      <c r="F44" t="s">
        <v>9458</v>
      </c>
      <c r="G44">
        <v>0</v>
      </c>
    </row>
    <row r="45" spans="1:7">
      <c r="A45" s="36" t="s">
        <v>9309</v>
      </c>
      <c r="C45" t="s">
        <v>10211</v>
      </c>
      <c r="D45" t="s">
        <v>9940</v>
      </c>
      <c r="E45" t="s">
        <v>9941</v>
      </c>
      <c r="F45" t="s">
        <v>10212</v>
      </c>
      <c r="G45">
        <v>2</v>
      </c>
    </row>
    <row r="46" spans="1:7">
      <c r="A46" s="36" t="s">
        <v>9333</v>
      </c>
      <c r="C46" t="s">
        <v>10213</v>
      </c>
      <c r="D46" t="s">
        <v>10214</v>
      </c>
      <c r="E46" t="s">
        <v>9942</v>
      </c>
      <c r="F46" t="s">
        <v>10215</v>
      </c>
      <c r="G46">
        <v>2</v>
      </c>
    </row>
    <row r="47" spans="1:7">
      <c r="A47" s="36" t="s">
        <v>395</v>
      </c>
      <c r="C47" t="s">
        <v>10216</v>
      </c>
      <c r="D47" t="s">
        <v>9943</v>
      </c>
      <c r="E47" t="s">
        <v>10217</v>
      </c>
      <c r="F47" t="s">
        <v>9944</v>
      </c>
      <c r="G47">
        <v>2</v>
      </c>
    </row>
    <row r="48" spans="1:7">
      <c r="A48" s="36" t="s">
        <v>852</v>
      </c>
      <c r="C48" t="s">
        <v>10218</v>
      </c>
      <c r="D48" t="s">
        <v>9945</v>
      </c>
      <c r="E48" t="s">
        <v>9946</v>
      </c>
      <c r="F48" t="s">
        <v>10219</v>
      </c>
      <c r="G48">
        <v>1</v>
      </c>
    </row>
    <row r="49" spans="1:7">
      <c r="A49" s="37" t="s">
        <v>207</v>
      </c>
      <c r="C49" t="s">
        <v>10220</v>
      </c>
      <c r="D49" t="s">
        <v>9947</v>
      </c>
      <c r="E49" t="s">
        <v>10221</v>
      </c>
      <c r="F49" t="s">
        <v>9948</v>
      </c>
      <c r="G49">
        <v>1</v>
      </c>
    </row>
    <row r="50" spans="1:7">
      <c r="A50" s="36" t="s">
        <v>9309</v>
      </c>
      <c r="C50" t="s">
        <v>10222</v>
      </c>
      <c r="D50" t="s">
        <v>9949</v>
      </c>
      <c r="E50" t="s">
        <v>10223</v>
      </c>
      <c r="F50" t="s">
        <v>9950</v>
      </c>
      <c r="G50">
        <v>2</v>
      </c>
    </row>
    <row r="51" spans="1:7">
      <c r="A51" s="36" t="s">
        <v>9334</v>
      </c>
      <c r="C51" t="s">
        <v>10224</v>
      </c>
      <c r="D51" t="s">
        <v>9951</v>
      </c>
      <c r="E51" t="s">
        <v>10225</v>
      </c>
      <c r="F51" t="s">
        <v>10226</v>
      </c>
      <c r="G51">
        <v>0</v>
      </c>
    </row>
    <row r="52" spans="1:7">
      <c r="A52" s="37" t="s">
        <v>9335</v>
      </c>
      <c r="C52" t="s">
        <v>10227</v>
      </c>
      <c r="D52" t="s">
        <v>9952</v>
      </c>
      <c r="E52" t="s">
        <v>10228</v>
      </c>
      <c r="F52" t="s">
        <v>9953</v>
      </c>
      <c r="G52">
        <v>2</v>
      </c>
    </row>
    <row r="53" spans="1:7">
      <c r="A53" s="36" t="s">
        <v>9336</v>
      </c>
      <c r="C53" t="s">
        <v>10229</v>
      </c>
      <c r="D53" t="s">
        <v>9954</v>
      </c>
      <c r="E53" t="s">
        <v>10230</v>
      </c>
      <c r="F53" t="s">
        <v>10231</v>
      </c>
      <c r="G53">
        <v>2</v>
      </c>
    </row>
    <row r="54" spans="1:7">
      <c r="A54" s="36" t="s">
        <v>3617</v>
      </c>
      <c r="C54" t="s">
        <v>10232</v>
      </c>
      <c r="D54" t="s">
        <v>10233</v>
      </c>
      <c r="E54" t="s">
        <v>9955</v>
      </c>
      <c r="F54" t="s">
        <v>10234</v>
      </c>
      <c r="G54">
        <v>0</v>
      </c>
    </row>
    <row r="55" spans="1:7">
      <c r="A55" s="36" t="s">
        <v>9309</v>
      </c>
      <c r="C55" t="s">
        <v>10235</v>
      </c>
      <c r="D55" t="s">
        <v>9956</v>
      </c>
      <c r="E55" t="s">
        <v>10236</v>
      </c>
      <c r="F55" t="s">
        <v>10237</v>
      </c>
      <c r="G55">
        <v>2</v>
      </c>
    </row>
    <row r="56" spans="1:7">
      <c r="A56" s="36" t="s">
        <v>9337</v>
      </c>
      <c r="C56" t="s">
        <v>10238</v>
      </c>
      <c r="D56" t="s">
        <v>10239</v>
      </c>
      <c r="E56" t="s">
        <v>10240</v>
      </c>
      <c r="F56" t="s">
        <v>9957</v>
      </c>
      <c r="G56">
        <v>2</v>
      </c>
    </row>
    <row r="57" spans="1:7">
      <c r="A57" s="36" t="s">
        <v>9338</v>
      </c>
      <c r="C57" t="s">
        <v>10241</v>
      </c>
      <c r="D57" t="s">
        <v>10242</v>
      </c>
      <c r="E57" t="s">
        <v>9958</v>
      </c>
      <c r="F57" t="s">
        <v>10243</v>
      </c>
      <c r="G57">
        <v>0</v>
      </c>
    </row>
    <row r="58" spans="1:7">
      <c r="A58" s="36" t="s">
        <v>9339</v>
      </c>
      <c r="C58" t="s">
        <v>10244</v>
      </c>
      <c r="D58" t="s">
        <v>10245</v>
      </c>
      <c r="E58" t="s">
        <v>10246</v>
      </c>
      <c r="F58" t="s">
        <v>10247</v>
      </c>
      <c r="G58">
        <v>1</v>
      </c>
    </row>
    <row r="59" spans="1:7">
      <c r="A59" s="37" t="s">
        <v>9340</v>
      </c>
      <c r="C59" t="s">
        <v>10248</v>
      </c>
      <c r="D59" t="s">
        <v>10249</v>
      </c>
      <c r="E59" t="s">
        <v>9959</v>
      </c>
      <c r="F59" t="s">
        <v>10250</v>
      </c>
      <c r="G59">
        <v>1</v>
      </c>
    </row>
    <row r="60" spans="1:7">
      <c r="A60" s="36" t="s">
        <v>9309</v>
      </c>
      <c r="C60" t="s">
        <v>10251</v>
      </c>
      <c r="D60" t="s">
        <v>10252</v>
      </c>
      <c r="E60" t="s">
        <v>10253</v>
      </c>
      <c r="F60" t="s">
        <v>10254</v>
      </c>
      <c r="G60">
        <v>0</v>
      </c>
    </row>
    <row r="61" spans="1:7">
      <c r="A61" s="36" t="s">
        <v>9341</v>
      </c>
      <c r="C61" t="s">
        <v>10255</v>
      </c>
      <c r="D61" t="s">
        <v>10256</v>
      </c>
      <c r="E61" t="s">
        <v>9961</v>
      </c>
      <c r="F61" t="s">
        <v>9962</v>
      </c>
      <c r="G61">
        <v>2</v>
      </c>
    </row>
    <row r="62" spans="1:7">
      <c r="A62" s="36" t="s">
        <v>9342</v>
      </c>
      <c r="C62" t="s">
        <v>10257</v>
      </c>
      <c r="D62" t="s">
        <v>9924</v>
      </c>
      <c r="E62" t="s">
        <v>10258</v>
      </c>
      <c r="F62" t="s">
        <v>10259</v>
      </c>
      <c r="G62">
        <v>1</v>
      </c>
    </row>
    <row r="63" spans="1:7">
      <c r="A63" s="36" t="s">
        <v>9343</v>
      </c>
      <c r="C63" t="s">
        <v>10260</v>
      </c>
      <c r="D63" t="s">
        <v>10261</v>
      </c>
      <c r="E63" t="s">
        <v>9964</v>
      </c>
      <c r="F63" t="s">
        <v>9965</v>
      </c>
      <c r="G63">
        <v>1</v>
      </c>
    </row>
    <row r="64" spans="1:7">
      <c r="A64" s="37" t="s">
        <v>9344</v>
      </c>
      <c r="C64" t="s">
        <v>10262</v>
      </c>
      <c r="D64" t="s">
        <v>9977</v>
      </c>
      <c r="E64" t="s">
        <v>9967</v>
      </c>
      <c r="F64" t="s">
        <v>9968</v>
      </c>
      <c r="G64">
        <v>0</v>
      </c>
    </row>
    <row r="65" spans="1:7">
      <c r="A65" s="36" t="s">
        <v>9309</v>
      </c>
      <c r="C65" t="s">
        <v>10263</v>
      </c>
      <c r="D65" t="s">
        <v>10264</v>
      </c>
      <c r="E65" t="s">
        <v>9969</v>
      </c>
      <c r="F65" t="s">
        <v>9970</v>
      </c>
      <c r="G65">
        <v>0</v>
      </c>
    </row>
    <row r="66" spans="1:7">
      <c r="A66" s="36" t="s">
        <v>9345</v>
      </c>
      <c r="C66" t="s">
        <v>10265</v>
      </c>
      <c r="D66" t="s">
        <v>10266</v>
      </c>
      <c r="E66" t="s">
        <v>9302</v>
      </c>
      <c r="F66" t="s">
        <v>9971</v>
      </c>
      <c r="G66">
        <v>0</v>
      </c>
    </row>
    <row r="67" spans="1:7">
      <c r="A67" s="37" t="s">
        <v>892</v>
      </c>
      <c r="C67" t="s">
        <v>10267</v>
      </c>
      <c r="D67" t="s">
        <v>10268</v>
      </c>
      <c r="E67" t="s">
        <v>10269</v>
      </c>
      <c r="F67" t="s">
        <v>10270</v>
      </c>
      <c r="G67">
        <v>0</v>
      </c>
    </row>
    <row r="68" spans="1:7">
      <c r="A68" s="36" t="s">
        <v>9346</v>
      </c>
      <c r="C68" t="s">
        <v>10506</v>
      </c>
      <c r="D68" t="s">
        <v>10271</v>
      </c>
      <c r="E68" t="s">
        <v>10272</v>
      </c>
      <c r="F68" t="s">
        <v>9541</v>
      </c>
      <c r="G68">
        <v>2</v>
      </c>
    </row>
    <row r="69" spans="1:7">
      <c r="A69" s="36" t="s">
        <v>9347</v>
      </c>
      <c r="C69" t="s">
        <v>10507</v>
      </c>
      <c r="D69" t="s">
        <v>10273</v>
      </c>
      <c r="E69" t="s">
        <v>10274</v>
      </c>
      <c r="F69" t="s">
        <v>10275</v>
      </c>
      <c r="G69">
        <v>2</v>
      </c>
    </row>
    <row r="70" spans="1:7">
      <c r="A70" s="36"/>
      <c r="C70" t="s">
        <v>9546</v>
      </c>
      <c r="D70" t="s">
        <v>9547</v>
      </c>
      <c r="E70" t="s">
        <v>9548</v>
      </c>
      <c r="F70" t="s">
        <v>9549</v>
      </c>
      <c r="G70">
        <v>1</v>
      </c>
    </row>
    <row r="71" spans="1:7">
      <c r="A71" s="36" t="s">
        <v>9348</v>
      </c>
      <c r="C71" t="s">
        <v>10508</v>
      </c>
      <c r="D71" t="s">
        <v>10276</v>
      </c>
      <c r="E71" t="s">
        <v>10277</v>
      </c>
      <c r="F71" t="s">
        <v>10278</v>
      </c>
      <c r="G71">
        <v>1</v>
      </c>
    </row>
    <row r="72" spans="1:7">
      <c r="A72" s="37" t="s">
        <v>9349</v>
      </c>
      <c r="C72" t="s">
        <v>10509</v>
      </c>
      <c r="D72" t="s">
        <v>10279</v>
      </c>
      <c r="E72" t="s">
        <v>9972</v>
      </c>
      <c r="F72" t="s">
        <v>9973</v>
      </c>
      <c r="G72">
        <v>1</v>
      </c>
    </row>
    <row r="73" spans="1:7">
      <c r="A73" s="36" t="s">
        <v>9350</v>
      </c>
      <c r="C73" t="s">
        <v>10280</v>
      </c>
      <c r="D73" t="s">
        <v>10281</v>
      </c>
      <c r="E73" t="s">
        <v>10282</v>
      </c>
      <c r="F73" t="s">
        <v>9974</v>
      </c>
      <c r="G73">
        <v>1</v>
      </c>
    </row>
    <row r="74" spans="1:7">
      <c r="A74" s="36" t="s">
        <v>9351</v>
      </c>
      <c r="C74" t="s">
        <v>10283</v>
      </c>
      <c r="D74" t="s">
        <v>10284</v>
      </c>
      <c r="E74" t="s">
        <v>10285</v>
      </c>
      <c r="F74" t="s">
        <v>10286</v>
      </c>
      <c r="G74">
        <v>0</v>
      </c>
    </row>
    <row r="75" spans="1:7">
      <c r="A75" s="36" t="s">
        <v>9309</v>
      </c>
      <c r="C75" t="s">
        <v>10510</v>
      </c>
      <c r="D75" t="s">
        <v>10287</v>
      </c>
      <c r="E75" t="s">
        <v>9975</v>
      </c>
      <c r="F75" t="s">
        <v>9976</v>
      </c>
      <c r="G75">
        <v>1</v>
      </c>
    </row>
    <row r="76" spans="1:7">
      <c r="A76" s="36" t="s">
        <v>9352</v>
      </c>
      <c r="C76" t="s">
        <v>10288</v>
      </c>
      <c r="D76" t="s">
        <v>10289</v>
      </c>
      <c r="E76" t="s">
        <v>9966</v>
      </c>
      <c r="F76" t="s">
        <v>9982</v>
      </c>
      <c r="G76">
        <v>1</v>
      </c>
    </row>
    <row r="77" spans="1:7">
      <c r="A77" s="37" t="s">
        <v>9353</v>
      </c>
      <c r="C77" t="s">
        <v>10290</v>
      </c>
      <c r="D77" t="s">
        <v>10291</v>
      </c>
      <c r="E77" t="s">
        <v>10292</v>
      </c>
      <c r="F77" t="s">
        <v>9978</v>
      </c>
      <c r="G77">
        <v>2</v>
      </c>
    </row>
    <row r="78" spans="1:7">
      <c r="A78" s="36" t="s">
        <v>9354</v>
      </c>
      <c r="C78" t="s">
        <v>10511</v>
      </c>
      <c r="D78">
        <v>0.12638888888888888</v>
      </c>
      <c r="E78">
        <v>0.16874999999999998</v>
      </c>
      <c r="F78">
        <v>0.20833333333333334</v>
      </c>
      <c r="G78">
        <v>0</v>
      </c>
    </row>
    <row r="79" spans="1:7">
      <c r="A79" s="36" t="s">
        <v>9355</v>
      </c>
      <c r="C79" t="s">
        <v>9574</v>
      </c>
      <c r="D79" t="s">
        <v>9575</v>
      </c>
      <c r="E79" t="s">
        <v>9576</v>
      </c>
      <c r="F79" t="s">
        <v>9979</v>
      </c>
      <c r="G79">
        <v>1</v>
      </c>
    </row>
    <row r="80" spans="1:7">
      <c r="A80" s="36" t="s">
        <v>9309</v>
      </c>
      <c r="C80" t="s">
        <v>10293</v>
      </c>
      <c r="D80" t="s">
        <v>10294</v>
      </c>
      <c r="E80" t="s">
        <v>10295</v>
      </c>
      <c r="F80" t="s">
        <v>9980</v>
      </c>
      <c r="G80">
        <v>1</v>
      </c>
    </row>
    <row r="81" spans="1:7">
      <c r="A81" s="36" t="s">
        <v>9356</v>
      </c>
      <c r="C81" t="s">
        <v>10296</v>
      </c>
      <c r="D81" t="s">
        <v>10297</v>
      </c>
      <c r="E81" t="s">
        <v>9981</v>
      </c>
      <c r="F81" t="s">
        <v>10298</v>
      </c>
      <c r="G81">
        <v>1</v>
      </c>
    </row>
    <row r="82" spans="1:7">
      <c r="A82" s="36" t="s">
        <v>9357</v>
      </c>
      <c r="C82" t="s">
        <v>10299</v>
      </c>
      <c r="D82" t="s">
        <v>9977</v>
      </c>
      <c r="E82" t="s">
        <v>10300</v>
      </c>
      <c r="F82" t="s">
        <v>9967</v>
      </c>
      <c r="G82">
        <v>0</v>
      </c>
    </row>
    <row r="83" spans="1:7">
      <c r="A83" s="37" t="s">
        <v>9358</v>
      </c>
      <c r="C83" t="s">
        <v>10301</v>
      </c>
      <c r="D83" t="s">
        <v>10302</v>
      </c>
      <c r="E83" t="s">
        <v>10303</v>
      </c>
      <c r="F83" t="s">
        <v>9983</v>
      </c>
      <c r="G83">
        <v>1</v>
      </c>
    </row>
    <row r="84" spans="1:7">
      <c r="A84" s="36" t="s">
        <v>9359</v>
      </c>
      <c r="C84" t="s">
        <v>10304</v>
      </c>
      <c r="D84" t="s">
        <v>9984</v>
      </c>
      <c r="E84" t="s">
        <v>10305</v>
      </c>
      <c r="F84" t="s">
        <v>10306</v>
      </c>
      <c r="G84">
        <v>1</v>
      </c>
    </row>
    <row r="85" spans="1:7">
      <c r="A85" s="36" t="s">
        <v>9309</v>
      </c>
      <c r="C85" t="s">
        <v>10307</v>
      </c>
      <c r="D85" t="s">
        <v>10308</v>
      </c>
      <c r="E85" t="s">
        <v>10309</v>
      </c>
      <c r="F85" t="s">
        <v>9985</v>
      </c>
      <c r="G85">
        <v>1</v>
      </c>
    </row>
    <row r="86" spans="1:7">
      <c r="A86" s="36" t="s">
        <v>9360</v>
      </c>
      <c r="C86" t="s">
        <v>10310</v>
      </c>
      <c r="D86" t="s">
        <v>10311</v>
      </c>
      <c r="E86" t="s">
        <v>9596</v>
      </c>
      <c r="F86" t="s">
        <v>9986</v>
      </c>
      <c r="G86">
        <v>1</v>
      </c>
    </row>
    <row r="87" spans="1:7">
      <c r="A87" s="36" t="s">
        <v>9361</v>
      </c>
      <c r="C87" t="s">
        <v>10312</v>
      </c>
      <c r="D87" t="s">
        <v>10313</v>
      </c>
      <c r="E87" t="s">
        <v>10314</v>
      </c>
      <c r="F87" t="s">
        <v>9987</v>
      </c>
      <c r="G87">
        <v>2</v>
      </c>
    </row>
    <row r="88" spans="1:7">
      <c r="A88" s="37" t="s">
        <v>9362</v>
      </c>
      <c r="C88" t="s">
        <v>10315</v>
      </c>
      <c r="D88" t="s">
        <v>9988</v>
      </c>
      <c r="E88" t="s">
        <v>9989</v>
      </c>
      <c r="F88" t="s">
        <v>10316</v>
      </c>
      <c r="G88">
        <v>1</v>
      </c>
    </row>
    <row r="89" spans="1:7">
      <c r="A89" s="36" t="s">
        <v>9363</v>
      </c>
      <c r="C89" t="s">
        <v>10317</v>
      </c>
      <c r="D89" t="s">
        <v>10318</v>
      </c>
      <c r="E89" t="s">
        <v>10319</v>
      </c>
      <c r="F89" t="s">
        <v>9605</v>
      </c>
      <c r="G89">
        <v>0</v>
      </c>
    </row>
    <row r="90" spans="1:7">
      <c r="A90" s="36" t="s">
        <v>9309</v>
      </c>
      <c r="C90" t="s">
        <v>10320</v>
      </c>
      <c r="D90" t="s">
        <v>9990</v>
      </c>
      <c r="E90" t="s">
        <v>10321</v>
      </c>
      <c r="F90" t="s">
        <v>9991</v>
      </c>
      <c r="G90">
        <v>0</v>
      </c>
    </row>
    <row r="91" spans="1:7">
      <c r="A91" s="36" t="s">
        <v>9364</v>
      </c>
      <c r="C91" t="s">
        <v>10322</v>
      </c>
      <c r="D91" t="s">
        <v>9992</v>
      </c>
      <c r="E91" t="s">
        <v>9993</v>
      </c>
      <c r="F91" t="s">
        <v>9994</v>
      </c>
      <c r="G91">
        <v>1</v>
      </c>
    </row>
    <row r="92" spans="1:7">
      <c r="A92" s="36" t="s">
        <v>9365</v>
      </c>
      <c r="C92" t="s">
        <v>10512</v>
      </c>
      <c r="D92" t="s">
        <v>10323</v>
      </c>
      <c r="E92" t="s">
        <v>9995</v>
      </c>
      <c r="F92" t="s">
        <v>9996</v>
      </c>
      <c r="G92">
        <v>1</v>
      </c>
    </row>
    <row r="93" spans="1:7">
      <c r="A93" s="36" t="s">
        <v>9366</v>
      </c>
      <c r="C93" t="s">
        <v>10513</v>
      </c>
      <c r="D93" t="s">
        <v>10324</v>
      </c>
      <c r="E93" t="s">
        <v>10325</v>
      </c>
      <c r="F93" t="s">
        <v>9997</v>
      </c>
      <c r="G93">
        <v>2</v>
      </c>
    </row>
    <row r="94" spans="1:7">
      <c r="A94" s="37" t="s">
        <v>9367</v>
      </c>
      <c r="C94" t="s">
        <v>10326</v>
      </c>
      <c r="D94" t="s">
        <v>10327</v>
      </c>
      <c r="E94" t="s">
        <v>10328</v>
      </c>
      <c r="F94" t="s">
        <v>9622</v>
      </c>
      <c r="G94">
        <v>1</v>
      </c>
    </row>
    <row r="95" spans="1:7">
      <c r="A95" s="36" t="s">
        <v>9309</v>
      </c>
      <c r="C95" t="s">
        <v>10329</v>
      </c>
      <c r="D95" t="s">
        <v>9999</v>
      </c>
      <c r="E95" t="s">
        <v>10330</v>
      </c>
      <c r="F95" t="s">
        <v>10331</v>
      </c>
      <c r="G95">
        <v>0</v>
      </c>
    </row>
    <row r="96" spans="1:7">
      <c r="A96" s="36" t="s">
        <v>9368</v>
      </c>
      <c r="C96" t="s">
        <v>10514</v>
      </c>
      <c r="D96" t="s">
        <v>10332</v>
      </c>
      <c r="E96" t="s">
        <v>10333</v>
      </c>
      <c r="F96" t="s">
        <v>10334</v>
      </c>
      <c r="G96">
        <v>2</v>
      </c>
    </row>
    <row r="97" spans="1:7">
      <c r="A97" s="36" t="s">
        <v>9369</v>
      </c>
      <c r="C97" t="s">
        <v>10335</v>
      </c>
      <c r="D97" t="s">
        <v>10336</v>
      </c>
      <c r="E97" t="s">
        <v>10337</v>
      </c>
      <c r="F97" t="s">
        <v>9633</v>
      </c>
      <c r="G97">
        <v>2</v>
      </c>
    </row>
    <row r="98" spans="1:7">
      <c r="A98" s="36" t="s">
        <v>9370</v>
      </c>
      <c r="C98" t="s">
        <v>10338</v>
      </c>
      <c r="D98" t="s">
        <v>10000</v>
      </c>
      <c r="E98" t="s">
        <v>10339</v>
      </c>
      <c r="F98" t="s">
        <v>10001</v>
      </c>
      <c r="G98">
        <v>1</v>
      </c>
    </row>
    <row r="99" spans="1:7">
      <c r="A99" s="37" t="s">
        <v>9371</v>
      </c>
      <c r="C99" t="s">
        <v>10340</v>
      </c>
      <c r="D99" t="s">
        <v>10341</v>
      </c>
      <c r="E99" t="s">
        <v>10002</v>
      </c>
      <c r="F99" t="s">
        <v>10342</v>
      </c>
      <c r="G99">
        <v>1</v>
      </c>
    </row>
    <row r="100" spans="1:7">
      <c r="A100" s="36" t="s">
        <v>9309</v>
      </c>
      <c r="C100" t="s">
        <v>10343</v>
      </c>
      <c r="D100" t="s">
        <v>10344</v>
      </c>
      <c r="E100" t="s">
        <v>10003</v>
      </c>
      <c r="F100" t="s">
        <v>10004</v>
      </c>
      <c r="G100">
        <v>1</v>
      </c>
    </row>
    <row r="101" spans="1:7">
      <c r="A101" s="36" t="s">
        <v>9372</v>
      </c>
      <c r="C101" t="s">
        <v>10345</v>
      </c>
      <c r="D101" t="s">
        <v>10346</v>
      </c>
      <c r="E101" t="s">
        <v>10347</v>
      </c>
      <c r="F101" t="s">
        <v>10005</v>
      </c>
      <c r="G101">
        <v>2</v>
      </c>
    </row>
    <row r="102" spans="1:7">
      <c r="A102" s="36" t="s">
        <v>9373</v>
      </c>
      <c r="C102" t="s">
        <v>10348</v>
      </c>
      <c r="D102" t="s">
        <v>10006</v>
      </c>
      <c r="E102" t="s">
        <v>10007</v>
      </c>
      <c r="F102" t="s">
        <v>9650</v>
      </c>
      <c r="G102">
        <v>1</v>
      </c>
    </row>
    <row r="103" spans="1:7">
      <c r="A103" s="37" t="s">
        <v>9374</v>
      </c>
      <c r="C103" t="s">
        <v>10349</v>
      </c>
      <c r="D103" t="s">
        <v>10350</v>
      </c>
      <c r="E103" t="s">
        <v>10008</v>
      </c>
      <c r="F103" t="s">
        <v>10009</v>
      </c>
      <c r="G103">
        <v>0</v>
      </c>
    </row>
    <row r="104" spans="1:7">
      <c r="A104" s="36" t="s">
        <v>9375</v>
      </c>
      <c r="C104" t="s">
        <v>10351</v>
      </c>
      <c r="D104" t="s">
        <v>10010</v>
      </c>
      <c r="E104" t="s">
        <v>10352</v>
      </c>
      <c r="F104" t="s">
        <v>10011</v>
      </c>
      <c r="G104">
        <v>1</v>
      </c>
    </row>
    <row r="105" spans="1:7">
      <c r="A105" s="36"/>
      <c r="C105" t="s">
        <v>10353</v>
      </c>
      <c r="D105" t="s">
        <v>10012</v>
      </c>
      <c r="E105" t="s">
        <v>10013</v>
      </c>
      <c r="F105" t="s">
        <v>10014</v>
      </c>
      <c r="G105">
        <v>2</v>
      </c>
    </row>
    <row r="106" spans="1:7">
      <c r="A106" s="36" t="s">
        <v>9376</v>
      </c>
      <c r="C106" t="s">
        <v>10354</v>
      </c>
      <c r="D106" t="s">
        <v>10355</v>
      </c>
      <c r="E106" t="s">
        <v>10356</v>
      </c>
      <c r="F106" t="s">
        <v>9664</v>
      </c>
      <c r="G106">
        <v>2</v>
      </c>
    </row>
    <row r="107" spans="1:7">
      <c r="A107" s="37" t="s">
        <v>9377</v>
      </c>
      <c r="C107" t="s">
        <v>10357</v>
      </c>
      <c r="D107" t="s">
        <v>10358</v>
      </c>
      <c r="E107" t="s">
        <v>10359</v>
      </c>
      <c r="F107" t="s">
        <v>10015</v>
      </c>
      <c r="G107">
        <v>1</v>
      </c>
    </row>
    <row r="108" spans="1:7">
      <c r="A108" s="36" t="s">
        <v>9378</v>
      </c>
      <c r="C108" t="s">
        <v>10360</v>
      </c>
      <c r="D108" t="s">
        <v>10016</v>
      </c>
      <c r="E108" t="s">
        <v>10361</v>
      </c>
      <c r="F108" t="s">
        <v>10362</v>
      </c>
      <c r="G108">
        <v>2</v>
      </c>
    </row>
    <row r="109" spans="1:7">
      <c r="A109" s="36" t="s">
        <v>9379</v>
      </c>
      <c r="C109" t="s">
        <v>10363</v>
      </c>
      <c r="D109" t="s">
        <v>10017</v>
      </c>
      <c r="E109" t="s">
        <v>10018</v>
      </c>
      <c r="F109" t="s">
        <v>9675</v>
      </c>
      <c r="G109">
        <v>0</v>
      </c>
    </row>
    <row r="110" spans="1:7">
      <c r="A110" s="36" t="s">
        <v>9309</v>
      </c>
      <c r="C110" t="s">
        <v>10364</v>
      </c>
      <c r="D110" t="s">
        <v>10019</v>
      </c>
      <c r="E110" t="s">
        <v>10020</v>
      </c>
      <c r="F110" t="s">
        <v>10021</v>
      </c>
      <c r="G110">
        <v>2</v>
      </c>
    </row>
    <row r="111" spans="1:7">
      <c r="A111" s="36" t="s">
        <v>9380</v>
      </c>
      <c r="C111" t="s">
        <v>10365</v>
      </c>
      <c r="D111" t="s">
        <v>10366</v>
      </c>
      <c r="E111" t="s">
        <v>10367</v>
      </c>
      <c r="F111" t="s">
        <v>10368</v>
      </c>
      <c r="G111">
        <v>1</v>
      </c>
    </row>
    <row r="112" spans="1:7">
      <c r="A112" s="36" t="s">
        <v>9381</v>
      </c>
      <c r="C112" t="s">
        <v>10369</v>
      </c>
      <c r="D112" t="s">
        <v>10370</v>
      </c>
      <c r="E112" t="s">
        <v>10022</v>
      </c>
      <c r="F112" t="s">
        <v>10371</v>
      </c>
      <c r="G112">
        <v>0</v>
      </c>
    </row>
    <row r="113" spans="1:7">
      <c r="A113" s="36" t="s">
        <v>9382</v>
      </c>
      <c r="C113" t="s">
        <v>10372</v>
      </c>
      <c r="D113" t="s">
        <v>10023</v>
      </c>
      <c r="E113" t="s">
        <v>10373</v>
      </c>
      <c r="F113" t="s">
        <v>10374</v>
      </c>
      <c r="G113">
        <v>1</v>
      </c>
    </row>
    <row r="114" spans="1:7">
      <c r="A114" s="37" t="s">
        <v>9383</v>
      </c>
      <c r="C114" t="s">
        <v>10375</v>
      </c>
      <c r="D114" t="s">
        <v>10376</v>
      </c>
      <c r="E114" t="s">
        <v>10377</v>
      </c>
      <c r="F114" t="s">
        <v>10378</v>
      </c>
      <c r="G114">
        <v>1</v>
      </c>
    </row>
    <row r="115" spans="1:7">
      <c r="A115" s="36" t="s">
        <v>9309</v>
      </c>
      <c r="C115" t="s">
        <v>10379</v>
      </c>
      <c r="D115" t="s">
        <v>9960</v>
      </c>
      <c r="E115" t="s">
        <v>10024</v>
      </c>
      <c r="F115" t="s">
        <v>10025</v>
      </c>
      <c r="G115">
        <v>2</v>
      </c>
    </row>
    <row r="116" spans="1:7">
      <c r="A116" s="36" t="s">
        <v>9384</v>
      </c>
      <c r="C116" t="s">
        <v>10380</v>
      </c>
      <c r="D116" t="s">
        <v>10381</v>
      </c>
      <c r="E116" t="s">
        <v>10026</v>
      </c>
      <c r="F116" t="s">
        <v>10382</v>
      </c>
      <c r="G116">
        <v>0</v>
      </c>
    </row>
    <row r="117" spans="1:7">
      <c r="A117" s="36" t="s">
        <v>9385</v>
      </c>
      <c r="C117" t="s">
        <v>10383</v>
      </c>
      <c r="D117" t="s">
        <v>10384</v>
      </c>
      <c r="E117" t="s">
        <v>10027</v>
      </c>
      <c r="F117" t="s">
        <v>9703</v>
      </c>
      <c r="G117">
        <v>1</v>
      </c>
    </row>
    <row r="118" spans="1:7">
      <c r="A118" s="36" t="s">
        <v>9386</v>
      </c>
      <c r="C118" t="s">
        <v>10385</v>
      </c>
      <c r="D118" t="s">
        <v>10386</v>
      </c>
      <c r="E118" t="s">
        <v>10028</v>
      </c>
      <c r="F118" t="s">
        <v>10029</v>
      </c>
      <c r="G118">
        <v>1</v>
      </c>
    </row>
    <row r="119" spans="1:7">
      <c r="A119" s="37" t="s">
        <v>9387</v>
      </c>
      <c r="C119" t="s">
        <v>10387</v>
      </c>
      <c r="D119" t="s">
        <v>10030</v>
      </c>
      <c r="E119" t="s">
        <v>10031</v>
      </c>
      <c r="F119" t="s">
        <v>10032</v>
      </c>
      <c r="G119">
        <v>2</v>
      </c>
    </row>
    <row r="120" spans="1:7">
      <c r="A120" s="36" t="s">
        <v>9309</v>
      </c>
      <c r="C120" t="s">
        <v>10388</v>
      </c>
      <c r="D120" t="s">
        <v>10389</v>
      </c>
      <c r="E120" t="s">
        <v>10390</v>
      </c>
      <c r="F120" t="s">
        <v>10033</v>
      </c>
      <c r="G120">
        <v>1</v>
      </c>
    </row>
    <row r="121" spans="1:7">
      <c r="A121" s="36" t="s">
        <v>9388</v>
      </c>
      <c r="C121" t="s">
        <v>10391</v>
      </c>
      <c r="D121" t="s">
        <v>10392</v>
      </c>
      <c r="E121" t="s">
        <v>10393</v>
      </c>
      <c r="F121" t="s">
        <v>9719</v>
      </c>
      <c r="G121">
        <v>2</v>
      </c>
    </row>
    <row r="122" spans="1:7">
      <c r="A122" s="37" t="s">
        <v>9389</v>
      </c>
      <c r="C122" t="s">
        <v>10394</v>
      </c>
      <c r="D122" t="s">
        <v>10395</v>
      </c>
      <c r="E122" t="s">
        <v>10034</v>
      </c>
      <c r="F122" t="s">
        <v>10035</v>
      </c>
      <c r="G122">
        <v>0</v>
      </c>
    </row>
    <row r="123" spans="1:7">
      <c r="A123" s="36" t="s">
        <v>9390</v>
      </c>
      <c r="C123" t="s">
        <v>10396</v>
      </c>
      <c r="D123" t="s">
        <v>10036</v>
      </c>
      <c r="E123" t="s">
        <v>10397</v>
      </c>
      <c r="F123" t="s">
        <v>3268</v>
      </c>
      <c r="G123">
        <v>0</v>
      </c>
    </row>
    <row r="124" spans="1:7">
      <c r="A124" s="36" t="s">
        <v>9391</v>
      </c>
      <c r="C124" t="s">
        <v>10398</v>
      </c>
      <c r="D124" t="s">
        <v>10399</v>
      </c>
      <c r="E124" t="s">
        <v>10037</v>
      </c>
      <c r="F124" t="s">
        <v>10400</v>
      </c>
      <c r="G124">
        <v>1</v>
      </c>
    </row>
    <row r="125" spans="1:7">
      <c r="A125" s="36" t="s">
        <v>9309</v>
      </c>
      <c r="C125" t="s">
        <v>10401</v>
      </c>
      <c r="D125" t="s">
        <v>10038</v>
      </c>
      <c r="E125" t="s">
        <v>10402</v>
      </c>
      <c r="F125" t="s">
        <v>10403</v>
      </c>
      <c r="G125">
        <v>0</v>
      </c>
    </row>
    <row r="126" spans="1:7">
      <c r="A126" s="36" t="s">
        <v>9392</v>
      </c>
      <c r="C126" t="s">
        <v>10404</v>
      </c>
      <c r="D126" t="s">
        <v>10039</v>
      </c>
      <c r="E126" t="s">
        <v>10040</v>
      </c>
      <c r="F126" t="s">
        <v>10405</v>
      </c>
      <c r="G126">
        <v>1</v>
      </c>
    </row>
    <row r="127" spans="1:7">
      <c r="A127" s="36" t="s">
        <v>6062</v>
      </c>
      <c r="C127" t="s">
        <v>10406</v>
      </c>
      <c r="D127" t="s">
        <v>10041</v>
      </c>
      <c r="E127" t="s">
        <v>10407</v>
      </c>
      <c r="F127" t="s">
        <v>10408</v>
      </c>
      <c r="G127">
        <v>0</v>
      </c>
    </row>
    <row r="128" spans="1:7">
      <c r="A128" s="36" t="s">
        <v>9393</v>
      </c>
      <c r="C128" t="s">
        <v>10409</v>
      </c>
      <c r="D128" t="s">
        <v>10042</v>
      </c>
      <c r="E128" t="s">
        <v>10410</v>
      </c>
      <c r="F128" t="s">
        <v>10411</v>
      </c>
      <c r="G128">
        <v>0</v>
      </c>
    </row>
    <row r="129" spans="1:7">
      <c r="A129" s="37" t="s">
        <v>9394</v>
      </c>
      <c r="C129" t="s">
        <v>10412</v>
      </c>
      <c r="D129" t="s">
        <v>10413</v>
      </c>
      <c r="E129" t="s">
        <v>10414</v>
      </c>
      <c r="F129" t="s">
        <v>9746</v>
      </c>
      <c r="G129">
        <v>2</v>
      </c>
    </row>
    <row r="130" spans="1:7">
      <c r="A130" s="36" t="s">
        <v>9309</v>
      </c>
      <c r="C130" t="s">
        <v>10415</v>
      </c>
      <c r="D130" t="s">
        <v>10043</v>
      </c>
      <c r="E130" t="s">
        <v>10416</v>
      </c>
      <c r="F130" t="s">
        <v>9750</v>
      </c>
      <c r="G130">
        <v>1</v>
      </c>
    </row>
    <row r="131" spans="1:7">
      <c r="A131" s="36" t="s">
        <v>9395</v>
      </c>
      <c r="C131" t="s">
        <v>10417</v>
      </c>
      <c r="D131" t="s">
        <v>10418</v>
      </c>
      <c r="E131" t="s">
        <v>10419</v>
      </c>
      <c r="F131" t="s">
        <v>9754</v>
      </c>
      <c r="G131">
        <v>2</v>
      </c>
    </row>
    <row r="132" spans="1:7">
      <c r="A132" s="36" t="s">
        <v>9396</v>
      </c>
      <c r="C132" t="s">
        <v>10420</v>
      </c>
      <c r="D132" t="s">
        <v>10421</v>
      </c>
      <c r="E132" t="s">
        <v>10044</v>
      </c>
      <c r="F132" t="s">
        <v>10243</v>
      </c>
      <c r="G132">
        <v>2</v>
      </c>
    </row>
    <row r="133" spans="1:7">
      <c r="A133" s="36" t="s">
        <v>9397</v>
      </c>
      <c r="C133" t="s">
        <v>10422</v>
      </c>
      <c r="D133" t="s">
        <v>10423</v>
      </c>
      <c r="E133" t="s">
        <v>10045</v>
      </c>
      <c r="F133" t="s">
        <v>9761</v>
      </c>
      <c r="G133">
        <v>2</v>
      </c>
    </row>
    <row r="134" spans="1:7">
      <c r="A134" s="37" t="s">
        <v>9398</v>
      </c>
      <c r="C134" t="s">
        <v>10424</v>
      </c>
      <c r="D134" t="s">
        <v>10046</v>
      </c>
      <c r="E134" t="s">
        <v>10047</v>
      </c>
      <c r="F134" t="s">
        <v>10048</v>
      </c>
      <c r="G134">
        <v>2</v>
      </c>
    </row>
    <row r="135" spans="1:7">
      <c r="A135" s="36" t="s">
        <v>9309</v>
      </c>
      <c r="C135" t="s">
        <v>10425</v>
      </c>
      <c r="D135" t="s">
        <v>10426</v>
      </c>
      <c r="E135" t="s">
        <v>10049</v>
      </c>
      <c r="F135" t="s">
        <v>9768</v>
      </c>
      <c r="G135">
        <v>1</v>
      </c>
    </row>
    <row r="136" spans="1:7">
      <c r="A136" s="36" t="s">
        <v>9399</v>
      </c>
      <c r="C136" t="s">
        <v>10427</v>
      </c>
      <c r="D136" t="s">
        <v>10428</v>
      </c>
      <c r="E136" t="s">
        <v>10429</v>
      </c>
      <c r="F136" t="s">
        <v>10430</v>
      </c>
      <c r="G136">
        <v>2</v>
      </c>
    </row>
    <row r="137" spans="1:7">
      <c r="A137" s="36" t="s">
        <v>9400</v>
      </c>
      <c r="C137" t="s">
        <v>10431</v>
      </c>
      <c r="D137" t="s">
        <v>10050</v>
      </c>
      <c r="E137" t="s">
        <v>10051</v>
      </c>
      <c r="F137" t="s">
        <v>10052</v>
      </c>
      <c r="G137">
        <v>2</v>
      </c>
    </row>
    <row r="138" spans="1:7">
      <c r="A138" s="37" t="s">
        <v>4516</v>
      </c>
      <c r="C138" t="s">
        <v>10432</v>
      </c>
      <c r="D138" t="s">
        <v>10433</v>
      </c>
      <c r="E138" t="s">
        <v>10434</v>
      </c>
      <c r="F138" t="s">
        <v>10435</v>
      </c>
      <c r="G138">
        <v>2</v>
      </c>
    </row>
    <row r="139" spans="1:7">
      <c r="A139" s="36" t="s">
        <v>9401</v>
      </c>
      <c r="C139" t="s">
        <v>10436</v>
      </c>
      <c r="D139" t="s">
        <v>10437</v>
      </c>
      <c r="E139" t="s">
        <v>10438</v>
      </c>
      <c r="F139" t="s">
        <v>10053</v>
      </c>
      <c r="G139">
        <v>0</v>
      </c>
    </row>
    <row r="140" spans="1:7">
      <c r="A140" s="36" t="s">
        <v>9309</v>
      </c>
      <c r="C140" t="s">
        <v>10439</v>
      </c>
      <c r="D140" t="s">
        <v>10054</v>
      </c>
      <c r="E140" t="s">
        <v>10055</v>
      </c>
      <c r="F140" t="s">
        <v>10056</v>
      </c>
      <c r="G140">
        <v>2</v>
      </c>
    </row>
    <row r="141" spans="1:7">
      <c r="A141" s="36" t="s">
        <v>9402</v>
      </c>
      <c r="C141" t="s">
        <v>10440</v>
      </c>
      <c r="D141" t="s">
        <v>10057</v>
      </c>
      <c r="E141" t="s">
        <v>10441</v>
      </c>
      <c r="F141" t="s">
        <v>1778</v>
      </c>
      <c r="G141">
        <v>2</v>
      </c>
    </row>
    <row r="142" spans="1:7">
      <c r="A142" s="36" t="s">
        <v>9403</v>
      </c>
      <c r="C142" t="s">
        <v>10442</v>
      </c>
      <c r="D142" t="s">
        <v>10058</v>
      </c>
      <c r="E142" t="s">
        <v>10443</v>
      </c>
      <c r="F142" t="s">
        <v>9793</v>
      </c>
      <c r="G142">
        <v>1</v>
      </c>
    </row>
    <row r="143" spans="1:7">
      <c r="A143" s="36" t="s">
        <v>9404</v>
      </c>
      <c r="C143" t="s">
        <v>10444</v>
      </c>
      <c r="D143" t="s">
        <v>10445</v>
      </c>
      <c r="E143" t="s">
        <v>10059</v>
      </c>
      <c r="F143" t="s">
        <v>10060</v>
      </c>
      <c r="G143">
        <v>1</v>
      </c>
    </row>
    <row r="144" spans="1:7">
      <c r="A144" s="37" t="s">
        <v>9405</v>
      </c>
      <c r="C144" t="s">
        <v>10446</v>
      </c>
      <c r="D144" t="s">
        <v>10061</v>
      </c>
      <c r="E144" t="s">
        <v>10447</v>
      </c>
      <c r="F144" t="s">
        <v>10062</v>
      </c>
      <c r="G144">
        <v>1</v>
      </c>
    </row>
    <row r="145" spans="1:7">
      <c r="A145" s="36" t="s">
        <v>9309</v>
      </c>
      <c r="C145" t="s">
        <v>10448</v>
      </c>
      <c r="D145" t="s">
        <v>10063</v>
      </c>
      <c r="E145" t="s">
        <v>10449</v>
      </c>
      <c r="F145" t="s">
        <v>10450</v>
      </c>
      <c r="G145">
        <v>0</v>
      </c>
    </row>
    <row r="146" spans="1:7">
      <c r="A146" s="36" t="s">
        <v>9406</v>
      </c>
      <c r="C146" t="s">
        <v>10451</v>
      </c>
      <c r="D146" t="s">
        <v>10452</v>
      </c>
      <c r="E146" t="s">
        <v>10453</v>
      </c>
      <c r="F146" t="s">
        <v>10064</v>
      </c>
      <c r="G146">
        <v>2</v>
      </c>
    </row>
    <row r="147" spans="1:7">
      <c r="A147" s="37" t="s">
        <v>9407</v>
      </c>
      <c r="C147" t="s">
        <v>10454</v>
      </c>
      <c r="D147" t="s">
        <v>10455</v>
      </c>
      <c r="E147" t="s">
        <v>10065</v>
      </c>
      <c r="F147" t="s">
        <v>10066</v>
      </c>
      <c r="G147">
        <v>1</v>
      </c>
    </row>
    <row r="148" spans="1:7">
      <c r="A148" s="36" t="s">
        <v>9408</v>
      </c>
      <c r="C148" t="s">
        <v>10456</v>
      </c>
      <c r="D148" t="s">
        <v>10067</v>
      </c>
      <c r="E148" t="s">
        <v>10457</v>
      </c>
      <c r="F148" t="s">
        <v>10068</v>
      </c>
      <c r="G148">
        <v>2</v>
      </c>
    </row>
    <row r="149" spans="1:7">
      <c r="A149" s="36" t="s">
        <v>9409</v>
      </c>
      <c r="C149" t="s">
        <v>10458</v>
      </c>
      <c r="D149" t="s">
        <v>10459</v>
      </c>
      <c r="E149" t="s">
        <v>10069</v>
      </c>
      <c r="F149" t="s">
        <v>10460</v>
      </c>
      <c r="G149">
        <v>1</v>
      </c>
    </row>
    <row r="150" spans="1:7">
      <c r="A150" s="36" t="s">
        <v>9309</v>
      </c>
      <c r="C150" t="s">
        <v>6429</v>
      </c>
      <c r="D150" t="s">
        <v>10070</v>
      </c>
      <c r="E150" t="s">
        <v>10461</v>
      </c>
      <c r="F150" t="s">
        <v>10071</v>
      </c>
      <c r="G150">
        <v>2</v>
      </c>
    </row>
    <row r="151" spans="1:7">
      <c r="A151" s="36" t="s">
        <v>9410</v>
      </c>
      <c r="C151" t="s">
        <v>10462</v>
      </c>
      <c r="D151" t="s">
        <v>10463</v>
      </c>
      <c r="E151" t="s">
        <v>10464</v>
      </c>
      <c r="F151" t="s">
        <v>10072</v>
      </c>
      <c r="G151">
        <v>1</v>
      </c>
    </row>
    <row r="152" spans="1:7">
      <c r="A152" s="36" t="s">
        <v>72</v>
      </c>
      <c r="C152" t="s">
        <v>10465</v>
      </c>
      <c r="D152" t="s">
        <v>10466</v>
      </c>
      <c r="E152" t="s">
        <v>10467</v>
      </c>
      <c r="F152" t="s">
        <v>10468</v>
      </c>
      <c r="G152">
        <v>0</v>
      </c>
    </row>
    <row r="153" spans="1:7">
      <c r="A153" s="36" t="s">
        <v>9354</v>
      </c>
      <c r="C153" t="s">
        <v>10469</v>
      </c>
      <c r="D153" t="s">
        <v>10470</v>
      </c>
      <c r="E153" t="s">
        <v>10001</v>
      </c>
      <c r="F153" t="s">
        <v>10337</v>
      </c>
      <c r="G153">
        <v>0</v>
      </c>
    </row>
    <row r="154" spans="1:7">
      <c r="A154" s="37" t="s">
        <v>966</v>
      </c>
      <c r="C154" t="s">
        <v>10471</v>
      </c>
      <c r="D154" t="s">
        <v>10073</v>
      </c>
      <c r="E154" t="s">
        <v>10472</v>
      </c>
      <c r="F154" t="s">
        <v>9533</v>
      </c>
      <c r="G154">
        <v>0</v>
      </c>
    </row>
    <row r="155" spans="1:7">
      <c r="A155" s="36" t="s">
        <v>9309</v>
      </c>
      <c r="C155" t="s">
        <v>10473</v>
      </c>
      <c r="D155" t="s">
        <v>10074</v>
      </c>
      <c r="E155" t="s">
        <v>10075</v>
      </c>
      <c r="F155" t="s">
        <v>10474</v>
      </c>
      <c r="G155">
        <v>2</v>
      </c>
    </row>
    <row r="156" spans="1:7">
      <c r="A156" s="36" t="s">
        <v>9411</v>
      </c>
      <c r="C156" t="s">
        <v>10475</v>
      </c>
      <c r="D156" t="s">
        <v>10076</v>
      </c>
      <c r="E156" t="s">
        <v>10077</v>
      </c>
      <c r="F156" t="s">
        <v>10476</v>
      </c>
      <c r="G156">
        <v>1</v>
      </c>
    </row>
    <row r="157" spans="1:7">
      <c r="A157" s="37" t="s">
        <v>9412</v>
      </c>
      <c r="C157" t="s">
        <v>10477</v>
      </c>
      <c r="D157" t="s">
        <v>10478</v>
      </c>
      <c r="E157" t="s">
        <v>10479</v>
      </c>
      <c r="F157" t="s">
        <v>10078</v>
      </c>
      <c r="G157">
        <v>0</v>
      </c>
    </row>
    <row r="158" spans="1:7">
      <c r="A158" s="36" t="s">
        <v>9413</v>
      </c>
      <c r="C158" t="s">
        <v>10480</v>
      </c>
      <c r="D158" t="s">
        <v>9987</v>
      </c>
      <c r="E158" t="s">
        <v>10079</v>
      </c>
      <c r="F158" t="s">
        <v>10080</v>
      </c>
      <c r="G158">
        <v>1</v>
      </c>
    </row>
    <row r="159" spans="1:7">
      <c r="A159" s="36" t="s">
        <v>9414</v>
      </c>
      <c r="C159" t="s">
        <v>10481</v>
      </c>
      <c r="D159" t="s">
        <v>10081</v>
      </c>
      <c r="E159" t="s">
        <v>10082</v>
      </c>
      <c r="F159" t="s">
        <v>10482</v>
      </c>
      <c r="G159">
        <v>2</v>
      </c>
    </row>
    <row r="160" spans="1:7">
      <c r="A160" s="36" t="s">
        <v>9309</v>
      </c>
      <c r="C160" t="s">
        <v>10483</v>
      </c>
      <c r="D160" t="s">
        <v>10484</v>
      </c>
      <c r="E160" t="s">
        <v>10485</v>
      </c>
      <c r="F160" t="s">
        <v>10486</v>
      </c>
      <c r="G160">
        <v>1</v>
      </c>
    </row>
    <row r="161" spans="1:7">
      <c r="A161" s="36" t="s">
        <v>9415</v>
      </c>
      <c r="C161" t="s">
        <v>10487</v>
      </c>
      <c r="D161" t="s">
        <v>10488</v>
      </c>
      <c r="E161" t="s">
        <v>10489</v>
      </c>
      <c r="F161" t="s">
        <v>10490</v>
      </c>
      <c r="G161">
        <v>1</v>
      </c>
    </row>
    <row r="162" spans="1:7">
      <c r="A162" s="37" t="s">
        <v>1729</v>
      </c>
      <c r="C162" t="s">
        <v>10491</v>
      </c>
      <c r="D162" t="s">
        <v>10083</v>
      </c>
      <c r="E162" t="s">
        <v>10492</v>
      </c>
      <c r="F162" t="s">
        <v>10084</v>
      </c>
      <c r="G162">
        <v>0</v>
      </c>
    </row>
    <row r="163" spans="1:7">
      <c r="A163" s="36" t="s">
        <v>1730</v>
      </c>
      <c r="C163" t="s">
        <v>10493</v>
      </c>
      <c r="D163" t="s">
        <v>10085</v>
      </c>
      <c r="E163" t="s">
        <v>10494</v>
      </c>
      <c r="F163" t="s">
        <v>10086</v>
      </c>
      <c r="G163">
        <v>2</v>
      </c>
    </row>
    <row r="164" spans="1:7">
      <c r="A164" s="36" t="s">
        <v>1731</v>
      </c>
      <c r="C164" t="s">
        <v>10495</v>
      </c>
      <c r="D164" t="s">
        <v>10496</v>
      </c>
      <c r="E164" t="s">
        <v>10087</v>
      </c>
      <c r="F164" t="s">
        <v>10088</v>
      </c>
      <c r="G164">
        <v>0</v>
      </c>
    </row>
    <row r="165" spans="1:7">
      <c r="A165" s="36" t="s">
        <v>9309</v>
      </c>
      <c r="C165" t="s">
        <v>10497</v>
      </c>
      <c r="D165" t="s">
        <v>10498</v>
      </c>
      <c r="E165" t="s">
        <v>10089</v>
      </c>
      <c r="F165" t="s">
        <v>10090</v>
      </c>
      <c r="G165">
        <v>2</v>
      </c>
    </row>
    <row r="166" spans="1:7">
      <c r="A166" s="36" t="s">
        <v>9416</v>
      </c>
      <c r="C166" t="s">
        <v>10499</v>
      </c>
      <c r="D166" t="s">
        <v>10500</v>
      </c>
      <c r="E166" t="s">
        <v>10091</v>
      </c>
      <c r="F166" t="s">
        <v>9876</v>
      </c>
      <c r="G166">
        <v>2</v>
      </c>
    </row>
    <row r="167" spans="1:7">
      <c r="A167" s="36" t="s">
        <v>9417</v>
      </c>
      <c r="C167" t="s">
        <v>10505</v>
      </c>
      <c r="D167" t="s">
        <v>10092</v>
      </c>
      <c r="E167" t="s">
        <v>10501</v>
      </c>
      <c r="F167" t="s">
        <v>10502</v>
      </c>
      <c r="G167">
        <v>0</v>
      </c>
    </row>
    <row r="168" spans="1:7">
      <c r="A168" s="37" t="s">
        <v>9418</v>
      </c>
      <c r="C168" t="s">
        <v>10504</v>
      </c>
      <c r="D168" t="s">
        <v>10503</v>
      </c>
      <c r="E168" t="s">
        <v>10093</v>
      </c>
      <c r="F168" t="s">
        <v>10094</v>
      </c>
      <c r="G168">
        <v>1</v>
      </c>
    </row>
    <row r="169" spans="1:7">
      <c r="A169" s="36" t="s">
        <v>9419</v>
      </c>
    </row>
    <row r="170" spans="1:7">
      <c r="A170" s="36" t="s">
        <v>9309</v>
      </c>
    </row>
    <row r="171" spans="1:7">
      <c r="A171" s="36" t="s">
        <v>9420</v>
      </c>
    </row>
    <row r="172" spans="1:7">
      <c r="A172" s="37" t="s">
        <v>9421</v>
      </c>
    </row>
    <row r="173" spans="1:7">
      <c r="A173" s="36" t="s">
        <v>9422</v>
      </c>
    </row>
    <row r="174" spans="1:7">
      <c r="A174" s="36" t="s">
        <v>9423</v>
      </c>
    </row>
    <row r="175" spans="1:7">
      <c r="A175" s="36" t="s">
        <v>9309</v>
      </c>
    </row>
    <row r="176" spans="1:7">
      <c r="A176" s="36" t="s">
        <v>9424</v>
      </c>
    </row>
    <row r="177" spans="1:1">
      <c r="A177" s="36" t="s">
        <v>9425</v>
      </c>
    </row>
    <row r="178" spans="1:1">
      <c r="A178" s="37" t="s">
        <v>9426</v>
      </c>
    </row>
    <row r="179" spans="1:1">
      <c r="A179" s="36" t="s">
        <v>9427</v>
      </c>
    </row>
    <row r="180" spans="1:1">
      <c r="A180" s="36" t="s">
        <v>9309</v>
      </c>
    </row>
    <row r="181" spans="1:1">
      <c r="A181" s="36" t="s">
        <v>9428</v>
      </c>
    </row>
    <row r="182" spans="1:1">
      <c r="A182" s="37" t="s">
        <v>9429</v>
      </c>
    </row>
    <row r="183" spans="1:1">
      <c r="A183" s="36" t="s">
        <v>527</v>
      </c>
    </row>
    <row r="184" spans="1:1">
      <c r="A184" s="36" t="s">
        <v>9430</v>
      </c>
    </row>
    <row r="185" spans="1:1">
      <c r="A185" s="36" t="s">
        <v>9309</v>
      </c>
    </row>
    <row r="186" spans="1:1">
      <c r="A186" s="36" t="s">
        <v>9431</v>
      </c>
    </row>
    <row r="187" spans="1:1">
      <c r="A187" s="37" t="s">
        <v>9432</v>
      </c>
    </row>
    <row r="188" spans="1:1">
      <c r="A188" s="36" t="s">
        <v>9433</v>
      </c>
    </row>
    <row r="189" spans="1:1">
      <c r="A189" s="36" t="s">
        <v>9434</v>
      </c>
    </row>
    <row r="190" spans="1:1">
      <c r="A190" s="36"/>
    </row>
    <row r="191" spans="1:1">
      <c r="A191" s="36" t="s">
        <v>9435</v>
      </c>
    </row>
    <row r="192" spans="1:1">
      <c r="A192" s="36" t="s">
        <v>9436</v>
      </c>
    </row>
    <row r="193" spans="1:1">
      <c r="A193" s="36" t="s">
        <v>9437</v>
      </c>
    </row>
    <row r="194" spans="1:1">
      <c r="A194" s="37" t="s">
        <v>9438</v>
      </c>
    </row>
    <row r="195" spans="1:1">
      <c r="A195" s="36" t="s">
        <v>9309</v>
      </c>
    </row>
    <row r="196" spans="1:1">
      <c r="A196" s="36" t="s">
        <v>9439</v>
      </c>
    </row>
    <row r="197" spans="1:1">
      <c r="A197" s="36" t="s">
        <v>9440</v>
      </c>
    </row>
    <row r="198" spans="1:1">
      <c r="A198" s="37" t="s">
        <v>9441</v>
      </c>
    </row>
    <row r="199" spans="1:1">
      <c r="A199" s="36" t="s">
        <v>9442</v>
      </c>
    </row>
    <row r="200" spans="1:1">
      <c r="A200" s="36" t="s">
        <v>9309</v>
      </c>
    </row>
    <row r="201" spans="1:1">
      <c r="A201" s="38" t="s">
        <v>9443</v>
      </c>
    </row>
    <row r="202" spans="1:1">
      <c r="A202" s="37" t="s">
        <v>9444</v>
      </c>
    </row>
    <row r="203" spans="1:1">
      <c r="A203" s="36" t="s">
        <v>9445</v>
      </c>
    </row>
    <row r="204" spans="1:1">
      <c r="A204" s="36" t="s">
        <v>9446</v>
      </c>
    </row>
    <row r="205" spans="1:1">
      <c r="A205" s="36" t="s">
        <v>9309</v>
      </c>
    </row>
    <row r="206" spans="1:1">
      <c r="A206" s="36" t="s">
        <v>9447</v>
      </c>
    </row>
    <row r="207" spans="1:1">
      <c r="A207" s="36" t="s">
        <v>9448</v>
      </c>
    </row>
    <row r="208" spans="1:1">
      <c r="A208" s="37" t="s">
        <v>9449</v>
      </c>
    </row>
    <row r="209" spans="1:1">
      <c r="A209" s="36" t="s">
        <v>9450</v>
      </c>
    </row>
    <row r="210" spans="1:1">
      <c r="A210" s="36"/>
    </row>
    <row r="211" spans="1:1">
      <c r="A211" s="36" t="s">
        <v>9451</v>
      </c>
    </row>
    <row r="212" spans="1:1">
      <c r="A212" s="36" t="s">
        <v>9452</v>
      </c>
    </row>
    <row r="213" spans="1:1">
      <c r="A213" s="37" t="s">
        <v>9453</v>
      </c>
    </row>
    <row r="214" spans="1:1">
      <c r="A214" s="36" t="s">
        <v>9454</v>
      </c>
    </row>
    <row r="215" spans="1:1">
      <c r="A215" s="36" t="s">
        <v>9309</v>
      </c>
    </row>
    <row r="216" spans="1:1">
      <c r="A216" s="36" t="s">
        <v>9455</v>
      </c>
    </row>
    <row r="217" spans="1:1">
      <c r="A217" s="37" t="s">
        <v>9456</v>
      </c>
    </row>
    <row r="218" spans="1:1">
      <c r="A218" s="36" t="s">
        <v>9457</v>
      </c>
    </row>
    <row r="219" spans="1:1">
      <c r="A219" s="36" t="s">
        <v>9458</v>
      </c>
    </row>
    <row r="220" spans="1:1">
      <c r="A220" s="36"/>
    </row>
    <row r="221" spans="1:1">
      <c r="A221" s="36" t="s">
        <v>9459</v>
      </c>
    </row>
    <row r="222" spans="1:1">
      <c r="A222" s="36" t="s">
        <v>9460</v>
      </c>
    </row>
    <row r="223" spans="1:1">
      <c r="A223" s="36" t="s">
        <v>9461</v>
      </c>
    </row>
    <row r="224" spans="1:1">
      <c r="A224" s="37" t="s">
        <v>9462</v>
      </c>
    </row>
    <row r="225" spans="1:1">
      <c r="A225" s="36" t="s">
        <v>9309</v>
      </c>
    </row>
    <row r="226" spans="1:1">
      <c r="A226" s="36" t="s">
        <v>9463</v>
      </c>
    </row>
    <row r="227" spans="1:1">
      <c r="A227" s="36" t="s">
        <v>9464</v>
      </c>
    </row>
    <row r="228" spans="1:1">
      <c r="A228" s="38" t="s">
        <v>9465</v>
      </c>
    </row>
    <row r="229" spans="1:1">
      <c r="A229" s="37" t="s">
        <v>9466</v>
      </c>
    </row>
    <row r="230" spans="1:1">
      <c r="A230" s="36" t="s">
        <v>9309</v>
      </c>
    </row>
    <row r="231" spans="1:1">
      <c r="A231" s="36" t="s">
        <v>9467</v>
      </c>
    </row>
    <row r="232" spans="1:1">
      <c r="A232" s="36" t="s">
        <v>9468</v>
      </c>
    </row>
    <row r="233" spans="1:1">
      <c r="A233" s="36" t="s">
        <v>9469</v>
      </c>
    </row>
    <row r="234" spans="1:1">
      <c r="A234" s="37" t="s">
        <v>9470</v>
      </c>
    </row>
    <row r="235" spans="1:1">
      <c r="A235" s="36" t="s">
        <v>9309</v>
      </c>
    </row>
    <row r="236" spans="1:1">
      <c r="A236" s="36" t="s">
        <v>9471</v>
      </c>
    </row>
    <row r="237" spans="1:1">
      <c r="A237" s="36" t="s">
        <v>9472</v>
      </c>
    </row>
    <row r="238" spans="1:1">
      <c r="A238" s="37" t="s">
        <v>852</v>
      </c>
    </row>
    <row r="239" spans="1:1">
      <c r="A239" s="36" t="s">
        <v>468</v>
      </c>
    </row>
    <row r="240" spans="1:1">
      <c r="A240" s="36" t="s">
        <v>9309</v>
      </c>
    </row>
    <row r="241" spans="1:1">
      <c r="A241" s="36" t="s">
        <v>9473</v>
      </c>
    </row>
    <row r="242" spans="1:1">
      <c r="A242" s="36" t="s">
        <v>9474</v>
      </c>
    </row>
    <row r="243" spans="1:1">
      <c r="A243" s="37" t="s">
        <v>9475</v>
      </c>
    </row>
    <row r="244" spans="1:1">
      <c r="A244" s="36" t="s">
        <v>9476</v>
      </c>
    </row>
    <row r="245" spans="1:1">
      <c r="A245" s="36" t="s">
        <v>9309</v>
      </c>
    </row>
    <row r="246" spans="1:1">
      <c r="A246" s="36" t="s">
        <v>9477</v>
      </c>
    </row>
    <row r="247" spans="1:1">
      <c r="A247" s="36" t="s">
        <v>1937</v>
      </c>
    </row>
    <row r="248" spans="1:1">
      <c r="A248" s="38" t="s">
        <v>9478</v>
      </c>
    </row>
    <row r="249" spans="1:1">
      <c r="A249" s="37" t="s">
        <v>1938</v>
      </c>
    </row>
    <row r="250" spans="1:1">
      <c r="A250" s="36" t="s">
        <v>9309</v>
      </c>
    </row>
    <row r="251" spans="1:1">
      <c r="A251" s="36" t="s">
        <v>9479</v>
      </c>
    </row>
    <row r="252" spans="1:1">
      <c r="A252" s="37" t="s">
        <v>3557</v>
      </c>
    </row>
    <row r="253" spans="1:1">
      <c r="A253" s="36" t="s">
        <v>9480</v>
      </c>
    </row>
    <row r="254" spans="1:1">
      <c r="A254" s="36" t="s">
        <v>9481</v>
      </c>
    </row>
    <row r="255" spans="1:1">
      <c r="A255" s="36" t="s">
        <v>9309</v>
      </c>
    </row>
    <row r="256" spans="1:1">
      <c r="A256" s="36" t="s">
        <v>9482</v>
      </c>
    </row>
    <row r="257" spans="1:1">
      <c r="A257" s="36" t="s">
        <v>9483</v>
      </c>
    </row>
    <row r="258" spans="1:1">
      <c r="A258" s="36" t="s">
        <v>9484</v>
      </c>
    </row>
    <row r="259" spans="1:1">
      <c r="A259" s="37" t="s">
        <v>9485</v>
      </c>
    </row>
    <row r="260" spans="1:1">
      <c r="A260" s="36" t="s">
        <v>9309</v>
      </c>
    </row>
    <row r="261" spans="1:1">
      <c r="A261" s="36" t="s">
        <v>9486</v>
      </c>
    </row>
    <row r="262" spans="1:1">
      <c r="A262" s="36" t="s">
        <v>9487</v>
      </c>
    </row>
    <row r="263" spans="1:1">
      <c r="A263" s="36" t="s">
        <v>9488</v>
      </c>
    </row>
    <row r="264" spans="1:1">
      <c r="A264" s="37" t="s">
        <v>9489</v>
      </c>
    </row>
    <row r="265" spans="1:1">
      <c r="A265" s="36" t="s">
        <v>9309</v>
      </c>
    </row>
    <row r="266" spans="1:1">
      <c r="A266" s="36" t="s">
        <v>9490</v>
      </c>
    </row>
    <row r="267" spans="1:1">
      <c r="A267" s="37" t="s">
        <v>9491</v>
      </c>
    </row>
    <row r="268" spans="1:1">
      <c r="A268" s="36" t="s">
        <v>9492</v>
      </c>
    </row>
    <row r="269" spans="1:1">
      <c r="A269" s="36" t="s">
        <v>9493</v>
      </c>
    </row>
    <row r="270" spans="1:1">
      <c r="A270" s="36" t="s">
        <v>9309</v>
      </c>
    </row>
    <row r="271" spans="1:1">
      <c r="A271" s="36" t="s">
        <v>9494</v>
      </c>
    </row>
    <row r="272" spans="1:1">
      <c r="A272" s="36" t="s">
        <v>9495</v>
      </c>
    </row>
    <row r="273" spans="1:1">
      <c r="A273" s="36" t="s">
        <v>9496</v>
      </c>
    </row>
    <row r="274" spans="1:1">
      <c r="A274" s="37" t="s">
        <v>9497</v>
      </c>
    </row>
    <row r="275" spans="1:1">
      <c r="A275" s="36" t="s">
        <v>9309</v>
      </c>
    </row>
    <row r="276" spans="1:1">
      <c r="A276" s="36" t="s">
        <v>9498</v>
      </c>
    </row>
    <row r="277" spans="1:1">
      <c r="A277" s="36" t="s">
        <v>9499</v>
      </c>
    </row>
    <row r="278" spans="1:1">
      <c r="A278" s="36" t="s">
        <v>9500</v>
      </c>
    </row>
    <row r="279" spans="1:1">
      <c r="A279" s="37" t="s">
        <v>9501</v>
      </c>
    </row>
    <row r="280" spans="1:1">
      <c r="A280" s="36" t="s">
        <v>9309</v>
      </c>
    </row>
    <row r="281" spans="1:1">
      <c r="A281" s="36" t="s">
        <v>9502</v>
      </c>
    </row>
    <row r="282" spans="1:1">
      <c r="A282" s="37" t="s">
        <v>9503</v>
      </c>
    </row>
    <row r="283" spans="1:1">
      <c r="A283" s="36" t="s">
        <v>9504</v>
      </c>
    </row>
    <row r="284" spans="1:1">
      <c r="A284" s="36" t="s">
        <v>9505</v>
      </c>
    </row>
    <row r="285" spans="1:1">
      <c r="A285" s="36" t="s">
        <v>9309</v>
      </c>
    </row>
    <row r="286" spans="1:1">
      <c r="A286" s="36" t="s">
        <v>9506</v>
      </c>
    </row>
    <row r="287" spans="1:1">
      <c r="A287" s="38" t="s">
        <v>9507</v>
      </c>
    </row>
    <row r="288" spans="1:1">
      <c r="A288" s="37" t="s">
        <v>9508</v>
      </c>
    </row>
    <row r="289" spans="1:1">
      <c r="A289" s="36" t="s">
        <v>9509</v>
      </c>
    </row>
    <row r="290" spans="1:1">
      <c r="A290" s="36" t="s">
        <v>9309</v>
      </c>
    </row>
    <row r="291" spans="1:1">
      <c r="A291" s="36" t="s">
        <v>9510</v>
      </c>
    </row>
    <row r="292" spans="1:1">
      <c r="A292" s="36" t="s">
        <v>9511</v>
      </c>
    </row>
    <row r="293" spans="1:1">
      <c r="A293" s="37" t="s">
        <v>9512</v>
      </c>
    </row>
    <row r="294" spans="1:1">
      <c r="A294" s="36" t="s">
        <v>9513</v>
      </c>
    </row>
    <row r="295" spans="1:1">
      <c r="A295" s="36" t="s">
        <v>9309</v>
      </c>
    </row>
    <row r="296" spans="1:1">
      <c r="A296" s="36" t="s">
        <v>9514</v>
      </c>
    </row>
    <row r="297" spans="1:1">
      <c r="A297" s="37" t="s">
        <v>9515</v>
      </c>
    </row>
    <row r="298" spans="1:1">
      <c r="A298" s="36" t="s">
        <v>9516</v>
      </c>
    </row>
    <row r="299" spans="1:1">
      <c r="A299" s="36" t="s">
        <v>9517</v>
      </c>
    </row>
    <row r="300" spans="1:1">
      <c r="A300" s="36" t="s">
        <v>9309</v>
      </c>
    </row>
    <row r="301" spans="1:1">
      <c r="A301" s="36" t="s">
        <v>9518</v>
      </c>
    </row>
    <row r="302" spans="1:1">
      <c r="A302" s="36" t="s">
        <v>9519</v>
      </c>
    </row>
    <row r="303" spans="1:1">
      <c r="A303" s="36" t="s">
        <v>9520</v>
      </c>
    </row>
    <row r="304" spans="1:1">
      <c r="A304" s="37" t="s">
        <v>128</v>
      </c>
    </row>
    <row r="305" spans="1:1">
      <c r="A305" s="36" t="s">
        <v>9309</v>
      </c>
    </row>
    <row r="306" spans="1:1">
      <c r="A306" s="36" t="s">
        <v>9521</v>
      </c>
    </row>
    <row r="307" spans="1:1">
      <c r="A307" s="36" t="s">
        <v>72</v>
      </c>
    </row>
    <row r="308" spans="1:1">
      <c r="A308" s="37" t="s">
        <v>478</v>
      </c>
    </row>
    <row r="309" spans="1:1">
      <c r="A309" s="36" t="s">
        <v>479</v>
      </c>
    </row>
    <row r="310" spans="1:1">
      <c r="A310" s="36" t="s">
        <v>9309</v>
      </c>
    </row>
    <row r="311" spans="1:1">
      <c r="A311" s="36" t="s">
        <v>9522</v>
      </c>
    </row>
    <row r="312" spans="1:1">
      <c r="A312" s="36" t="s">
        <v>9523</v>
      </c>
    </row>
    <row r="313" spans="1:1">
      <c r="A313" s="37" t="s">
        <v>9524</v>
      </c>
    </row>
    <row r="314" spans="1:1">
      <c r="A314" s="36" t="s">
        <v>9525</v>
      </c>
    </row>
    <row r="315" spans="1:1">
      <c r="A315" s="36" t="s">
        <v>9309</v>
      </c>
    </row>
    <row r="316" spans="1:1">
      <c r="A316" s="36" t="s">
        <v>9526</v>
      </c>
    </row>
    <row r="317" spans="1:1">
      <c r="A317" s="37" t="s">
        <v>712</v>
      </c>
    </row>
    <row r="318" spans="1:1">
      <c r="A318" s="36" t="s">
        <v>9527</v>
      </c>
    </row>
    <row r="319" spans="1:1">
      <c r="A319" s="36" t="s">
        <v>9528</v>
      </c>
    </row>
    <row r="320" spans="1:1">
      <c r="A320" s="36" t="s">
        <v>9309</v>
      </c>
    </row>
    <row r="321" spans="1:1">
      <c r="A321" s="36" t="s">
        <v>9529</v>
      </c>
    </row>
    <row r="322" spans="1:1">
      <c r="A322" s="37" t="s">
        <v>9530</v>
      </c>
    </row>
    <row r="323" spans="1:1">
      <c r="A323" s="36" t="s">
        <v>9531</v>
      </c>
    </row>
    <row r="324" spans="1:1">
      <c r="A324" s="36" t="s">
        <v>7651</v>
      </c>
    </row>
    <row r="325" spans="1:1">
      <c r="A325" s="36" t="s">
        <v>9309</v>
      </c>
    </row>
    <row r="326" spans="1:1">
      <c r="A326" s="36" t="s">
        <v>9532</v>
      </c>
    </row>
    <row r="327" spans="1:1">
      <c r="A327" s="37" t="s">
        <v>9533</v>
      </c>
    </row>
    <row r="328" spans="1:1">
      <c r="A328" s="36" t="s">
        <v>599</v>
      </c>
    </row>
    <row r="329" spans="1:1">
      <c r="A329" s="36" t="s">
        <v>557</v>
      </c>
    </row>
    <row r="330" spans="1:1">
      <c r="A330" s="36" t="s">
        <v>9309</v>
      </c>
    </row>
    <row r="331" spans="1:1">
      <c r="A331" s="36" t="s">
        <v>9534</v>
      </c>
    </row>
    <row r="332" spans="1:1">
      <c r="A332" s="37" t="s">
        <v>9535</v>
      </c>
    </row>
    <row r="333" spans="1:1">
      <c r="A333" s="36" t="s">
        <v>9536</v>
      </c>
    </row>
    <row r="334" spans="1:1">
      <c r="A334" s="36" t="s">
        <v>9537</v>
      </c>
    </row>
    <row r="335" spans="1:1">
      <c r="A335" s="36" t="s">
        <v>9309</v>
      </c>
    </row>
    <row r="336" spans="1:1">
      <c r="A336" s="36" t="s">
        <v>9538</v>
      </c>
    </row>
    <row r="337" spans="1:1">
      <c r="A337" s="36" t="s">
        <v>9539</v>
      </c>
    </row>
    <row r="338" spans="1:1">
      <c r="A338" s="36" t="s">
        <v>9540</v>
      </c>
    </row>
    <row r="339" spans="1:1">
      <c r="A339" s="37" t="s">
        <v>9541</v>
      </c>
    </row>
    <row r="340" spans="1:1">
      <c r="A340" s="37"/>
    </row>
    <row r="341" spans="1:1">
      <c r="A341" s="36" t="s">
        <v>9542</v>
      </c>
    </row>
    <row r="342" spans="1:1">
      <c r="A342" s="36" t="s">
        <v>9543</v>
      </c>
    </row>
    <row r="343" spans="1:1">
      <c r="A343" s="36" t="s">
        <v>9544</v>
      </c>
    </row>
    <row r="344" spans="1:1">
      <c r="A344" s="37" t="s">
        <v>9545</v>
      </c>
    </row>
    <row r="345" spans="1:1">
      <c r="A345" s="36" t="s">
        <v>9309</v>
      </c>
    </row>
    <row r="346" spans="1:1">
      <c r="A346" s="36" t="s">
        <v>9546</v>
      </c>
    </row>
    <row r="347" spans="1:1">
      <c r="A347" s="36" t="s">
        <v>9547</v>
      </c>
    </row>
    <row r="348" spans="1:1">
      <c r="A348" s="37" t="s">
        <v>9548</v>
      </c>
    </row>
    <row r="349" spans="1:1">
      <c r="A349" s="36" t="s">
        <v>9549</v>
      </c>
    </row>
    <row r="350" spans="1:1">
      <c r="A350" s="36" t="s">
        <v>9309</v>
      </c>
    </row>
    <row r="351" spans="1:1">
      <c r="A351" s="36" t="s">
        <v>9550</v>
      </c>
    </row>
    <row r="352" spans="1:1">
      <c r="A352" s="36" t="s">
        <v>9551</v>
      </c>
    </row>
    <row r="353" spans="1:1">
      <c r="A353" s="37" t="s">
        <v>9552</v>
      </c>
    </row>
    <row r="354" spans="1:1">
      <c r="A354" s="36" t="s">
        <v>9553</v>
      </c>
    </row>
    <row r="355" spans="1:1">
      <c r="A355" s="36" t="s">
        <v>9309</v>
      </c>
    </row>
    <row r="356" spans="1:1">
      <c r="A356" s="36" t="s">
        <v>9554</v>
      </c>
    </row>
    <row r="357" spans="1:1">
      <c r="A357" s="36" t="s">
        <v>9555</v>
      </c>
    </row>
    <row r="358" spans="1:1">
      <c r="A358" s="37" t="s">
        <v>9556</v>
      </c>
    </row>
    <row r="359" spans="1:1">
      <c r="A359" s="36" t="s">
        <v>9557</v>
      </c>
    </row>
    <row r="360" spans="1:1">
      <c r="A360" s="36" t="s">
        <v>9309</v>
      </c>
    </row>
    <row r="361" spans="1:1">
      <c r="A361" s="36" t="s">
        <v>9558</v>
      </c>
    </row>
    <row r="362" spans="1:1">
      <c r="A362" s="36" t="s">
        <v>9559</v>
      </c>
    </row>
    <row r="363" spans="1:1">
      <c r="A363" s="37" t="s">
        <v>9560</v>
      </c>
    </row>
    <row r="364" spans="1:1">
      <c r="A364" s="36" t="s">
        <v>9561</v>
      </c>
    </row>
    <row r="365" spans="1:1">
      <c r="A365" s="36" t="s">
        <v>9309</v>
      </c>
    </row>
    <row r="366" spans="1:1">
      <c r="A366" s="36" t="s">
        <v>9562</v>
      </c>
    </row>
    <row r="367" spans="1:1">
      <c r="A367" s="37" t="s">
        <v>9563</v>
      </c>
    </row>
    <row r="368" spans="1:1">
      <c r="A368" s="36" t="s">
        <v>9564</v>
      </c>
    </row>
    <row r="369" spans="1:1">
      <c r="A369" s="36" t="s">
        <v>9565</v>
      </c>
    </row>
    <row r="370" spans="1:1">
      <c r="A370" s="36" t="s">
        <v>9309</v>
      </c>
    </row>
    <row r="371" spans="1:1">
      <c r="A371" s="36" t="s">
        <v>9566</v>
      </c>
    </row>
    <row r="372" spans="1:1">
      <c r="A372" s="36" t="s">
        <v>9567</v>
      </c>
    </row>
    <row r="373" spans="1:1">
      <c r="A373" s="37" t="s">
        <v>9568</v>
      </c>
    </row>
    <row r="374" spans="1:1">
      <c r="A374" s="36" t="s">
        <v>9569</v>
      </c>
    </row>
    <row r="375" spans="1:1">
      <c r="A375" s="36" t="s">
        <v>9309</v>
      </c>
    </row>
    <row r="376" spans="1:1">
      <c r="A376" s="36" t="s">
        <v>9570</v>
      </c>
    </row>
    <row r="377" spans="1:1">
      <c r="A377" s="36" t="s">
        <v>3460</v>
      </c>
    </row>
    <row r="378" spans="1:1">
      <c r="A378" s="37" t="s">
        <v>712</v>
      </c>
    </row>
    <row r="379" spans="1:1">
      <c r="A379" s="36" t="s">
        <v>9527</v>
      </c>
    </row>
    <row r="380" spans="1:1">
      <c r="A380" s="36" t="s">
        <v>9309</v>
      </c>
    </row>
    <row r="381" spans="1:1">
      <c r="A381" s="36" t="s">
        <v>9571</v>
      </c>
    </row>
    <row r="382" spans="1:1">
      <c r="A382" s="36" t="s">
        <v>3132</v>
      </c>
    </row>
    <row r="383" spans="1:1">
      <c r="A383" s="36" t="s">
        <v>3640</v>
      </c>
    </row>
    <row r="384" spans="1:1">
      <c r="A384" s="37" t="s">
        <v>9572</v>
      </c>
    </row>
    <row r="385" spans="1:1">
      <c r="A385" s="36" t="s">
        <v>9309</v>
      </c>
    </row>
    <row r="386" spans="1:1">
      <c r="A386" s="36" t="s">
        <v>9573</v>
      </c>
    </row>
    <row r="387" spans="1:1">
      <c r="A387" s="39">
        <v>0.12638888888888888</v>
      </c>
    </row>
    <row r="388" spans="1:1">
      <c r="A388" s="40">
        <v>0.16874999999999998</v>
      </c>
    </row>
    <row r="389" spans="1:1">
      <c r="A389" s="40">
        <v>0.20833333333333334</v>
      </c>
    </row>
    <row r="390" spans="1:1">
      <c r="A390" s="36" t="s">
        <v>9309</v>
      </c>
    </row>
    <row r="391" spans="1:1">
      <c r="A391" s="36" t="s">
        <v>9574</v>
      </c>
    </row>
    <row r="392" spans="1:1">
      <c r="A392" s="36" t="s">
        <v>9575</v>
      </c>
    </row>
    <row r="393" spans="1:1">
      <c r="A393" s="37" t="s">
        <v>9576</v>
      </c>
    </row>
    <row r="394" spans="1:1">
      <c r="A394" s="36" t="s">
        <v>9577</v>
      </c>
    </row>
    <row r="395" spans="1:1">
      <c r="A395" s="36" t="s">
        <v>9309</v>
      </c>
    </row>
    <row r="396" spans="1:1">
      <c r="A396" s="36" t="s">
        <v>9578</v>
      </c>
    </row>
    <row r="397" spans="1:1">
      <c r="A397" s="36" t="s">
        <v>9579</v>
      </c>
    </row>
    <row r="398" spans="1:1">
      <c r="A398" s="37" t="s">
        <v>9580</v>
      </c>
    </row>
    <row r="399" spans="1:1">
      <c r="A399" s="36" t="s">
        <v>9581</v>
      </c>
    </row>
    <row r="400" spans="1:1">
      <c r="A400" s="36" t="s">
        <v>9309</v>
      </c>
    </row>
    <row r="401" spans="1:1">
      <c r="A401" s="36" t="s">
        <v>9582</v>
      </c>
    </row>
    <row r="402" spans="1:1">
      <c r="A402" s="36" t="s">
        <v>7652</v>
      </c>
    </row>
    <row r="403" spans="1:1">
      <c r="A403" s="37" t="s">
        <v>6035</v>
      </c>
    </row>
    <row r="404" spans="1:1">
      <c r="A404" s="36" t="s">
        <v>7653</v>
      </c>
    </row>
    <row r="405" spans="1:1">
      <c r="A405" s="36" t="s">
        <v>9309</v>
      </c>
    </row>
    <row r="406" spans="1:1">
      <c r="A406" s="36" t="s">
        <v>9583</v>
      </c>
    </row>
    <row r="407" spans="1:1">
      <c r="A407" s="37" t="s">
        <v>712</v>
      </c>
    </row>
    <row r="408" spans="1:1">
      <c r="A408" s="36" t="s">
        <v>9584</v>
      </c>
    </row>
    <row r="409" spans="1:1">
      <c r="A409" s="36" t="s">
        <v>9527</v>
      </c>
    </row>
    <row r="410" spans="1:1">
      <c r="A410" s="36" t="s">
        <v>9309</v>
      </c>
    </row>
    <row r="411" spans="1:1">
      <c r="A411" s="36" t="s">
        <v>9585</v>
      </c>
    </row>
    <row r="412" spans="1:1">
      <c r="A412" s="36" t="s">
        <v>9586</v>
      </c>
    </row>
    <row r="413" spans="1:1">
      <c r="A413" s="37" t="s">
        <v>9587</v>
      </c>
    </row>
    <row r="414" spans="1:1">
      <c r="A414" s="36" t="s">
        <v>9588</v>
      </c>
    </row>
    <row r="415" spans="1:1">
      <c r="A415" s="36" t="s">
        <v>9309</v>
      </c>
    </row>
    <row r="416" spans="1:1">
      <c r="A416" s="36" t="s">
        <v>9589</v>
      </c>
    </row>
    <row r="417" spans="1:1">
      <c r="A417" s="36" t="s">
        <v>9590</v>
      </c>
    </row>
    <row r="418" spans="1:1">
      <c r="A418" s="37" t="s">
        <v>9591</v>
      </c>
    </row>
    <row r="419" spans="1:1">
      <c r="A419" s="36" t="s">
        <v>9592</v>
      </c>
    </row>
    <row r="420" spans="1:1">
      <c r="A420" s="36" t="s">
        <v>9309</v>
      </c>
    </row>
    <row r="421" spans="1:1">
      <c r="A421" s="38" t="s">
        <v>23</v>
      </c>
    </row>
    <row r="422" spans="1:1">
      <c r="A422" s="36" t="s">
        <v>24</v>
      </c>
    </row>
    <row r="423" spans="1:1">
      <c r="A423" s="37" t="s">
        <v>9593</v>
      </c>
    </row>
    <row r="424" spans="1:1">
      <c r="A424" s="36" t="s">
        <v>26</v>
      </c>
    </row>
    <row r="425" spans="1:1">
      <c r="A425" s="36" t="s">
        <v>9309</v>
      </c>
    </row>
    <row r="426" spans="1:1">
      <c r="A426" s="36" t="s">
        <v>9594</v>
      </c>
    </row>
    <row r="427" spans="1:1">
      <c r="A427" s="36" t="s">
        <v>9595</v>
      </c>
    </row>
    <row r="428" spans="1:1">
      <c r="A428" s="37" t="s">
        <v>9596</v>
      </c>
    </row>
    <row r="429" spans="1:1">
      <c r="A429" s="36" t="s">
        <v>9597</v>
      </c>
    </row>
    <row r="430" spans="1:1">
      <c r="A430" s="36" t="s">
        <v>9309</v>
      </c>
    </row>
    <row r="431" spans="1:1">
      <c r="A431" s="36" t="s">
        <v>9598</v>
      </c>
    </row>
    <row r="432" spans="1:1">
      <c r="A432" s="36" t="s">
        <v>965</v>
      </c>
    </row>
    <row r="433" spans="1:1">
      <c r="A433" s="38" t="s">
        <v>2107</v>
      </c>
    </row>
    <row r="434" spans="1:1">
      <c r="A434" s="37" t="s">
        <v>9599</v>
      </c>
    </row>
    <row r="435" spans="1:1">
      <c r="A435" s="36" t="s">
        <v>9309</v>
      </c>
    </row>
    <row r="436" spans="1:1">
      <c r="A436" s="36" t="s">
        <v>9600</v>
      </c>
    </row>
    <row r="437" spans="1:1">
      <c r="A437" s="36" t="s">
        <v>9601</v>
      </c>
    </row>
    <row r="438" spans="1:1">
      <c r="A438" s="37" t="s">
        <v>936</v>
      </c>
    </row>
    <row r="439" spans="1:1">
      <c r="A439" s="36" t="s">
        <v>9602</v>
      </c>
    </row>
    <row r="440" spans="1:1">
      <c r="A440" s="36"/>
    </row>
    <row r="441" spans="1:1">
      <c r="A441" s="36" t="s">
        <v>9603</v>
      </c>
    </row>
    <row r="442" spans="1:1">
      <c r="A442" s="37" t="s">
        <v>9604</v>
      </c>
    </row>
    <row r="443" spans="1:1">
      <c r="A443" s="36" t="s">
        <v>1594</v>
      </c>
    </row>
    <row r="444" spans="1:1">
      <c r="A444" s="36" t="s">
        <v>9605</v>
      </c>
    </row>
    <row r="445" spans="1:1">
      <c r="A445" s="36" t="s">
        <v>9309</v>
      </c>
    </row>
    <row r="446" spans="1:1">
      <c r="A446" s="36" t="s">
        <v>9606</v>
      </c>
    </row>
    <row r="447" spans="1:1">
      <c r="A447" s="37" t="s">
        <v>9607</v>
      </c>
    </row>
    <row r="448" spans="1:1">
      <c r="A448" s="36" t="s">
        <v>9608</v>
      </c>
    </row>
    <row r="449" spans="1:1">
      <c r="A449" s="36" t="s">
        <v>9609</v>
      </c>
    </row>
    <row r="450" spans="1:1">
      <c r="A450" s="36" t="s">
        <v>9309</v>
      </c>
    </row>
    <row r="451" spans="1:1">
      <c r="A451" s="36" t="s">
        <v>9610</v>
      </c>
    </row>
    <row r="452" spans="1:1">
      <c r="A452" s="36" t="s">
        <v>9611</v>
      </c>
    </row>
    <row r="453" spans="1:1">
      <c r="A453" s="37" t="s">
        <v>9612</v>
      </c>
    </row>
    <row r="454" spans="1:1">
      <c r="A454" s="36" t="s">
        <v>9613</v>
      </c>
    </row>
    <row r="455" spans="1:1">
      <c r="A455" s="36" t="s">
        <v>9309</v>
      </c>
    </row>
    <row r="456" spans="1:1">
      <c r="A456" s="36" t="s">
        <v>9614</v>
      </c>
    </row>
    <row r="457" spans="1:1">
      <c r="A457" s="36" t="s">
        <v>9314</v>
      </c>
    </row>
    <row r="458" spans="1:1">
      <c r="A458" s="37" t="s">
        <v>9615</v>
      </c>
    </row>
    <row r="459" spans="1:1">
      <c r="A459" s="36" t="s">
        <v>9616</v>
      </c>
    </row>
    <row r="460" spans="1:1">
      <c r="A460" s="36" t="s">
        <v>9309</v>
      </c>
    </row>
    <row r="461" spans="1:1">
      <c r="A461" s="36" t="s">
        <v>9617</v>
      </c>
    </row>
    <row r="462" spans="1:1">
      <c r="A462" s="36" t="s">
        <v>2456</v>
      </c>
    </row>
    <row r="463" spans="1:1">
      <c r="A463" s="36" t="s">
        <v>9618</v>
      </c>
    </row>
    <row r="464" spans="1:1">
      <c r="A464" s="37" t="s">
        <v>9619</v>
      </c>
    </row>
    <row r="465" spans="1:1">
      <c r="A465" s="37"/>
    </row>
    <row r="466" spans="1:1">
      <c r="A466" s="36" t="s">
        <v>9620</v>
      </c>
    </row>
    <row r="467" spans="1:1">
      <c r="A467" s="36" t="s">
        <v>9621</v>
      </c>
    </row>
    <row r="468" spans="1:1">
      <c r="A468" s="37" t="s">
        <v>22</v>
      </c>
    </row>
    <row r="469" spans="1:1">
      <c r="A469" s="36" t="s">
        <v>9622</v>
      </c>
    </row>
    <row r="470" spans="1:1">
      <c r="A470" s="36" t="s">
        <v>9309</v>
      </c>
    </row>
    <row r="471" spans="1:1">
      <c r="A471" s="36" t="s">
        <v>9623</v>
      </c>
    </row>
    <row r="472" spans="1:1">
      <c r="A472" s="37" t="s">
        <v>9624</v>
      </c>
    </row>
    <row r="473" spans="1:1">
      <c r="A473" s="36" t="s">
        <v>9625</v>
      </c>
    </row>
    <row r="474" spans="1:1">
      <c r="A474" s="36" t="s">
        <v>9626</v>
      </c>
    </row>
    <row r="475" spans="1:1">
      <c r="A475" s="36" t="s">
        <v>9309</v>
      </c>
    </row>
    <row r="476" spans="1:1">
      <c r="A476" s="36" t="s">
        <v>9627</v>
      </c>
    </row>
    <row r="477" spans="1:1">
      <c r="A477" s="36" t="s">
        <v>9628</v>
      </c>
    </row>
    <row r="478" spans="1:1">
      <c r="A478" s="36" t="s">
        <v>9629</v>
      </c>
    </row>
    <row r="479" spans="1:1">
      <c r="A479" s="37" t="s">
        <v>9630</v>
      </c>
    </row>
    <row r="481" spans="1:1">
      <c r="A481" s="36" t="s">
        <v>9631</v>
      </c>
    </row>
    <row r="482" spans="1:1">
      <c r="A482" s="36" t="s">
        <v>1241</v>
      </c>
    </row>
    <row r="483" spans="1:1">
      <c r="A483" s="36" t="s">
        <v>9632</v>
      </c>
    </row>
    <row r="484" spans="1:1">
      <c r="A484" s="37" t="s">
        <v>9633</v>
      </c>
    </row>
    <row r="485" spans="1:1">
      <c r="A485" s="36" t="s">
        <v>9309</v>
      </c>
    </row>
    <row r="486" spans="1:1">
      <c r="A486" s="36" t="s">
        <v>9634</v>
      </c>
    </row>
    <row r="487" spans="1:1">
      <c r="A487" s="36" t="s">
        <v>3567</v>
      </c>
    </row>
    <row r="488" spans="1:1">
      <c r="A488" s="37" t="s">
        <v>936</v>
      </c>
    </row>
    <row r="489" spans="1:1">
      <c r="A489" s="36" t="s">
        <v>409</v>
      </c>
    </row>
    <row r="490" spans="1:1">
      <c r="A490" s="36" t="s">
        <v>9309</v>
      </c>
    </row>
    <row r="491" spans="1:1">
      <c r="A491" s="36" t="s">
        <v>9635</v>
      </c>
    </row>
    <row r="492" spans="1:1">
      <c r="A492" s="36" t="s">
        <v>9636</v>
      </c>
    </row>
    <row r="493" spans="1:1">
      <c r="A493" s="37" t="s">
        <v>9637</v>
      </c>
    </row>
    <row r="494" spans="1:1">
      <c r="A494" s="36" t="s">
        <v>9638</v>
      </c>
    </row>
    <row r="495" spans="1:1">
      <c r="A495" s="36" t="s">
        <v>9309</v>
      </c>
    </row>
    <row r="496" spans="1:1">
      <c r="A496" s="36" t="s">
        <v>9639</v>
      </c>
    </row>
    <row r="497" spans="1:1">
      <c r="A497" s="36" t="s">
        <v>9640</v>
      </c>
    </row>
    <row r="498" spans="1:1">
      <c r="A498" s="37" t="s">
        <v>9641</v>
      </c>
    </row>
    <row r="499" spans="1:1">
      <c r="A499" s="36" t="s">
        <v>9642</v>
      </c>
    </row>
    <row r="500" spans="1:1">
      <c r="A500" s="36" t="s">
        <v>9309</v>
      </c>
    </row>
    <row r="501" spans="1:1">
      <c r="A501" s="36" t="s">
        <v>9643</v>
      </c>
    </row>
    <row r="502" spans="1:1">
      <c r="A502" s="36" t="s">
        <v>9644</v>
      </c>
    </row>
    <row r="503" spans="1:1">
      <c r="A503" s="36" t="s">
        <v>9645</v>
      </c>
    </row>
    <row r="504" spans="1:1">
      <c r="A504" s="37" t="s">
        <v>9646</v>
      </c>
    </row>
    <row r="505" spans="1:1">
      <c r="A505" s="37"/>
    </row>
    <row r="506" spans="1:1">
      <c r="A506" s="36" t="s">
        <v>9647</v>
      </c>
    </row>
    <row r="507" spans="1:1">
      <c r="A507" s="36" t="s">
        <v>9648</v>
      </c>
    </row>
    <row r="508" spans="1:1">
      <c r="A508" s="37" t="s">
        <v>9649</v>
      </c>
    </row>
    <row r="509" spans="1:1">
      <c r="A509" s="36" t="s">
        <v>9650</v>
      </c>
    </row>
    <row r="510" spans="1:1">
      <c r="A510" s="36" t="s">
        <v>9309</v>
      </c>
    </row>
    <row r="511" spans="1:1">
      <c r="A511" s="36" t="s">
        <v>9651</v>
      </c>
    </row>
    <row r="512" spans="1:1">
      <c r="A512" s="37" t="s">
        <v>9652</v>
      </c>
    </row>
    <row r="513" spans="1:1">
      <c r="A513" s="36" t="s">
        <v>9653</v>
      </c>
    </row>
    <row r="514" spans="1:1">
      <c r="A514" s="36" t="s">
        <v>9654</v>
      </c>
    </row>
    <row r="515" spans="1:1">
      <c r="A515" s="36" t="s">
        <v>9309</v>
      </c>
    </row>
    <row r="516" spans="1:1">
      <c r="A516" s="36" t="s">
        <v>9655</v>
      </c>
    </row>
    <row r="517" spans="1:1">
      <c r="A517" s="36" t="s">
        <v>395</v>
      </c>
    </row>
    <row r="518" spans="1:1">
      <c r="A518" s="37" t="s">
        <v>9656</v>
      </c>
    </row>
    <row r="519" spans="1:1">
      <c r="A519" s="36" t="s">
        <v>556</v>
      </c>
    </row>
    <row r="520" spans="1:1">
      <c r="A520" s="36" t="s">
        <v>9309</v>
      </c>
    </row>
    <row r="521" spans="1:1">
      <c r="A521" s="36" t="s">
        <v>9657</v>
      </c>
    </row>
    <row r="522" spans="1:1">
      <c r="A522" s="36" t="s">
        <v>9658</v>
      </c>
    </row>
    <row r="523" spans="1:1">
      <c r="A523" s="36" t="s">
        <v>9659</v>
      </c>
    </row>
    <row r="524" spans="1:1">
      <c r="A524" s="37" t="s">
        <v>9660</v>
      </c>
    </row>
    <row r="525" spans="1:1">
      <c r="A525" s="37"/>
    </row>
    <row r="526" spans="1:1">
      <c r="A526" s="36" t="s">
        <v>9661</v>
      </c>
    </row>
    <row r="527" spans="1:1">
      <c r="A527" s="36" t="s">
        <v>9662</v>
      </c>
    </row>
    <row r="528" spans="1:1">
      <c r="A528" s="36" t="s">
        <v>9663</v>
      </c>
    </row>
    <row r="529" spans="1:1">
      <c r="A529" s="37" t="s">
        <v>9664</v>
      </c>
    </row>
    <row r="530" spans="1:1">
      <c r="A530" s="36" t="s">
        <v>9309</v>
      </c>
    </row>
    <row r="531" spans="1:1">
      <c r="A531" s="36" t="s">
        <v>9665</v>
      </c>
    </row>
    <row r="532" spans="1:1">
      <c r="A532" s="36" t="s">
        <v>9666</v>
      </c>
    </row>
    <row r="533" spans="1:1">
      <c r="A533" s="37" t="s">
        <v>9667</v>
      </c>
    </row>
    <row r="534" spans="1:1">
      <c r="A534" s="36" t="s">
        <v>2</v>
      </c>
    </row>
    <row r="535" spans="1:1">
      <c r="A535" s="36" t="s">
        <v>9309</v>
      </c>
    </row>
    <row r="536" spans="1:1">
      <c r="A536" s="36" t="s">
        <v>9668</v>
      </c>
    </row>
    <row r="537" spans="1:1">
      <c r="A537" s="36" t="s">
        <v>9669</v>
      </c>
    </row>
    <row r="538" spans="1:1">
      <c r="A538" s="36" t="s">
        <v>9670</v>
      </c>
    </row>
    <row r="539" spans="1:1">
      <c r="A539" s="37" t="s">
        <v>9671</v>
      </c>
    </row>
    <row r="540" spans="1:1">
      <c r="A540" s="36"/>
    </row>
    <row r="541" spans="1:1">
      <c r="A541" s="36" t="s">
        <v>9672</v>
      </c>
    </row>
    <row r="542" spans="1:1">
      <c r="A542" s="37" t="s">
        <v>9673</v>
      </c>
    </row>
    <row r="543" spans="1:1">
      <c r="A543" s="36" t="s">
        <v>9674</v>
      </c>
    </row>
    <row r="544" spans="1:1">
      <c r="A544" s="36" t="s">
        <v>9675</v>
      </c>
    </row>
    <row r="545" spans="1:1">
      <c r="A545" s="36" t="s">
        <v>9309</v>
      </c>
    </row>
    <row r="546" spans="1:1">
      <c r="A546" s="36" t="s">
        <v>9676</v>
      </c>
    </row>
    <row r="547" spans="1:1">
      <c r="A547" s="36" t="s">
        <v>9677</v>
      </c>
    </row>
    <row r="548" spans="1:1">
      <c r="A548" s="36" t="s">
        <v>9678</v>
      </c>
    </row>
    <row r="549" spans="1:1">
      <c r="A549" s="37" t="s">
        <v>9679</v>
      </c>
    </row>
    <row r="550" spans="1:1">
      <c r="A550" s="36" t="s">
        <v>9309</v>
      </c>
    </row>
    <row r="551" spans="1:1">
      <c r="A551" s="36" t="s">
        <v>9680</v>
      </c>
    </row>
    <row r="552" spans="1:1">
      <c r="A552" s="36" t="s">
        <v>9681</v>
      </c>
    </row>
    <row r="553" spans="1:1">
      <c r="A553" s="37" t="s">
        <v>9682</v>
      </c>
    </row>
    <row r="554" spans="1:1">
      <c r="A554" s="36" t="s">
        <v>3146</v>
      </c>
    </row>
    <row r="555" spans="1:1">
      <c r="A555" s="36" t="s">
        <v>9309</v>
      </c>
    </row>
    <row r="556" spans="1:1">
      <c r="A556" s="36" t="s">
        <v>9683</v>
      </c>
    </row>
    <row r="557" spans="1:1">
      <c r="A557" s="37" t="s">
        <v>9684</v>
      </c>
    </row>
    <row r="558" spans="1:1">
      <c r="A558" s="36" t="s">
        <v>9685</v>
      </c>
    </row>
    <row r="559" spans="1:1">
      <c r="A559" s="36" t="s">
        <v>9686</v>
      </c>
    </row>
    <row r="560" spans="1:1">
      <c r="A560" s="36" t="s">
        <v>9309</v>
      </c>
    </row>
    <row r="561" spans="1:1">
      <c r="A561" s="36" t="s">
        <v>9687</v>
      </c>
    </row>
    <row r="562" spans="1:1">
      <c r="A562" s="36" t="s">
        <v>9688</v>
      </c>
    </row>
    <row r="563" spans="1:1">
      <c r="A563" s="37" t="s">
        <v>9689</v>
      </c>
    </row>
    <row r="564" spans="1:1">
      <c r="A564" s="36" t="s">
        <v>9690</v>
      </c>
    </row>
    <row r="565" spans="1:1">
      <c r="A565" s="36" t="s">
        <v>9309</v>
      </c>
    </row>
    <row r="566" spans="1:1">
      <c r="A566" s="36" t="s">
        <v>9691</v>
      </c>
    </row>
    <row r="567" spans="1:1">
      <c r="A567" s="36" t="s">
        <v>1327</v>
      </c>
    </row>
    <row r="568" spans="1:1">
      <c r="A568" s="37" t="s">
        <v>9692</v>
      </c>
    </row>
    <row r="569" spans="1:1">
      <c r="A569" s="36" t="s">
        <v>521</v>
      </c>
    </row>
    <row r="570" spans="1:1">
      <c r="A570" s="36" t="s">
        <v>9309</v>
      </c>
    </row>
    <row r="571" spans="1:1">
      <c r="A571" s="36" t="s">
        <v>9693</v>
      </c>
    </row>
    <row r="572" spans="1:1">
      <c r="A572" s="36" t="s">
        <v>9519</v>
      </c>
    </row>
    <row r="573" spans="1:1">
      <c r="A573" s="36" t="s">
        <v>9694</v>
      </c>
    </row>
    <row r="574" spans="1:1">
      <c r="A574" s="37" t="s">
        <v>9695</v>
      </c>
    </row>
    <row r="575" spans="1:1">
      <c r="A575" s="36" t="s">
        <v>9309</v>
      </c>
    </row>
    <row r="576" spans="1:1">
      <c r="A576" s="36" t="s">
        <v>9696</v>
      </c>
    </row>
    <row r="577" spans="1:1">
      <c r="A577" s="37" t="s">
        <v>9697</v>
      </c>
    </row>
    <row r="578" spans="1:1">
      <c r="A578" s="36" t="s">
        <v>9698</v>
      </c>
    </row>
    <row r="579" spans="1:1">
      <c r="A579" s="36" t="s">
        <v>9699</v>
      </c>
    </row>
    <row r="580" spans="1:1">
      <c r="A580" s="36"/>
    </row>
    <row r="581" spans="1:1">
      <c r="A581" s="36" t="s">
        <v>9700</v>
      </c>
    </row>
    <row r="582" spans="1:1">
      <c r="A582" s="36" t="s">
        <v>9701</v>
      </c>
    </row>
    <row r="583" spans="1:1">
      <c r="A583" s="37" t="s">
        <v>9702</v>
      </c>
    </row>
    <row r="584" spans="1:1">
      <c r="A584" s="36" t="s">
        <v>9703</v>
      </c>
    </row>
    <row r="585" spans="1:1">
      <c r="A585" s="36" t="s">
        <v>9309</v>
      </c>
    </row>
    <row r="586" spans="1:1">
      <c r="A586" s="36" t="s">
        <v>9704</v>
      </c>
    </row>
    <row r="587" spans="1:1">
      <c r="A587" s="36" t="s">
        <v>9705</v>
      </c>
    </row>
    <row r="588" spans="1:1">
      <c r="A588" s="37" t="s">
        <v>9706</v>
      </c>
    </row>
    <row r="589" spans="1:1">
      <c r="A589" s="36" t="s">
        <v>9707</v>
      </c>
    </row>
    <row r="590" spans="1:1">
      <c r="A590" s="36" t="s">
        <v>9309</v>
      </c>
    </row>
    <row r="591" spans="1:1">
      <c r="A591" s="36" t="s">
        <v>9708</v>
      </c>
    </row>
    <row r="592" spans="1:1">
      <c r="A592" s="36" t="s">
        <v>9709</v>
      </c>
    </row>
    <row r="593" spans="1:1">
      <c r="A593" s="36" t="s">
        <v>9710</v>
      </c>
    </row>
    <row r="594" spans="1:1">
      <c r="A594" s="37" t="s">
        <v>9711</v>
      </c>
    </row>
    <row r="595" spans="1:1">
      <c r="A595" s="36" t="s">
        <v>9309</v>
      </c>
    </row>
    <row r="596" spans="1:1">
      <c r="A596" s="36" t="s">
        <v>9712</v>
      </c>
    </row>
    <row r="597" spans="1:1">
      <c r="A597" s="36" t="s">
        <v>9713</v>
      </c>
    </row>
    <row r="598" spans="1:1">
      <c r="A598" s="37" t="s">
        <v>9714</v>
      </c>
    </row>
    <row r="599" spans="1:1">
      <c r="A599" s="36" t="s">
        <v>9715</v>
      </c>
    </row>
    <row r="600" spans="1:1">
      <c r="A600" s="36"/>
    </row>
    <row r="601" spans="1:1">
      <c r="A601" s="36" t="s">
        <v>9716</v>
      </c>
    </row>
    <row r="602" spans="1:1">
      <c r="A602" s="36" t="s">
        <v>9717</v>
      </c>
    </row>
    <row r="603" spans="1:1">
      <c r="A603" s="36" t="s">
        <v>9718</v>
      </c>
    </row>
    <row r="604" spans="1:1">
      <c r="A604" s="37" t="s">
        <v>9719</v>
      </c>
    </row>
    <row r="605" spans="1:1">
      <c r="A605" s="36" t="s">
        <v>9309</v>
      </c>
    </row>
    <row r="606" spans="1:1">
      <c r="A606" s="36" t="s">
        <v>9720</v>
      </c>
    </row>
    <row r="607" spans="1:1">
      <c r="A607" s="37" t="s">
        <v>9721</v>
      </c>
    </row>
    <row r="608" spans="1:1">
      <c r="A608" s="36" t="s">
        <v>9722</v>
      </c>
    </row>
    <row r="609" spans="1:1">
      <c r="A609" s="36" t="s">
        <v>9723</v>
      </c>
    </row>
    <row r="610" spans="1:1">
      <c r="A610" s="36"/>
    </row>
    <row r="611" spans="1:1">
      <c r="A611" s="36" t="s">
        <v>9724</v>
      </c>
    </row>
    <row r="612" spans="1:1">
      <c r="A612" s="37" t="s">
        <v>9725</v>
      </c>
    </row>
    <row r="613" spans="1:1">
      <c r="A613" s="36" t="s">
        <v>892</v>
      </c>
    </row>
    <row r="614" spans="1:1">
      <c r="A614" s="36" t="s">
        <v>3268</v>
      </c>
    </row>
    <row r="615" spans="1:1">
      <c r="A615" s="36" t="s">
        <v>9309</v>
      </c>
    </row>
    <row r="616" spans="1:1">
      <c r="A616" s="36" t="s">
        <v>9726</v>
      </c>
    </row>
    <row r="617" spans="1:1">
      <c r="A617" s="36" t="s">
        <v>9727</v>
      </c>
    </row>
    <row r="618" spans="1:1">
      <c r="A618" s="37" t="s">
        <v>9728</v>
      </c>
    </row>
    <row r="619" spans="1:1">
      <c r="A619" s="36" t="s">
        <v>9729</v>
      </c>
    </row>
    <row r="620" spans="1:1">
      <c r="A620" s="36" t="s">
        <v>9309</v>
      </c>
    </row>
    <row r="621" spans="1:1">
      <c r="A621" s="36" t="s">
        <v>9730</v>
      </c>
    </row>
    <row r="622" spans="1:1">
      <c r="A622" s="37" t="s">
        <v>9731</v>
      </c>
    </row>
    <row r="623" spans="1:1">
      <c r="A623" s="36" t="s">
        <v>9732</v>
      </c>
    </row>
    <row r="624" spans="1:1">
      <c r="A624" s="36" t="s">
        <v>9733</v>
      </c>
    </row>
    <row r="625" spans="1:1">
      <c r="A625" s="36" t="s">
        <v>9309</v>
      </c>
    </row>
    <row r="626" spans="1:1">
      <c r="A626" s="36" t="s">
        <v>9734</v>
      </c>
    </row>
    <row r="627" spans="1:1">
      <c r="A627" s="36" t="s">
        <v>9735</v>
      </c>
    </row>
    <row r="628" spans="1:1">
      <c r="A628" s="37" t="s">
        <v>9736</v>
      </c>
    </row>
    <row r="629" spans="1:1">
      <c r="A629" s="36" t="s">
        <v>9737</v>
      </c>
    </row>
    <row r="630" spans="1:1">
      <c r="A630" s="36" t="s">
        <v>9309</v>
      </c>
    </row>
    <row r="631" spans="1:1">
      <c r="A631" s="36" t="s">
        <v>9738</v>
      </c>
    </row>
    <row r="632" spans="1:1">
      <c r="A632" s="37" t="s">
        <v>9739</v>
      </c>
    </row>
    <row r="633" spans="1:1">
      <c r="A633" s="36" t="s">
        <v>9740</v>
      </c>
    </row>
    <row r="634" spans="1:1">
      <c r="A634" s="36" t="s">
        <v>9741</v>
      </c>
    </row>
    <row r="635" spans="1:1">
      <c r="A635" s="36" t="s">
        <v>9309</v>
      </c>
    </row>
    <row r="636" spans="1:1">
      <c r="A636" s="36" t="s">
        <v>9742</v>
      </c>
    </row>
    <row r="637" spans="1:1">
      <c r="A637" s="37" t="s">
        <v>635</v>
      </c>
    </row>
    <row r="638" spans="1:1">
      <c r="A638" s="36" t="s">
        <v>636</v>
      </c>
    </row>
    <row r="639" spans="1:1">
      <c r="A639" s="36" t="s">
        <v>634</v>
      </c>
    </row>
    <row r="640" spans="1:1">
      <c r="A640" s="36"/>
    </row>
    <row r="641" spans="1:1">
      <c r="A641" s="36" t="s">
        <v>9743</v>
      </c>
    </row>
    <row r="642" spans="1:1">
      <c r="A642" s="36" t="s">
        <v>9744</v>
      </c>
    </row>
    <row r="643" spans="1:1">
      <c r="A643" s="36" t="s">
        <v>9745</v>
      </c>
    </row>
    <row r="644" spans="1:1">
      <c r="A644" s="37" t="s">
        <v>9746</v>
      </c>
    </row>
    <row r="645" spans="1:1">
      <c r="A645" s="37"/>
    </row>
    <row r="646" spans="1:1">
      <c r="A646" s="36" t="s">
        <v>9747</v>
      </c>
    </row>
    <row r="647" spans="1:1">
      <c r="A647" s="36" t="s">
        <v>9748</v>
      </c>
    </row>
    <row r="648" spans="1:1">
      <c r="A648" s="37" t="s">
        <v>9749</v>
      </c>
    </row>
    <row r="649" spans="1:1">
      <c r="A649" s="36" t="s">
        <v>9750</v>
      </c>
    </row>
    <row r="650" spans="1:1">
      <c r="A650" s="36"/>
    </row>
    <row r="651" spans="1:1">
      <c r="A651" s="36" t="s">
        <v>9751</v>
      </c>
    </row>
    <row r="652" spans="1:1">
      <c r="A652" s="36" t="s">
        <v>9752</v>
      </c>
    </row>
    <row r="653" spans="1:1">
      <c r="A653" s="36" t="s">
        <v>9753</v>
      </c>
    </row>
    <row r="654" spans="1:1">
      <c r="A654" s="37" t="s">
        <v>9754</v>
      </c>
    </row>
    <row r="655" spans="1:1">
      <c r="A655" s="36" t="s">
        <v>9309</v>
      </c>
    </row>
    <row r="656" spans="1:1">
      <c r="A656" s="36" t="s">
        <v>9755</v>
      </c>
    </row>
    <row r="657" spans="1:1">
      <c r="A657" s="36" t="s">
        <v>9756</v>
      </c>
    </row>
    <row r="658" spans="1:1">
      <c r="A658" s="36" t="s">
        <v>9757</v>
      </c>
    </row>
    <row r="659" spans="1:1">
      <c r="A659" s="37" t="s">
        <v>9505</v>
      </c>
    </row>
    <row r="660" spans="1:1">
      <c r="A660" s="36"/>
    </row>
    <row r="661" spans="1:1">
      <c r="A661" s="36" t="s">
        <v>9758</v>
      </c>
    </row>
    <row r="662" spans="1:1">
      <c r="A662" s="36" t="s">
        <v>9759</v>
      </c>
    </row>
    <row r="663" spans="1:1">
      <c r="A663" s="36" t="s">
        <v>9760</v>
      </c>
    </row>
    <row r="664" spans="1:1">
      <c r="A664" s="37" t="s">
        <v>9761</v>
      </c>
    </row>
    <row r="665" spans="1:1">
      <c r="A665" s="36" t="s">
        <v>9309</v>
      </c>
    </row>
    <row r="666" spans="1:1">
      <c r="A666" s="36" t="s">
        <v>9762</v>
      </c>
    </row>
    <row r="667" spans="1:1">
      <c r="A667" s="36" t="s">
        <v>9763</v>
      </c>
    </row>
    <row r="668" spans="1:1">
      <c r="A668" s="36" t="s">
        <v>9764</v>
      </c>
    </row>
    <row r="669" spans="1:1">
      <c r="A669" s="37" t="s">
        <v>9765</v>
      </c>
    </row>
    <row r="670" spans="1:1">
      <c r="A670" s="37"/>
    </row>
    <row r="671" spans="1:1">
      <c r="A671" s="36" t="s">
        <v>9766</v>
      </c>
    </row>
    <row r="672" spans="1:1">
      <c r="A672" s="36" t="s">
        <v>9767</v>
      </c>
    </row>
    <row r="673" spans="1:1">
      <c r="A673" s="37" t="s">
        <v>3284</v>
      </c>
    </row>
    <row r="674" spans="1:1">
      <c r="A674" s="36" t="s">
        <v>9768</v>
      </c>
    </row>
    <row r="675" spans="1:1">
      <c r="A675" s="36" t="s">
        <v>9309</v>
      </c>
    </row>
    <row r="676" spans="1:1">
      <c r="A676" s="36" t="s">
        <v>9769</v>
      </c>
    </row>
    <row r="677" spans="1:1">
      <c r="A677" s="36" t="s">
        <v>9770</v>
      </c>
    </row>
    <row r="678" spans="1:1">
      <c r="A678" s="36" t="s">
        <v>9771</v>
      </c>
    </row>
    <row r="679" spans="1:1">
      <c r="A679" s="37" t="s">
        <v>9772</v>
      </c>
    </row>
    <row r="680" spans="1:1">
      <c r="A680" s="36" t="s">
        <v>9309</v>
      </c>
    </row>
    <row r="681" spans="1:1">
      <c r="A681" s="36" t="s">
        <v>9773</v>
      </c>
    </row>
    <row r="682" spans="1:1">
      <c r="A682" s="36" t="s">
        <v>9774</v>
      </c>
    </row>
    <row r="683" spans="1:1">
      <c r="A683" s="36" t="s">
        <v>9775</v>
      </c>
    </row>
    <row r="684" spans="1:1">
      <c r="A684" s="37" t="s">
        <v>9776</v>
      </c>
    </row>
    <row r="685" spans="1:1">
      <c r="A685" s="36" t="s">
        <v>9309</v>
      </c>
    </row>
    <row r="686" spans="1:1">
      <c r="A686" s="36" t="s">
        <v>9777</v>
      </c>
    </row>
    <row r="687" spans="1:1">
      <c r="A687" s="36" t="s">
        <v>9778</v>
      </c>
    </row>
    <row r="688" spans="1:1">
      <c r="A688" s="36" t="s">
        <v>9779</v>
      </c>
    </row>
    <row r="689" spans="1:1">
      <c r="A689" s="37" t="s">
        <v>9780</v>
      </c>
    </row>
    <row r="690" spans="1:1">
      <c r="A690" s="36" t="s">
        <v>9309</v>
      </c>
    </row>
    <row r="691" spans="1:1">
      <c r="A691" s="36" t="s">
        <v>9781</v>
      </c>
    </row>
    <row r="692" spans="1:1">
      <c r="A692" s="37" t="s">
        <v>9782</v>
      </c>
    </row>
    <row r="693" spans="1:1">
      <c r="A693" s="36" t="s">
        <v>9783</v>
      </c>
    </row>
    <row r="694" spans="1:1">
      <c r="A694" s="36" t="s">
        <v>407</v>
      </c>
    </row>
    <row r="695" spans="1:1">
      <c r="A695" s="36" t="s">
        <v>9309</v>
      </c>
    </row>
    <row r="696" spans="1:1">
      <c r="A696" s="36" t="s">
        <v>9784</v>
      </c>
    </row>
    <row r="697" spans="1:1">
      <c r="A697" s="36" t="s">
        <v>9785</v>
      </c>
    </row>
    <row r="698" spans="1:1">
      <c r="A698" s="36" t="s">
        <v>9786</v>
      </c>
    </row>
    <row r="699" spans="1:1">
      <c r="A699" s="37" t="s">
        <v>9787</v>
      </c>
    </row>
    <row r="700" spans="1:1">
      <c r="A700" s="37"/>
    </row>
    <row r="701" spans="1:1">
      <c r="A701" s="36" t="s">
        <v>9788</v>
      </c>
    </row>
    <row r="702" spans="1:1">
      <c r="A702" s="36" t="s">
        <v>4512</v>
      </c>
    </row>
    <row r="703" spans="1:1">
      <c r="A703" s="36" t="s">
        <v>9789</v>
      </c>
    </row>
    <row r="704" spans="1:1">
      <c r="A704" s="37" t="s">
        <v>1778</v>
      </c>
    </row>
    <row r="705" spans="1:1">
      <c r="A705" s="37"/>
    </row>
    <row r="706" spans="1:1">
      <c r="A706" s="36" t="s">
        <v>9790</v>
      </c>
    </row>
    <row r="707" spans="1:1">
      <c r="A707" s="36" t="s">
        <v>9791</v>
      </c>
    </row>
    <row r="708" spans="1:1">
      <c r="A708" s="37" t="s">
        <v>9792</v>
      </c>
    </row>
    <row r="709" spans="1:1">
      <c r="A709" s="36" t="s">
        <v>9793</v>
      </c>
    </row>
    <row r="710" spans="1:1">
      <c r="A710" s="36" t="s">
        <v>9309</v>
      </c>
    </row>
    <row r="711" spans="1:1">
      <c r="A711" s="36" t="s">
        <v>9794</v>
      </c>
    </row>
    <row r="712" spans="1:1">
      <c r="A712" s="36" t="s">
        <v>9795</v>
      </c>
    </row>
    <row r="713" spans="1:1">
      <c r="A713" s="37" t="s">
        <v>9796</v>
      </c>
    </row>
    <row r="714" spans="1:1">
      <c r="A714" s="36" t="s">
        <v>9797</v>
      </c>
    </row>
    <row r="715" spans="1:1">
      <c r="A715" s="36" t="s">
        <v>9309</v>
      </c>
    </row>
    <row r="716" spans="1:1">
      <c r="A716" s="36" t="s">
        <v>9798</v>
      </c>
    </row>
    <row r="717" spans="1:1">
      <c r="A717" s="36" t="s">
        <v>9799</v>
      </c>
    </row>
    <row r="718" spans="1:1">
      <c r="A718" s="37" t="s">
        <v>9800</v>
      </c>
    </row>
    <row r="719" spans="1:1">
      <c r="A719" s="36" t="s">
        <v>9801</v>
      </c>
    </row>
    <row r="720" spans="1:1">
      <c r="A720" s="36" t="s">
        <v>9309</v>
      </c>
    </row>
    <row r="721" spans="1:1">
      <c r="A721" s="36" t="s">
        <v>9802</v>
      </c>
    </row>
    <row r="722" spans="1:1">
      <c r="A722" s="37" t="s">
        <v>9803</v>
      </c>
    </row>
    <row r="723" spans="1:1">
      <c r="A723" s="36" t="s">
        <v>3513</v>
      </c>
    </row>
    <row r="724" spans="1:1">
      <c r="A724" s="36" t="s">
        <v>9804</v>
      </c>
    </row>
    <row r="725" spans="1:1">
      <c r="A725" s="36" t="s">
        <v>9309</v>
      </c>
    </row>
    <row r="726" spans="1:1">
      <c r="A726" s="36" t="s">
        <v>9805</v>
      </c>
    </row>
    <row r="727" spans="1:1">
      <c r="A727" s="36" t="s">
        <v>9806</v>
      </c>
    </row>
    <row r="728" spans="1:1">
      <c r="A728" s="36" t="s">
        <v>9807</v>
      </c>
    </row>
    <row r="729" spans="1:1">
      <c r="A729" s="37" t="s">
        <v>9808</v>
      </c>
    </row>
    <row r="730" spans="1:1">
      <c r="A730" s="36" t="s">
        <v>9309</v>
      </c>
    </row>
    <row r="731" spans="1:1">
      <c r="A731" s="36" t="s">
        <v>9809</v>
      </c>
    </row>
    <row r="732" spans="1:1">
      <c r="A732" s="36" t="s">
        <v>9810</v>
      </c>
    </row>
    <row r="733" spans="1:1">
      <c r="A733" s="37" t="s">
        <v>9811</v>
      </c>
    </row>
    <row r="734" spans="1:1">
      <c r="A734" s="36" t="s">
        <v>9812</v>
      </c>
    </row>
    <row r="735" spans="1:1">
      <c r="A735" s="36" t="s">
        <v>9309</v>
      </c>
    </row>
    <row r="736" spans="1:1">
      <c r="A736" s="36" t="s">
        <v>9813</v>
      </c>
    </row>
    <row r="737" spans="1:1">
      <c r="A737" s="36" t="s">
        <v>9814</v>
      </c>
    </row>
    <row r="738" spans="1:1">
      <c r="A738" s="36" t="s">
        <v>9815</v>
      </c>
    </row>
    <row r="739" spans="1:1">
      <c r="A739" s="37" t="s">
        <v>9816</v>
      </c>
    </row>
    <row r="740" spans="1:1">
      <c r="A740" s="36" t="s">
        <v>9309</v>
      </c>
    </row>
    <row r="741" spans="1:1">
      <c r="A741" s="36" t="s">
        <v>9817</v>
      </c>
    </row>
    <row r="742" spans="1:1">
      <c r="A742" s="36" t="s">
        <v>9818</v>
      </c>
    </row>
    <row r="743" spans="1:1">
      <c r="A743" s="37" t="s">
        <v>9819</v>
      </c>
    </row>
    <row r="744" spans="1:1">
      <c r="A744" s="36" t="s">
        <v>9820</v>
      </c>
    </row>
    <row r="745" spans="1:1">
      <c r="A745" s="36" t="s">
        <v>9309</v>
      </c>
    </row>
    <row r="746" spans="1:1">
      <c r="A746" s="36" t="s">
        <v>6107</v>
      </c>
    </row>
    <row r="747" spans="1:1">
      <c r="A747" s="36" t="s">
        <v>9821</v>
      </c>
    </row>
    <row r="748" spans="1:1">
      <c r="A748" s="36" t="s">
        <v>9822</v>
      </c>
    </row>
    <row r="749" spans="1:1">
      <c r="A749" s="37" t="s">
        <v>9823</v>
      </c>
    </row>
    <row r="750" spans="1:1">
      <c r="A750" s="36" t="s">
        <v>9309</v>
      </c>
    </row>
    <row r="751" spans="1:1">
      <c r="A751" s="36" t="s">
        <v>9824</v>
      </c>
    </row>
    <row r="752" spans="1:1">
      <c r="A752" s="36" t="s">
        <v>9825</v>
      </c>
    </row>
    <row r="753" spans="1:1">
      <c r="A753" s="37" t="s">
        <v>9826</v>
      </c>
    </row>
    <row r="754" spans="1:1">
      <c r="A754" s="36" t="s">
        <v>9827</v>
      </c>
    </row>
    <row r="755" spans="1:1">
      <c r="A755" s="36" t="s">
        <v>9309</v>
      </c>
    </row>
    <row r="756" spans="1:1">
      <c r="A756" s="36" t="s">
        <v>9828</v>
      </c>
    </row>
    <row r="757" spans="1:1">
      <c r="A757" s="37" t="s">
        <v>9829</v>
      </c>
    </row>
    <row r="758" spans="1:1">
      <c r="A758" s="36" t="s">
        <v>9830</v>
      </c>
    </row>
    <row r="759" spans="1:1">
      <c r="A759" s="36" t="s">
        <v>9831</v>
      </c>
    </row>
    <row r="760" spans="1:1">
      <c r="A760" s="36" t="s">
        <v>9309</v>
      </c>
    </row>
    <row r="761" spans="1:1">
      <c r="A761" s="36" t="s">
        <v>9832</v>
      </c>
    </row>
    <row r="762" spans="1:1">
      <c r="A762" s="37" t="s">
        <v>410</v>
      </c>
    </row>
    <row r="763" spans="1:1">
      <c r="A763" s="36" t="s">
        <v>409</v>
      </c>
    </row>
    <row r="764" spans="1:1">
      <c r="A764" s="36" t="s">
        <v>9632</v>
      </c>
    </row>
    <row r="765" spans="1:1">
      <c r="A765" s="36"/>
    </row>
    <row r="766" spans="1:1">
      <c r="A766" s="36" t="s">
        <v>9833</v>
      </c>
    </row>
    <row r="767" spans="1:1">
      <c r="A767" s="37" t="s">
        <v>9834</v>
      </c>
    </row>
    <row r="768" spans="1:1">
      <c r="A768" s="36" t="s">
        <v>9835</v>
      </c>
    </row>
    <row r="769" spans="1:1">
      <c r="A769" s="36" t="s">
        <v>9533</v>
      </c>
    </row>
    <row r="770" spans="1:1">
      <c r="A770" s="36" t="s">
        <v>9309</v>
      </c>
    </row>
    <row r="771" spans="1:1">
      <c r="A771" s="36" t="s">
        <v>9836</v>
      </c>
    </row>
    <row r="772" spans="1:1">
      <c r="A772" s="36" t="s">
        <v>2877</v>
      </c>
    </row>
    <row r="773" spans="1:1">
      <c r="A773" s="36" t="s">
        <v>2878</v>
      </c>
    </row>
    <row r="774" spans="1:1">
      <c r="A774" s="37" t="s">
        <v>2879</v>
      </c>
    </row>
    <row r="775" spans="1:1">
      <c r="A775" s="36" t="s">
        <v>9309</v>
      </c>
    </row>
    <row r="776" spans="1:1">
      <c r="A776" s="36" t="s">
        <v>9837</v>
      </c>
    </row>
    <row r="777" spans="1:1">
      <c r="A777" s="36" t="s">
        <v>9838</v>
      </c>
    </row>
    <row r="778" spans="1:1">
      <c r="A778" s="37" t="s">
        <v>9839</v>
      </c>
    </row>
    <row r="779" spans="1:1">
      <c r="A779" s="36" t="s">
        <v>9840</v>
      </c>
    </row>
    <row r="780" spans="1:1">
      <c r="A780" s="36" t="s">
        <v>9309</v>
      </c>
    </row>
    <row r="781" spans="1:1">
      <c r="A781" s="36" t="s">
        <v>9841</v>
      </c>
    </row>
    <row r="782" spans="1:1">
      <c r="A782" s="37" t="s">
        <v>9842</v>
      </c>
    </row>
    <row r="783" spans="1:1">
      <c r="A783" s="36" t="s">
        <v>9843</v>
      </c>
    </row>
    <row r="784" spans="1:1">
      <c r="A784" s="36" t="s">
        <v>9844</v>
      </c>
    </row>
    <row r="785" spans="1:1">
      <c r="A785" s="36" t="s">
        <v>9309</v>
      </c>
    </row>
    <row r="786" spans="1:1">
      <c r="A786" s="36" t="s">
        <v>9845</v>
      </c>
    </row>
    <row r="787" spans="1:1">
      <c r="A787" s="36" t="s">
        <v>9599</v>
      </c>
    </row>
    <row r="788" spans="1:1">
      <c r="A788" s="37" t="s">
        <v>9846</v>
      </c>
    </row>
    <row r="789" spans="1:1">
      <c r="A789" s="36" t="s">
        <v>9847</v>
      </c>
    </row>
    <row r="790" spans="1:1">
      <c r="A790" s="36" t="s">
        <v>9309</v>
      </c>
    </row>
    <row r="791" spans="1:1">
      <c r="A791" s="36" t="s">
        <v>9848</v>
      </c>
    </row>
    <row r="792" spans="1:1">
      <c r="A792" s="36" t="s">
        <v>9849</v>
      </c>
    </row>
    <row r="793" spans="1:1">
      <c r="A793" s="36" t="s">
        <v>9850</v>
      </c>
    </row>
    <row r="794" spans="1:1">
      <c r="A794" s="37" t="s">
        <v>9851</v>
      </c>
    </row>
    <row r="795" spans="1:1">
      <c r="A795" s="36" t="s">
        <v>9309</v>
      </c>
    </row>
    <row r="796" spans="1:1">
      <c r="A796" s="36" t="s">
        <v>9852</v>
      </c>
    </row>
    <row r="797" spans="1:1">
      <c r="A797" s="36" t="s">
        <v>9853</v>
      </c>
    </row>
    <row r="798" spans="1:1">
      <c r="A798" s="37" t="s">
        <v>9854</v>
      </c>
    </row>
    <row r="799" spans="1:1">
      <c r="A799" s="36" t="s">
        <v>9855</v>
      </c>
    </row>
    <row r="800" spans="1:1">
      <c r="A800" s="36" t="s">
        <v>9309</v>
      </c>
    </row>
    <row r="801" spans="1:1">
      <c r="A801" s="36" t="s">
        <v>9856</v>
      </c>
    </row>
    <row r="802" spans="1:1">
      <c r="A802" s="36" t="s">
        <v>9857</v>
      </c>
    </row>
    <row r="803" spans="1:1">
      <c r="A803" s="37" t="s">
        <v>9858</v>
      </c>
    </row>
    <row r="804" spans="1:1">
      <c r="A804" s="36" t="s">
        <v>9859</v>
      </c>
    </row>
    <row r="805" spans="1:1">
      <c r="A805" s="36" t="s">
        <v>9309</v>
      </c>
    </row>
    <row r="806" spans="1:1">
      <c r="A806" s="36" t="s">
        <v>9860</v>
      </c>
    </row>
    <row r="807" spans="1:1">
      <c r="A807" s="37" t="s">
        <v>9861</v>
      </c>
    </row>
    <row r="808" spans="1:1">
      <c r="A808" s="36" t="s">
        <v>9862</v>
      </c>
    </row>
    <row r="809" spans="1:1">
      <c r="A809" s="36" t="s">
        <v>9863</v>
      </c>
    </row>
    <row r="810" spans="1:1">
      <c r="A810" s="36" t="s">
        <v>9309</v>
      </c>
    </row>
    <row r="811" spans="1:1">
      <c r="A811" s="36" t="s">
        <v>9864</v>
      </c>
    </row>
    <row r="812" spans="1:1">
      <c r="A812" s="36" t="s">
        <v>9865</v>
      </c>
    </row>
    <row r="813" spans="1:1">
      <c r="A813" s="36" t="s">
        <v>9866</v>
      </c>
    </row>
    <row r="814" spans="1:1">
      <c r="A814" s="37" t="s">
        <v>9867</v>
      </c>
    </row>
    <row r="815" spans="1:1">
      <c r="A815" s="36" t="s">
        <v>9309</v>
      </c>
    </row>
    <row r="816" spans="1:1">
      <c r="A816" s="36" t="s">
        <v>9868</v>
      </c>
    </row>
    <row r="817" spans="1:1">
      <c r="A817" s="37" t="s">
        <v>2362</v>
      </c>
    </row>
    <row r="818" spans="1:1">
      <c r="A818" s="36" t="s">
        <v>2363</v>
      </c>
    </row>
    <row r="819" spans="1:1">
      <c r="A819" s="36" t="s">
        <v>2364</v>
      </c>
    </row>
    <row r="820" spans="1:1">
      <c r="A820" s="36" t="s">
        <v>9309</v>
      </c>
    </row>
    <row r="821" spans="1:1">
      <c r="A821" s="36" t="s">
        <v>9869</v>
      </c>
    </row>
    <row r="822" spans="1:1">
      <c r="A822" s="36" t="s">
        <v>9870</v>
      </c>
    </row>
    <row r="823" spans="1:1">
      <c r="A823" s="36" t="s">
        <v>9871</v>
      </c>
    </row>
    <row r="824" spans="1:1">
      <c r="A824" s="37" t="s">
        <v>9872</v>
      </c>
    </row>
    <row r="825" spans="1:1">
      <c r="A825" s="37"/>
    </row>
    <row r="826" spans="1:1">
      <c r="A826" s="36" t="s">
        <v>9873</v>
      </c>
    </row>
    <row r="827" spans="1:1">
      <c r="A827" s="36" t="s">
        <v>9874</v>
      </c>
    </row>
    <row r="828" spans="1:1">
      <c r="A828" s="36" t="s">
        <v>9875</v>
      </c>
    </row>
    <row r="829" spans="1:1">
      <c r="A829" s="37" t="s">
        <v>9876</v>
      </c>
    </row>
    <row r="830" spans="1:1">
      <c r="A830" s="36" t="s">
        <v>9309</v>
      </c>
    </row>
    <row r="831" spans="1:1">
      <c r="A831" s="36" t="s">
        <v>9877</v>
      </c>
    </row>
    <row r="832" spans="1:1">
      <c r="A832" s="37" t="s">
        <v>9878</v>
      </c>
    </row>
    <row r="833" spans="1:1">
      <c r="A833" s="36" t="s">
        <v>9879</v>
      </c>
    </row>
    <row r="834" spans="1:1">
      <c r="A834" s="36" t="s">
        <v>9880</v>
      </c>
    </row>
    <row r="835" spans="1:1">
      <c r="A835" s="36" t="s">
        <v>9309</v>
      </c>
    </row>
    <row r="836" spans="1:1">
      <c r="A836" s="36" t="s">
        <v>9881</v>
      </c>
    </row>
    <row r="837" spans="1:1">
      <c r="A837" s="36" t="s">
        <v>9882</v>
      </c>
    </row>
    <row r="838" spans="1:1">
      <c r="A838" s="37" t="s">
        <v>9883</v>
      </c>
    </row>
    <row r="839" spans="1:1">
      <c r="A839" s="36" t="s">
        <v>9884</v>
      </c>
    </row>
    <row r="840" spans="1:1">
      <c r="A840" s="36" t="s">
        <v>9309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359"/>
  <sheetViews>
    <sheetView workbookViewId="0">
      <selection activeCell="G72" sqref="C1:G72"/>
    </sheetView>
  </sheetViews>
  <sheetFormatPr defaultRowHeight="16.5"/>
  <cols>
    <col min="1" max="1" width="95.625" customWidth="1"/>
  </cols>
  <sheetData>
    <row r="1" spans="1:7">
      <c r="A1" s="44" t="s">
        <v>11014</v>
      </c>
      <c r="B1" s="45" t="s">
        <v>11017</v>
      </c>
      <c r="C1" t="s">
        <v>11280</v>
      </c>
      <c r="D1" t="s">
        <v>11281</v>
      </c>
      <c r="E1" t="s">
        <v>11282</v>
      </c>
      <c r="F1" t="s">
        <v>11283</v>
      </c>
      <c r="G1">
        <v>2</v>
      </c>
    </row>
    <row r="2" spans="1:7">
      <c r="A2" s="44" t="s">
        <v>11015</v>
      </c>
      <c r="C2" t="s">
        <v>11284</v>
      </c>
      <c r="D2" t="s">
        <v>11285</v>
      </c>
      <c r="E2" t="s">
        <v>11286</v>
      </c>
      <c r="F2" t="s">
        <v>7891</v>
      </c>
      <c r="G2">
        <v>0</v>
      </c>
    </row>
    <row r="3" spans="1:7">
      <c r="A3" s="44" t="s">
        <v>11016</v>
      </c>
      <c r="C3" t="s">
        <v>11287</v>
      </c>
      <c r="D3" t="s">
        <v>11288</v>
      </c>
      <c r="E3" t="s">
        <v>11289</v>
      </c>
      <c r="F3" t="s">
        <v>11290</v>
      </c>
      <c r="G3">
        <v>2</v>
      </c>
    </row>
    <row r="4" spans="1:7">
      <c r="A4" s="45" t="s">
        <v>11017</v>
      </c>
      <c r="C4" t="s">
        <v>11291</v>
      </c>
      <c r="D4" t="s">
        <v>11292</v>
      </c>
      <c r="E4" t="s">
        <v>5285</v>
      </c>
      <c r="F4" t="s">
        <v>4454</v>
      </c>
      <c r="G4">
        <v>0</v>
      </c>
    </row>
    <row r="5" spans="1:7">
      <c r="A5" s="44" t="s">
        <v>9309</v>
      </c>
      <c r="C5" t="s">
        <v>11293</v>
      </c>
      <c r="D5" t="s">
        <v>11294</v>
      </c>
      <c r="E5" t="s">
        <v>11295</v>
      </c>
      <c r="F5" t="s">
        <v>5569</v>
      </c>
      <c r="G5">
        <v>2</v>
      </c>
    </row>
    <row r="6" spans="1:7">
      <c r="A6" s="44" t="s">
        <v>11018</v>
      </c>
      <c r="C6" t="s">
        <v>11296</v>
      </c>
      <c r="D6" t="s">
        <v>11297</v>
      </c>
      <c r="E6" t="s">
        <v>11298</v>
      </c>
      <c r="F6" t="s">
        <v>11299</v>
      </c>
      <c r="G6">
        <v>1</v>
      </c>
    </row>
    <row r="7" spans="1:7">
      <c r="A7" s="45" t="s">
        <v>11019</v>
      </c>
      <c r="C7" t="s">
        <v>11300</v>
      </c>
      <c r="D7" t="s">
        <v>4499</v>
      </c>
      <c r="E7" t="s">
        <v>11301</v>
      </c>
      <c r="F7" t="s">
        <v>8079</v>
      </c>
      <c r="G7">
        <v>1</v>
      </c>
    </row>
    <row r="8" spans="1:7">
      <c r="A8" s="44" t="s">
        <v>11020</v>
      </c>
      <c r="C8" t="s">
        <v>11302</v>
      </c>
      <c r="D8" t="s">
        <v>10842</v>
      </c>
      <c r="E8" t="s">
        <v>11303</v>
      </c>
      <c r="F8" t="s">
        <v>11304</v>
      </c>
      <c r="G8">
        <v>2</v>
      </c>
    </row>
    <row r="9" spans="1:7">
      <c r="A9" s="44" t="s">
        <v>988</v>
      </c>
      <c r="C9" t="s">
        <v>11305</v>
      </c>
      <c r="D9" t="s">
        <v>11306</v>
      </c>
      <c r="E9" t="s">
        <v>11307</v>
      </c>
      <c r="F9" t="s">
        <v>11308</v>
      </c>
      <c r="G9">
        <v>1</v>
      </c>
    </row>
    <row r="10" spans="1:7">
      <c r="A10" s="44" t="s">
        <v>9309</v>
      </c>
      <c r="C10" t="s">
        <v>11040</v>
      </c>
      <c r="D10">
        <v>1366</v>
      </c>
      <c r="E10">
        <v>1388</v>
      </c>
      <c r="F10">
        <v>1339</v>
      </c>
      <c r="G10">
        <v>1</v>
      </c>
    </row>
    <row r="11" spans="1:7">
      <c r="A11" s="44" t="s">
        <v>11021</v>
      </c>
      <c r="C11" t="s">
        <v>11309</v>
      </c>
      <c r="D11" t="s">
        <v>11310</v>
      </c>
      <c r="E11" t="s">
        <v>11311</v>
      </c>
      <c r="F11" t="s">
        <v>11312</v>
      </c>
      <c r="G11">
        <v>2</v>
      </c>
    </row>
    <row r="12" spans="1:7">
      <c r="A12" s="44" t="s">
        <v>11022</v>
      </c>
      <c r="C12" t="s">
        <v>11313</v>
      </c>
      <c r="D12" t="s">
        <v>11314</v>
      </c>
      <c r="E12" t="s">
        <v>11315</v>
      </c>
      <c r="F12" t="s">
        <v>11316</v>
      </c>
      <c r="G12">
        <v>1</v>
      </c>
    </row>
    <row r="13" spans="1:7">
      <c r="A13" s="44" t="s">
        <v>11023</v>
      </c>
      <c r="C13" t="s">
        <v>11317</v>
      </c>
      <c r="D13" t="s">
        <v>11318</v>
      </c>
      <c r="E13" t="s">
        <v>11319</v>
      </c>
      <c r="F13" t="s">
        <v>11320</v>
      </c>
      <c r="G13">
        <v>0</v>
      </c>
    </row>
    <row r="14" spans="1:7">
      <c r="A14" s="45" t="s">
        <v>11024</v>
      </c>
      <c r="C14" t="s">
        <v>11321</v>
      </c>
      <c r="D14" t="s">
        <v>11322</v>
      </c>
      <c r="E14" t="s">
        <v>11323</v>
      </c>
      <c r="F14" t="s">
        <v>11324</v>
      </c>
      <c r="G14">
        <v>1</v>
      </c>
    </row>
    <row r="15" spans="1:7">
      <c r="A15" s="44" t="s">
        <v>9309</v>
      </c>
      <c r="C15" t="s">
        <v>11057</v>
      </c>
      <c r="D15">
        <v>5.0000000000000001E-4</v>
      </c>
      <c r="E15">
        <v>8.0000000000000004E-4</v>
      </c>
      <c r="F15">
        <v>1E-3</v>
      </c>
      <c r="G15">
        <v>0</v>
      </c>
    </row>
    <row r="16" spans="1:7">
      <c r="A16" s="44" t="s">
        <v>11025</v>
      </c>
      <c r="C16" t="s">
        <v>11325</v>
      </c>
      <c r="D16" t="s">
        <v>11326</v>
      </c>
      <c r="E16" t="s">
        <v>11327</v>
      </c>
      <c r="F16" t="s">
        <v>11328</v>
      </c>
      <c r="G16">
        <v>0</v>
      </c>
    </row>
    <row r="17" spans="1:7">
      <c r="A17" s="45" t="s">
        <v>9572</v>
      </c>
      <c r="C17" t="s">
        <v>11329</v>
      </c>
      <c r="D17" t="s">
        <v>11330</v>
      </c>
      <c r="E17" t="s">
        <v>11331</v>
      </c>
      <c r="F17" t="s">
        <v>11332</v>
      </c>
      <c r="G17">
        <v>2</v>
      </c>
    </row>
    <row r="18" spans="1:7">
      <c r="A18" s="44" t="s">
        <v>1066</v>
      </c>
      <c r="C18" t="s">
        <v>11333</v>
      </c>
      <c r="D18" t="s">
        <v>5378</v>
      </c>
      <c r="E18" t="s">
        <v>7670</v>
      </c>
      <c r="F18" t="s">
        <v>11334</v>
      </c>
      <c r="G18">
        <v>1</v>
      </c>
    </row>
    <row r="19" spans="1:7">
      <c r="A19" s="44" t="s">
        <v>1065</v>
      </c>
      <c r="C19" t="s">
        <v>11335</v>
      </c>
      <c r="D19" t="s">
        <v>11336</v>
      </c>
      <c r="E19" t="s">
        <v>11337</v>
      </c>
      <c r="F19" t="s">
        <v>11338</v>
      </c>
      <c r="G19">
        <v>1</v>
      </c>
    </row>
    <row r="20" spans="1:7">
      <c r="A20" s="44"/>
      <c r="C20" t="s">
        <v>11071</v>
      </c>
      <c r="D20" t="s">
        <v>11072</v>
      </c>
      <c r="E20" t="s">
        <v>11073</v>
      </c>
      <c r="F20" t="s">
        <v>11074</v>
      </c>
      <c r="G20">
        <v>1</v>
      </c>
    </row>
    <row r="21" spans="1:7">
      <c r="A21" s="44" t="s">
        <v>11026</v>
      </c>
      <c r="C21" t="s">
        <v>11339</v>
      </c>
      <c r="D21" t="s">
        <v>11340</v>
      </c>
      <c r="E21" t="s">
        <v>11341</v>
      </c>
      <c r="F21" t="s">
        <v>11342</v>
      </c>
      <c r="G21">
        <v>2</v>
      </c>
    </row>
    <row r="22" spans="1:7">
      <c r="A22" s="44" t="s">
        <v>11027</v>
      </c>
      <c r="C22" t="s">
        <v>11343</v>
      </c>
      <c r="D22" t="s">
        <v>11344</v>
      </c>
      <c r="E22" t="s">
        <v>10416</v>
      </c>
      <c r="F22" t="s">
        <v>11345</v>
      </c>
      <c r="G22">
        <v>1</v>
      </c>
    </row>
    <row r="23" spans="1:7">
      <c r="A23" s="44" t="s">
        <v>11028</v>
      </c>
      <c r="C23" t="s">
        <v>11346</v>
      </c>
      <c r="D23" t="s">
        <v>11347</v>
      </c>
      <c r="E23" t="s">
        <v>4396</v>
      </c>
      <c r="F23" t="s">
        <v>11348</v>
      </c>
      <c r="G23">
        <v>2</v>
      </c>
    </row>
    <row r="24" spans="1:7">
      <c r="A24" s="45" t="s">
        <v>1234</v>
      </c>
      <c r="C24" t="s">
        <v>11349</v>
      </c>
      <c r="D24" t="s">
        <v>11350</v>
      </c>
      <c r="E24" t="s">
        <v>11351</v>
      </c>
      <c r="F24" t="s">
        <v>11352</v>
      </c>
      <c r="G24">
        <v>1</v>
      </c>
    </row>
    <row r="25" spans="1:7">
      <c r="A25" s="44" t="s">
        <v>9309</v>
      </c>
      <c r="C25" t="s">
        <v>11353</v>
      </c>
      <c r="D25" t="s">
        <v>11354</v>
      </c>
      <c r="E25" t="s">
        <v>11355</v>
      </c>
      <c r="F25" t="s">
        <v>11356</v>
      </c>
      <c r="G25">
        <v>1</v>
      </c>
    </row>
    <row r="26" spans="1:7">
      <c r="A26" s="44" t="s">
        <v>11029</v>
      </c>
      <c r="C26" t="s">
        <v>11357</v>
      </c>
      <c r="D26" t="s">
        <v>11358</v>
      </c>
      <c r="E26" t="s">
        <v>11359</v>
      </c>
      <c r="F26" t="s">
        <v>11360</v>
      </c>
      <c r="G26">
        <v>1</v>
      </c>
    </row>
    <row r="27" spans="1:7">
      <c r="A27" s="44" t="s">
        <v>11030</v>
      </c>
      <c r="C27" t="s">
        <v>11361</v>
      </c>
      <c r="D27" t="s">
        <v>11362</v>
      </c>
      <c r="E27" t="s">
        <v>11363</v>
      </c>
      <c r="F27" t="s">
        <v>11364</v>
      </c>
      <c r="G27">
        <v>2</v>
      </c>
    </row>
    <row r="28" spans="1:7">
      <c r="A28" s="45" t="s">
        <v>11031</v>
      </c>
      <c r="C28" t="s">
        <v>11365</v>
      </c>
      <c r="D28" t="s">
        <v>11366</v>
      </c>
      <c r="E28" t="s">
        <v>11367</v>
      </c>
      <c r="F28" t="s">
        <v>11368</v>
      </c>
      <c r="G28">
        <v>1</v>
      </c>
    </row>
    <row r="29" spans="1:7">
      <c r="A29" s="44" t="s">
        <v>11032</v>
      </c>
      <c r="C29" t="s">
        <v>11369</v>
      </c>
      <c r="D29" t="s">
        <v>11370</v>
      </c>
      <c r="E29" t="s">
        <v>11371</v>
      </c>
      <c r="F29" t="s">
        <v>11372</v>
      </c>
      <c r="G29">
        <v>1</v>
      </c>
    </row>
    <row r="30" spans="1:7">
      <c r="A30" s="44" t="s">
        <v>9309</v>
      </c>
      <c r="C30" t="s">
        <v>11373</v>
      </c>
      <c r="D30" t="s">
        <v>11374</v>
      </c>
      <c r="E30" t="s">
        <v>11375</v>
      </c>
      <c r="F30" t="s">
        <v>11376</v>
      </c>
      <c r="G30">
        <v>2</v>
      </c>
    </row>
    <row r="31" spans="1:7">
      <c r="A31" s="44" t="s">
        <v>11033</v>
      </c>
      <c r="C31" t="s">
        <v>11377</v>
      </c>
      <c r="D31" t="s">
        <v>11378</v>
      </c>
      <c r="E31" t="s">
        <v>4504</v>
      </c>
      <c r="F31" t="s">
        <v>11379</v>
      </c>
      <c r="G31">
        <v>1</v>
      </c>
    </row>
    <row r="32" spans="1:7">
      <c r="A32" s="44" t="s">
        <v>6</v>
      </c>
      <c r="C32" t="s">
        <v>11380</v>
      </c>
      <c r="D32" t="s">
        <v>11381</v>
      </c>
      <c r="E32" t="s">
        <v>11382</v>
      </c>
      <c r="F32" t="s">
        <v>11383</v>
      </c>
      <c r="G32">
        <v>0</v>
      </c>
    </row>
    <row r="33" spans="1:7">
      <c r="A33" s="45" t="s">
        <v>1624</v>
      </c>
      <c r="C33" t="s">
        <v>11384</v>
      </c>
      <c r="D33">
        <v>26</v>
      </c>
      <c r="E33">
        <v>28</v>
      </c>
      <c r="F33">
        <v>31</v>
      </c>
      <c r="G33">
        <v>1</v>
      </c>
    </row>
    <row r="34" spans="1:7">
      <c r="A34" s="44" t="s">
        <v>1625</v>
      </c>
      <c r="C34" t="s">
        <v>11118</v>
      </c>
      <c r="D34" t="s">
        <v>11119</v>
      </c>
      <c r="E34" t="s">
        <v>11120</v>
      </c>
      <c r="F34" t="s">
        <v>11385</v>
      </c>
      <c r="G34">
        <v>0</v>
      </c>
    </row>
    <row r="35" spans="1:7">
      <c r="A35" s="44" t="s">
        <v>9309</v>
      </c>
      <c r="C35" t="s">
        <v>11386</v>
      </c>
      <c r="D35" t="s">
        <v>11387</v>
      </c>
      <c r="E35" t="s">
        <v>11388</v>
      </c>
      <c r="F35" t="s">
        <v>11389</v>
      </c>
      <c r="G35">
        <v>0</v>
      </c>
    </row>
    <row r="36" spans="1:7">
      <c r="A36" s="44" t="s">
        <v>11034</v>
      </c>
      <c r="C36" t="s">
        <v>11390</v>
      </c>
      <c r="D36" t="s">
        <v>11391</v>
      </c>
      <c r="E36" t="s">
        <v>11392</v>
      </c>
      <c r="F36" t="s">
        <v>11393</v>
      </c>
      <c r="G36">
        <v>0</v>
      </c>
    </row>
    <row r="37" spans="1:7">
      <c r="A37" s="44" t="s">
        <v>10622</v>
      </c>
      <c r="C37" t="s">
        <v>11394</v>
      </c>
      <c r="D37" t="s">
        <v>11395</v>
      </c>
      <c r="E37" t="s">
        <v>11396</v>
      </c>
      <c r="F37" t="s">
        <v>11397</v>
      </c>
      <c r="G37">
        <v>1</v>
      </c>
    </row>
    <row r="38" spans="1:7">
      <c r="A38" s="44" t="s">
        <v>11035</v>
      </c>
      <c r="C38" t="s">
        <v>11398</v>
      </c>
      <c r="D38" t="s">
        <v>11399</v>
      </c>
      <c r="E38" t="s">
        <v>11400</v>
      </c>
      <c r="F38" t="s">
        <v>11401</v>
      </c>
      <c r="G38">
        <v>1</v>
      </c>
    </row>
    <row r="39" spans="1:7">
      <c r="A39" s="45" t="s">
        <v>11036</v>
      </c>
      <c r="C39" t="s">
        <v>11402</v>
      </c>
      <c r="D39" t="s">
        <v>11403</v>
      </c>
      <c r="E39" t="s">
        <v>11404</v>
      </c>
      <c r="F39" t="s">
        <v>11405</v>
      </c>
      <c r="G39">
        <v>0</v>
      </c>
    </row>
    <row r="40" spans="1:7">
      <c r="A40" s="44" t="s">
        <v>9309</v>
      </c>
      <c r="C40" t="s">
        <v>11406</v>
      </c>
      <c r="D40" t="s">
        <v>11407</v>
      </c>
      <c r="E40" t="s">
        <v>11408</v>
      </c>
      <c r="F40" t="s">
        <v>11409</v>
      </c>
      <c r="G40">
        <v>0</v>
      </c>
    </row>
    <row r="41" spans="1:7">
      <c r="A41" s="44" t="s">
        <v>11037</v>
      </c>
      <c r="C41" t="s">
        <v>11410</v>
      </c>
      <c r="D41" t="s">
        <v>11411</v>
      </c>
      <c r="E41" t="s">
        <v>11412</v>
      </c>
      <c r="F41" t="s">
        <v>11413</v>
      </c>
      <c r="G41">
        <v>0</v>
      </c>
    </row>
    <row r="42" spans="1:7">
      <c r="A42" s="44" t="s">
        <v>11038</v>
      </c>
      <c r="C42" t="s">
        <v>11414</v>
      </c>
      <c r="D42" t="s">
        <v>11415</v>
      </c>
      <c r="E42" t="s">
        <v>11416</v>
      </c>
      <c r="F42" t="s">
        <v>11417</v>
      </c>
      <c r="G42">
        <v>0</v>
      </c>
    </row>
    <row r="43" spans="1:7">
      <c r="A43" s="45" t="s">
        <v>9679</v>
      </c>
      <c r="C43" t="s">
        <v>11418</v>
      </c>
      <c r="D43" t="s">
        <v>11419</v>
      </c>
      <c r="E43" t="s">
        <v>11420</v>
      </c>
      <c r="F43" t="s">
        <v>11156</v>
      </c>
      <c r="G43">
        <v>1</v>
      </c>
    </row>
    <row r="44" spans="1:7">
      <c r="A44" s="44" t="s">
        <v>11039</v>
      </c>
      <c r="C44" t="s">
        <v>11421</v>
      </c>
      <c r="D44" t="s">
        <v>11422</v>
      </c>
      <c r="E44" t="s">
        <v>11423</v>
      </c>
      <c r="F44" t="s">
        <v>11424</v>
      </c>
      <c r="G44">
        <v>2</v>
      </c>
    </row>
    <row r="45" spans="1:7">
      <c r="A45" s="44" t="s">
        <v>9309</v>
      </c>
      <c r="C45" t="s">
        <v>11425</v>
      </c>
      <c r="D45" t="s">
        <v>11426</v>
      </c>
      <c r="E45" t="s">
        <v>11427</v>
      </c>
      <c r="F45" t="s">
        <v>11428</v>
      </c>
      <c r="G45">
        <v>2</v>
      </c>
    </row>
    <row r="46" spans="1:7">
      <c r="A46" s="44" t="s">
        <v>11040</v>
      </c>
      <c r="C46" t="s">
        <v>11429</v>
      </c>
      <c r="D46" t="s">
        <v>11430</v>
      </c>
      <c r="E46" t="s">
        <v>11431</v>
      </c>
      <c r="F46" t="s">
        <v>11166</v>
      </c>
      <c r="G46">
        <v>1</v>
      </c>
    </row>
    <row r="47" spans="1:7">
      <c r="A47" s="44">
        <v>1366</v>
      </c>
      <c r="C47" t="s">
        <v>11432</v>
      </c>
      <c r="D47" t="s">
        <v>11433</v>
      </c>
      <c r="E47" t="s">
        <v>11434</v>
      </c>
      <c r="F47" t="s">
        <v>11435</v>
      </c>
      <c r="G47">
        <v>0</v>
      </c>
    </row>
    <row r="48" spans="1:7">
      <c r="A48" s="45">
        <v>1388</v>
      </c>
      <c r="C48" t="s">
        <v>11436</v>
      </c>
      <c r="D48" t="s">
        <v>11437</v>
      </c>
      <c r="E48" t="s">
        <v>11438</v>
      </c>
      <c r="F48" t="s">
        <v>11439</v>
      </c>
      <c r="G48">
        <v>2</v>
      </c>
    </row>
    <row r="49" spans="1:7">
      <c r="A49" s="44">
        <v>1339</v>
      </c>
      <c r="C49" t="s">
        <v>11440</v>
      </c>
      <c r="D49" t="s">
        <v>11441</v>
      </c>
      <c r="E49" t="s">
        <v>5278</v>
      </c>
      <c r="F49" t="s">
        <v>11177</v>
      </c>
      <c r="G49">
        <v>2</v>
      </c>
    </row>
    <row r="50" spans="1:7">
      <c r="A50" s="44" t="s">
        <v>9309</v>
      </c>
      <c r="C50" t="s">
        <v>11442</v>
      </c>
      <c r="D50" t="s">
        <v>11443</v>
      </c>
      <c r="E50" t="s">
        <v>11444</v>
      </c>
      <c r="F50" t="s">
        <v>11445</v>
      </c>
      <c r="G50">
        <v>0</v>
      </c>
    </row>
    <row r="51" spans="1:7">
      <c r="A51" s="44" t="s">
        <v>11041</v>
      </c>
      <c r="C51" t="s">
        <v>11446</v>
      </c>
      <c r="D51" t="s">
        <v>11447</v>
      </c>
      <c r="E51" t="s">
        <v>11448</v>
      </c>
      <c r="F51" t="s">
        <v>11449</v>
      </c>
      <c r="G51">
        <v>0</v>
      </c>
    </row>
    <row r="52" spans="1:7">
      <c r="A52" s="44" t="s">
        <v>11042</v>
      </c>
      <c r="C52" t="s">
        <v>11450</v>
      </c>
      <c r="D52" t="s">
        <v>11451</v>
      </c>
      <c r="E52" t="s">
        <v>10775</v>
      </c>
      <c r="F52" t="s">
        <v>11188</v>
      </c>
      <c r="G52">
        <v>2</v>
      </c>
    </row>
    <row r="53" spans="1:7">
      <c r="A53" s="44" t="s">
        <v>11043</v>
      </c>
      <c r="C53" t="s">
        <v>11452</v>
      </c>
      <c r="D53" t="s">
        <v>11453</v>
      </c>
      <c r="E53" t="s">
        <v>11454</v>
      </c>
      <c r="F53" t="s">
        <v>11455</v>
      </c>
      <c r="G53">
        <v>2</v>
      </c>
    </row>
    <row r="54" spans="1:7">
      <c r="A54" s="45" t="s">
        <v>11044</v>
      </c>
      <c r="C54" t="s">
        <v>11456</v>
      </c>
      <c r="D54" t="s">
        <v>11457</v>
      </c>
      <c r="E54" t="s">
        <v>11458</v>
      </c>
      <c r="F54" t="s">
        <v>11459</v>
      </c>
      <c r="G54">
        <v>2</v>
      </c>
    </row>
    <row r="55" spans="1:7">
      <c r="A55" s="44" t="s">
        <v>9309</v>
      </c>
      <c r="C55" t="s">
        <v>11460</v>
      </c>
      <c r="D55" t="s">
        <v>11461</v>
      </c>
      <c r="E55" t="s">
        <v>11462</v>
      </c>
      <c r="F55" t="s">
        <v>11200</v>
      </c>
      <c r="G55">
        <v>1</v>
      </c>
    </row>
    <row r="56" spans="1:7">
      <c r="A56" s="44" t="s">
        <v>11045</v>
      </c>
      <c r="C56" t="s">
        <v>11463</v>
      </c>
      <c r="D56" t="s">
        <v>11464</v>
      </c>
      <c r="E56" t="s">
        <v>11465</v>
      </c>
      <c r="F56" t="s">
        <v>11466</v>
      </c>
      <c r="G56">
        <v>0</v>
      </c>
    </row>
    <row r="57" spans="1:7">
      <c r="A57" s="44" t="s">
        <v>11046</v>
      </c>
      <c r="C57" t="s">
        <v>11467</v>
      </c>
      <c r="D57" t="s">
        <v>11468</v>
      </c>
      <c r="E57" t="s">
        <v>11469</v>
      </c>
      <c r="F57" t="s">
        <v>11470</v>
      </c>
      <c r="G57">
        <v>1</v>
      </c>
    </row>
    <row r="58" spans="1:7">
      <c r="A58" s="45" t="s">
        <v>11047</v>
      </c>
      <c r="C58" t="s">
        <v>11471</v>
      </c>
      <c r="D58" t="s">
        <v>11472</v>
      </c>
      <c r="E58" t="s">
        <v>11473</v>
      </c>
      <c r="F58" t="s">
        <v>11269</v>
      </c>
      <c r="G58">
        <v>0</v>
      </c>
    </row>
    <row r="59" spans="1:7">
      <c r="A59" s="44" t="s">
        <v>11048</v>
      </c>
      <c r="C59" t="s">
        <v>11474</v>
      </c>
      <c r="D59" t="s">
        <v>11475</v>
      </c>
      <c r="E59" t="s">
        <v>11476</v>
      </c>
      <c r="F59" t="s">
        <v>11270</v>
      </c>
      <c r="G59">
        <v>1</v>
      </c>
    </row>
    <row r="60" spans="1:7">
      <c r="A60" s="44" t="s">
        <v>9309</v>
      </c>
      <c r="C60" t="s">
        <v>11477</v>
      </c>
      <c r="D60" t="s">
        <v>11478</v>
      </c>
      <c r="E60" t="s">
        <v>11479</v>
      </c>
      <c r="F60" t="s">
        <v>1243</v>
      </c>
      <c r="G60">
        <v>2</v>
      </c>
    </row>
    <row r="61" spans="1:7">
      <c r="A61" s="44" t="s">
        <v>11049</v>
      </c>
      <c r="C61" t="s">
        <v>11480</v>
      </c>
      <c r="D61" t="s">
        <v>11481</v>
      </c>
      <c r="E61" t="s">
        <v>11482</v>
      </c>
      <c r="F61" t="s">
        <v>11271</v>
      </c>
      <c r="G61">
        <v>2</v>
      </c>
    </row>
    <row r="62" spans="1:7">
      <c r="A62" s="45" t="s">
        <v>11050</v>
      </c>
      <c r="C62" t="s">
        <v>11483</v>
      </c>
      <c r="D62" t="s">
        <v>10199</v>
      </c>
      <c r="E62" t="s">
        <v>11484</v>
      </c>
      <c r="F62" t="s">
        <v>11272</v>
      </c>
      <c r="G62">
        <v>0</v>
      </c>
    </row>
    <row r="63" spans="1:7">
      <c r="A63" s="44" t="s">
        <v>11051</v>
      </c>
      <c r="C63" t="s">
        <v>11485</v>
      </c>
      <c r="D63" t="s">
        <v>11486</v>
      </c>
      <c r="E63" t="s">
        <v>11487</v>
      </c>
      <c r="F63" t="s">
        <v>11273</v>
      </c>
      <c r="G63">
        <v>1</v>
      </c>
    </row>
    <row r="64" spans="1:7">
      <c r="A64" s="44" t="s">
        <v>11052</v>
      </c>
      <c r="C64" t="s">
        <v>11488</v>
      </c>
      <c r="D64" t="s">
        <v>11489</v>
      </c>
      <c r="E64" t="s">
        <v>11490</v>
      </c>
      <c r="F64" t="s">
        <v>11274</v>
      </c>
      <c r="G64">
        <v>0</v>
      </c>
    </row>
    <row r="65" spans="1:7">
      <c r="A65" s="44" t="s">
        <v>9309</v>
      </c>
      <c r="C65" t="s">
        <v>11491</v>
      </c>
      <c r="D65" t="s">
        <v>11492</v>
      </c>
      <c r="E65" t="s">
        <v>11493</v>
      </c>
      <c r="F65" t="s">
        <v>11275</v>
      </c>
      <c r="G65">
        <v>1</v>
      </c>
    </row>
    <row r="66" spans="1:7">
      <c r="A66" s="44" t="s">
        <v>11053</v>
      </c>
      <c r="C66" t="s">
        <v>11494</v>
      </c>
      <c r="D66" t="s">
        <v>11495</v>
      </c>
      <c r="E66" t="s">
        <v>11496</v>
      </c>
      <c r="F66" t="s">
        <v>11276</v>
      </c>
      <c r="G66">
        <v>1</v>
      </c>
    </row>
    <row r="67" spans="1:7">
      <c r="A67" s="44" t="s">
        <v>11054</v>
      </c>
      <c r="C67" t="s">
        <v>11497</v>
      </c>
      <c r="D67" t="s">
        <v>11498</v>
      </c>
      <c r="E67" t="s">
        <v>11499</v>
      </c>
      <c r="F67" t="s">
        <v>852</v>
      </c>
      <c r="G67">
        <v>1</v>
      </c>
    </row>
    <row r="68" spans="1:7">
      <c r="A68" s="45" t="s">
        <v>11055</v>
      </c>
      <c r="C68" t="s">
        <v>11500</v>
      </c>
      <c r="D68" t="s">
        <v>11501</v>
      </c>
      <c r="E68" t="s">
        <v>11502</v>
      </c>
      <c r="F68" t="s">
        <v>11277</v>
      </c>
      <c r="G68">
        <v>1</v>
      </c>
    </row>
    <row r="69" spans="1:7">
      <c r="A69" s="44" t="s">
        <v>11056</v>
      </c>
      <c r="C69" t="s">
        <v>11503</v>
      </c>
      <c r="D69" t="s">
        <v>11504</v>
      </c>
      <c r="E69" t="s">
        <v>11505</v>
      </c>
      <c r="F69" t="s">
        <v>11278</v>
      </c>
      <c r="G69">
        <v>0</v>
      </c>
    </row>
    <row r="70" spans="1:7">
      <c r="A70" s="44" t="s">
        <v>9309</v>
      </c>
      <c r="C70" t="s">
        <v>11506</v>
      </c>
      <c r="D70" t="s">
        <v>11507</v>
      </c>
      <c r="E70" t="s">
        <v>11508</v>
      </c>
      <c r="F70" t="s">
        <v>560</v>
      </c>
      <c r="G70">
        <v>1</v>
      </c>
    </row>
    <row r="71" spans="1:7">
      <c r="A71" s="44" t="s">
        <v>11057</v>
      </c>
      <c r="C71" t="s">
        <v>11509</v>
      </c>
      <c r="D71" t="s">
        <v>11510</v>
      </c>
      <c r="E71" t="s">
        <v>11511</v>
      </c>
      <c r="F71" t="s">
        <v>11279</v>
      </c>
      <c r="G71">
        <v>1</v>
      </c>
    </row>
    <row r="72" spans="1:7">
      <c r="A72" s="46">
        <v>5.0000000000000001E-4</v>
      </c>
      <c r="C72" t="s">
        <v>11512</v>
      </c>
      <c r="D72" t="s">
        <v>6017</v>
      </c>
      <c r="E72" t="s">
        <v>4584</v>
      </c>
      <c r="F72" t="s">
        <v>2103</v>
      </c>
      <c r="G72">
        <v>2</v>
      </c>
    </row>
    <row r="73" spans="1:7">
      <c r="A73" s="47">
        <v>8.0000000000000004E-4</v>
      </c>
      <c r="G73">
        <v>1</v>
      </c>
    </row>
    <row r="74" spans="1:7">
      <c r="A74" s="47">
        <v>1E-3</v>
      </c>
    </row>
    <row r="75" spans="1:7">
      <c r="A75" s="44" t="s">
        <v>9309</v>
      </c>
    </row>
    <row r="76" spans="1:7">
      <c r="A76" s="44" t="s">
        <v>11058</v>
      </c>
    </row>
    <row r="77" spans="1:7">
      <c r="A77" s="45" t="s">
        <v>1502</v>
      </c>
    </row>
    <row r="78" spans="1:7">
      <c r="A78" s="44" t="s">
        <v>3516</v>
      </c>
    </row>
    <row r="79" spans="1:7">
      <c r="A79" s="44" t="s">
        <v>11059</v>
      </c>
    </row>
    <row r="80" spans="1:7">
      <c r="A80" s="44" t="s">
        <v>9309</v>
      </c>
    </row>
    <row r="81" spans="1:1">
      <c r="A81" s="44" t="s">
        <v>11060</v>
      </c>
    </row>
    <row r="82" spans="1:1">
      <c r="A82" s="44" t="s">
        <v>11061</v>
      </c>
    </row>
    <row r="83" spans="1:1">
      <c r="A83" s="44" t="s">
        <v>11062</v>
      </c>
    </row>
    <row r="84" spans="1:1">
      <c r="A84" s="45" t="s">
        <v>11063</v>
      </c>
    </row>
    <row r="85" spans="1:1">
      <c r="A85" s="44" t="s">
        <v>9309</v>
      </c>
    </row>
    <row r="86" spans="1:1">
      <c r="A86" s="44" t="s">
        <v>11064</v>
      </c>
    </row>
    <row r="87" spans="1:1">
      <c r="A87" s="44" t="s">
        <v>11065</v>
      </c>
    </row>
    <row r="88" spans="1:1">
      <c r="A88" s="45" t="s">
        <v>10</v>
      </c>
    </row>
    <row r="89" spans="1:1">
      <c r="A89" s="44" t="s">
        <v>11066</v>
      </c>
    </row>
    <row r="90" spans="1:1">
      <c r="A90" s="44" t="s">
        <v>9309</v>
      </c>
    </row>
    <row r="91" spans="1:1">
      <c r="A91" s="44" t="s">
        <v>11067</v>
      </c>
    </row>
    <row r="92" spans="1:1">
      <c r="A92" s="44" t="s">
        <v>11068</v>
      </c>
    </row>
    <row r="93" spans="1:1">
      <c r="A93" s="45" t="s">
        <v>11069</v>
      </c>
    </row>
    <row r="94" spans="1:1">
      <c r="A94" s="44" t="s">
        <v>11070</v>
      </c>
    </row>
    <row r="95" spans="1:1">
      <c r="A95" s="44" t="s">
        <v>9309</v>
      </c>
    </row>
    <row r="96" spans="1:1">
      <c r="A96" s="44" t="s">
        <v>11071</v>
      </c>
    </row>
    <row r="97" spans="1:1">
      <c r="A97" s="44" t="s">
        <v>11072</v>
      </c>
    </row>
    <row r="98" spans="1:1">
      <c r="A98" s="45" t="s">
        <v>11073</v>
      </c>
    </row>
    <row r="99" spans="1:1">
      <c r="A99" s="44" t="s">
        <v>11074</v>
      </c>
    </row>
    <row r="100" spans="1:1">
      <c r="A100" s="44" t="s">
        <v>9309</v>
      </c>
    </row>
    <row r="101" spans="1:1">
      <c r="A101" s="44" t="s">
        <v>11075</v>
      </c>
    </row>
    <row r="102" spans="1:1">
      <c r="A102" s="44" t="s">
        <v>11076</v>
      </c>
    </row>
    <row r="103" spans="1:1">
      <c r="A103" s="44" t="s">
        <v>11077</v>
      </c>
    </row>
    <row r="104" spans="1:1">
      <c r="A104" s="45" t="s">
        <v>11078</v>
      </c>
    </row>
    <row r="105" spans="1:1">
      <c r="A105" s="44" t="s">
        <v>9309</v>
      </c>
    </row>
    <row r="106" spans="1:1">
      <c r="A106" s="44" t="s">
        <v>11079</v>
      </c>
    </row>
    <row r="107" spans="1:1">
      <c r="A107" s="44" t="s">
        <v>9748</v>
      </c>
    </row>
    <row r="108" spans="1:1">
      <c r="A108" s="45" t="s">
        <v>9749</v>
      </c>
    </row>
    <row r="109" spans="1:1">
      <c r="A109" s="44" t="s">
        <v>9750</v>
      </c>
    </row>
    <row r="110" spans="1:1">
      <c r="A110" s="44" t="s">
        <v>9309</v>
      </c>
    </row>
    <row r="111" spans="1:1">
      <c r="A111" s="44" t="s">
        <v>11080</v>
      </c>
    </row>
    <row r="112" spans="1:1">
      <c r="A112" s="44" t="s">
        <v>11081</v>
      </c>
    </row>
    <row r="113" spans="1:1">
      <c r="A113" s="44" t="s">
        <v>231</v>
      </c>
    </row>
    <row r="114" spans="1:1">
      <c r="A114" s="45" t="s">
        <v>11082</v>
      </c>
    </row>
    <row r="115" spans="1:1">
      <c r="A115" s="44" t="s">
        <v>9309</v>
      </c>
    </row>
    <row r="116" spans="1:1">
      <c r="A116" s="44" t="s">
        <v>11083</v>
      </c>
    </row>
    <row r="117" spans="1:1">
      <c r="A117" s="44" t="s">
        <v>11084</v>
      </c>
    </row>
    <row r="118" spans="1:1">
      <c r="A118" s="45" t="s">
        <v>11085</v>
      </c>
    </row>
    <row r="119" spans="1:1">
      <c r="A119" s="44" t="s">
        <v>11086</v>
      </c>
    </row>
    <row r="120" spans="1:1">
      <c r="A120" s="44" t="s">
        <v>9309</v>
      </c>
    </row>
    <row r="121" spans="1:1">
      <c r="A121" s="44" t="s">
        <v>11087</v>
      </c>
    </row>
    <row r="122" spans="1:1">
      <c r="A122" s="44" t="s">
        <v>11088</v>
      </c>
    </row>
    <row r="123" spans="1:1">
      <c r="A123" s="45" t="s">
        <v>11089</v>
      </c>
    </row>
    <row r="124" spans="1:1">
      <c r="A124" s="44" t="s">
        <v>11090</v>
      </c>
    </row>
    <row r="125" spans="1:1">
      <c r="A125" s="44" t="s">
        <v>9309</v>
      </c>
    </row>
    <row r="126" spans="1:1">
      <c r="A126" s="44" t="s">
        <v>11091</v>
      </c>
    </row>
    <row r="127" spans="1:1">
      <c r="A127" s="44" t="s">
        <v>11092</v>
      </c>
    </row>
    <row r="128" spans="1:1">
      <c r="A128" s="45" t="s">
        <v>11093</v>
      </c>
    </row>
    <row r="129" spans="1:1">
      <c r="A129" s="44" t="s">
        <v>11094</v>
      </c>
    </row>
    <row r="130" spans="1:1">
      <c r="A130" s="44" t="s">
        <v>9309</v>
      </c>
    </row>
    <row r="131" spans="1:1">
      <c r="A131" s="44" t="s">
        <v>11095</v>
      </c>
    </row>
    <row r="132" spans="1:1">
      <c r="A132" s="44" t="s">
        <v>11096</v>
      </c>
    </row>
    <row r="133" spans="1:1">
      <c r="A133" s="44" t="s">
        <v>11097</v>
      </c>
    </row>
    <row r="134" spans="1:1">
      <c r="A134" s="45" t="s">
        <v>11098</v>
      </c>
    </row>
    <row r="135" spans="1:1">
      <c r="A135" s="44" t="s">
        <v>9309</v>
      </c>
    </row>
    <row r="136" spans="1:1">
      <c r="A136" s="44" t="s">
        <v>11099</v>
      </c>
    </row>
    <row r="137" spans="1:1">
      <c r="A137" s="44" t="s">
        <v>11100</v>
      </c>
    </row>
    <row r="138" spans="1:1">
      <c r="A138" s="45" t="s">
        <v>11101</v>
      </c>
    </row>
    <row r="139" spans="1:1">
      <c r="A139" s="44" t="s">
        <v>11102</v>
      </c>
    </row>
    <row r="140" spans="1:1">
      <c r="A140" s="44" t="s">
        <v>9309</v>
      </c>
    </row>
    <row r="141" spans="1:1">
      <c r="A141" s="44" t="s">
        <v>11103</v>
      </c>
    </row>
    <row r="142" spans="1:1">
      <c r="A142" s="44" t="s">
        <v>11104</v>
      </c>
    </row>
    <row r="143" spans="1:1">
      <c r="A143" s="45" t="s">
        <v>11105</v>
      </c>
    </row>
    <row r="144" spans="1:1">
      <c r="A144" s="44" t="s">
        <v>11106</v>
      </c>
    </row>
    <row r="145" spans="1:1">
      <c r="A145" s="44" t="s">
        <v>9309</v>
      </c>
    </row>
    <row r="146" spans="1:1">
      <c r="A146" s="44" t="s">
        <v>11107</v>
      </c>
    </row>
    <row r="147" spans="1:1">
      <c r="A147" s="44" t="s">
        <v>11108</v>
      </c>
    </row>
    <row r="148" spans="1:1">
      <c r="A148" s="44" t="s">
        <v>11109</v>
      </c>
    </row>
    <row r="149" spans="1:1">
      <c r="A149" s="45" t="s">
        <v>11110</v>
      </c>
    </row>
    <row r="150" spans="1:1">
      <c r="A150" s="44" t="s">
        <v>9309</v>
      </c>
    </row>
    <row r="151" spans="1:1">
      <c r="A151" s="44" t="s">
        <v>11111</v>
      </c>
    </row>
    <row r="152" spans="1:1">
      <c r="A152" s="44" t="s">
        <v>11112</v>
      </c>
    </row>
    <row r="153" spans="1:1">
      <c r="A153" s="45" t="s">
        <v>26</v>
      </c>
    </row>
    <row r="154" spans="1:1">
      <c r="A154" s="44" t="s">
        <v>24</v>
      </c>
    </row>
    <row r="155" spans="1:1">
      <c r="A155" s="44" t="s">
        <v>9309</v>
      </c>
    </row>
    <row r="156" spans="1:1">
      <c r="A156" s="44" t="s">
        <v>11113</v>
      </c>
    </row>
    <row r="157" spans="1:1">
      <c r="A157" s="45" t="s">
        <v>11114</v>
      </c>
    </row>
    <row r="158" spans="1:1">
      <c r="A158" s="44" t="s">
        <v>11115</v>
      </c>
    </row>
    <row r="159" spans="1:1">
      <c r="A159" s="44" t="s">
        <v>11116</v>
      </c>
    </row>
    <row r="160" spans="1:1">
      <c r="A160" s="44" t="s">
        <v>9309</v>
      </c>
    </row>
    <row r="161" spans="1:1">
      <c r="A161" s="44" t="s">
        <v>11117</v>
      </c>
    </row>
    <row r="162" spans="1:1">
      <c r="A162" s="44">
        <v>26</v>
      </c>
    </row>
    <row r="163" spans="1:1">
      <c r="A163" s="45">
        <v>28</v>
      </c>
    </row>
    <row r="164" spans="1:1">
      <c r="A164" s="44">
        <v>31</v>
      </c>
    </row>
    <row r="165" spans="1:1">
      <c r="A165" s="44" t="s">
        <v>9309</v>
      </c>
    </row>
    <row r="166" spans="1:1">
      <c r="A166" s="44" t="s">
        <v>11118</v>
      </c>
    </row>
    <row r="167" spans="1:1">
      <c r="A167" s="45" t="s">
        <v>11119</v>
      </c>
    </row>
    <row r="168" spans="1:1">
      <c r="A168" s="44" t="s">
        <v>11120</v>
      </c>
    </row>
    <row r="169" spans="1:1">
      <c r="A169" s="44" t="s">
        <v>11121</v>
      </c>
    </row>
    <row r="170" spans="1:1">
      <c r="A170" s="44" t="s">
        <v>9309</v>
      </c>
    </row>
    <row r="171" spans="1:1">
      <c r="A171" s="44" t="s">
        <v>11122</v>
      </c>
    </row>
    <row r="172" spans="1:1">
      <c r="A172" s="45" t="s">
        <v>11123</v>
      </c>
    </row>
    <row r="173" spans="1:1">
      <c r="A173" s="44" t="s">
        <v>11124</v>
      </c>
    </row>
    <row r="174" spans="1:1">
      <c r="A174" s="44" t="s">
        <v>11125</v>
      </c>
    </row>
    <row r="175" spans="1:1">
      <c r="A175" s="44" t="s">
        <v>9309</v>
      </c>
    </row>
    <row r="176" spans="1:1">
      <c r="A176" s="44" t="s">
        <v>11126</v>
      </c>
    </row>
    <row r="177" spans="1:1">
      <c r="A177" s="45" t="s">
        <v>11127</v>
      </c>
    </row>
    <row r="178" spans="1:1">
      <c r="A178" s="44" t="s">
        <v>11128</v>
      </c>
    </row>
    <row r="179" spans="1:1">
      <c r="A179" s="44" t="s">
        <v>11129</v>
      </c>
    </row>
    <row r="180" spans="1:1">
      <c r="A180" s="44" t="s">
        <v>9309</v>
      </c>
    </row>
    <row r="181" spans="1:1">
      <c r="A181" s="44" t="s">
        <v>11130</v>
      </c>
    </row>
    <row r="182" spans="1:1">
      <c r="A182" s="44" t="s">
        <v>11131</v>
      </c>
    </row>
    <row r="183" spans="1:1">
      <c r="A183" s="45" t="s">
        <v>2310</v>
      </c>
    </row>
    <row r="184" spans="1:1">
      <c r="A184" s="44" t="s">
        <v>11132</v>
      </c>
    </row>
    <row r="185" spans="1:1">
      <c r="A185" s="44" t="s">
        <v>9309</v>
      </c>
    </row>
    <row r="186" spans="1:1">
      <c r="A186" s="44" t="s">
        <v>11133</v>
      </c>
    </row>
    <row r="187" spans="1:1">
      <c r="A187" s="44" t="s">
        <v>11134</v>
      </c>
    </row>
    <row r="188" spans="1:1">
      <c r="A188" s="45" t="s">
        <v>11135</v>
      </c>
    </row>
    <row r="189" spans="1:1">
      <c r="A189" s="44" t="s">
        <v>11136</v>
      </c>
    </row>
    <row r="190" spans="1:1">
      <c r="A190" s="44" t="s">
        <v>9309</v>
      </c>
    </row>
    <row r="191" spans="1:1">
      <c r="A191" s="44" t="s">
        <v>11137</v>
      </c>
    </row>
    <row r="192" spans="1:1">
      <c r="A192" s="45" t="s">
        <v>11138</v>
      </c>
    </row>
    <row r="193" spans="1:1">
      <c r="A193" s="44" t="s">
        <v>11139</v>
      </c>
    </row>
    <row r="194" spans="1:1">
      <c r="A194" s="44" t="s">
        <v>11140</v>
      </c>
    </row>
    <row r="195" spans="1:1">
      <c r="A195" s="44" t="s">
        <v>9309</v>
      </c>
    </row>
    <row r="196" spans="1:1">
      <c r="A196" s="44" t="s">
        <v>11141</v>
      </c>
    </row>
    <row r="197" spans="1:1">
      <c r="A197" s="45" t="s">
        <v>11142</v>
      </c>
    </row>
    <row r="198" spans="1:1">
      <c r="A198" s="44" t="s">
        <v>11143</v>
      </c>
    </row>
    <row r="199" spans="1:1">
      <c r="A199" s="44" t="s">
        <v>11144</v>
      </c>
    </row>
    <row r="200" spans="1:1">
      <c r="A200" s="44" t="s">
        <v>9309</v>
      </c>
    </row>
    <row r="201" spans="1:1">
      <c r="A201" s="44" t="s">
        <v>11145</v>
      </c>
    </row>
    <row r="202" spans="1:1">
      <c r="A202" s="45" t="s">
        <v>11146</v>
      </c>
    </row>
    <row r="203" spans="1:1">
      <c r="A203" s="44" t="s">
        <v>11147</v>
      </c>
    </row>
    <row r="204" spans="1:1">
      <c r="A204" s="44" t="s">
        <v>11148</v>
      </c>
    </row>
    <row r="205" spans="1:1">
      <c r="A205" s="44" t="s">
        <v>9309</v>
      </c>
    </row>
    <row r="206" spans="1:1">
      <c r="A206" s="44" t="s">
        <v>11149</v>
      </c>
    </row>
    <row r="207" spans="1:1">
      <c r="A207" s="45" t="s">
        <v>11150</v>
      </c>
    </row>
    <row r="208" spans="1:1">
      <c r="A208" s="44" t="s">
        <v>11151</v>
      </c>
    </row>
    <row r="209" spans="1:1">
      <c r="A209" s="44" t="s">
        <v>11152</v>
      </c>
    </row>
    <row r="210" spans="1:1">
      <c r="A210" s="44"/>
    </row>
    <row r="211" spans="1:1">
      <c r="A211" s="44" t="s">
        <v>11153</v>
      </c>
    </row>
    <row r="212" spans="1:1">
      <c r="A212" s="44" t="s">
        <v>11154</v>
      </c>
    </row>
    <row r="213" spans="1:1">
      <c r="A213" s="45" t="s">
        <v>11155</v>
      </c>
    </row>
    <row r="214" spans="1:1">
      <c r="A214" s="44" t="s">
        <v>11156</v>
      </c>
    </row>
    <row r="215" spans="1:1">
      <c r="A215" s="44" t="s">
        <v>9309</v>
      </c>
    </row>
    <row r="216" spans="1:1">
      <c r="A216" s="44" t="s">
        <v>11157</v>
      </c>
    </row>
    <row r="217" spans="1:1">
      <c r="A217" s="44" t="s">
        <v>11158</v>
      </c>
    </row>
    <row r="218" spans="1:1">
      <c r="A218" s="44" t="s">
        <v>2815</v>
      </c>
    </row>
    <row r="219" spans="1:1">
      <c r="A219" s="45" t="s">
        <v>11159</v>
      </c>
    </row>
    <row r="220" spans="1:1">
      <c r="A220" s="44" t="s">
        <v>9309</v>
      </c>
    </row>
    <row r="221" spans="1:1">
      <c r="A221" s="44" t="s">
        <v>11160</v>
      </c>
    </row>
    <row r="222" spans="1:1">
      <c r="A222" s="44" t="s">
        <v>11161</v>
      </c>
    </row>
    <row r="223" spans="1:1">
      <c r="A223" s="44" t="s">
        <v>11162</v>
      </c>
    </row>
    <row r="224" spans="1:1">
      <c r="A224" s="45" t="s">
        <v>11163</v>
      </c>
    </row>
    <row r="225" spans="1:1">
      <c r="A225" s="44"/>
    </row>
    <row r="226" spans="1:1">
      <c r="A226" s="44" t="s">
        <v>11014</v>
      </c>
    </row>
    <row r="227" spans="1:1">
      <c r="A227" s="44" t="s">
        <v>11164</v>
      </c>
    </row>
    <row r="228" spans="1:1">
      <c r="A228" s="45" t="s">
        <v>11165</v>
      </c>
    </row>
    <row r="229" spans="1:1">
      <c r="A229" s="44" t="s">
        <v>11166</v>
      </c>
    </row>
    <row r="230" spans="1:1">
      <c r="A230" s="44" t="s">
        <v>9309</v>
      </c>
    </row>
    <row r="231" spans="1:1">
      <c r="A231" s="44" t="s">
        <v>11167</v>
      </c>
    </row>
    <row r="232" spans="1:1">
      <c r="A232" s="45" t="s">
        <v>11168</v>
      </c>
    </row>
    <row r="233" spans="1:1">
      <c r="A233" s="44" t="s">
        <v>11169</v>
      </c>
    </row>
    <row r="234" spans="1:1">
      <c r="A234" s="44" t="s">
        <v>11170</v>
      </c>
    </row>
    <row r="235" spans="1:1">
      <c r="A235" s="44" t="s">
        <v>9309</v>
      </c>
    </row>
    <row r="236" spans="1:1">
      <c r="A236" s="44" t="s">
        <v>11171</v>
      </c>
    </row>
    <row r="237" spans="1:1">
      <c r="A237" s="44" t="s">
        <v>11172</v>
      </c>
    </row>
    <row r="238" spans="1:1">
      <c r="A238" s="44" t="s">
        <v>11173</v>
      </c>
    </row>
    <row r="239" spans="1:1">
      <c r="A239" s="45" t="s">
        <v>11174</v>
      </c>
    </row>
    <row r="240" spans="1:1">
      <c r="A240" s="45"/>
    </row>
    <row r="241" spans="1:1">
      <c r="A241" s="44" t="s">
        <v>11175</v>
      </c>
    </row>
    <row r="242" spans="1:1">
      <c r="A242" s="44" t="s">
        <v>11176</v>
      </c>
    </row>
    <row r="243" spans="1:1">
      <c r="A243" s="44" t="s">
        <v>1016</v>
      </c>
    </row>
    <row r="244" spans="1:1">
      <c r="A244" s="45" t="s">
        <v>11177</v>
      </c>
    </row>
    <row r="245" spans="1:1">
      <c r="A245" s="44" t="s">
        <v>9309</v>
      </c>
    </row>
    <row r="246" spans="1:1">
      <c r="A246" s="44" t="s">
        <v>11178</v>
      </c>
    </row>
    <row r="247" spans="1:1">
      <c r="A247" s="45" t="s">
        <v>11179</v>
      </c>
    </row>
    <row r="248" spans="1:1">
      <c r="A248" s="44" t="s">
        <v>11180</v>
      </c>
    </row>
    <row r="249" spans="1:1">
      <c r="A249" s="44" t="s">
        <v>11181</v>
      </c>
    </row>
    <row r="250" spans="1:1">
      <c r="A250" s="44" t="s">
        <v>9309</v>
      </c>
    </row>
    <row r="251" spans="1:1">
      <c r="A251" s="44" t="s">
        <v>11182</v>
      </c>
    </row>
    <row r="252" spans="1:1">
      <c r="A252" s="45" t="s">
        <v>11183</v>
      </c>
    </row>
    <row r="253" spans="1:1">
      <c r="A253" s="44" t="s">
        <v>11184</v>
      </c>
    </row>
    <row r="254" spans="1:1">
      <c r="A254" s="44" t="s">
        <v>11185</v>
      </c>
    </row>
    <row r="255" spans="1:1">
      <c r="A255" s="44"/>
    </row>
    <row r="256" spans="1:1">
      <c r="A256" s="44" t="s">
        <v>11186</v>
      </c>
    </row>
    <row r="257" spans="1:1">
      <c r="A257" s="44" t="s">
        <v>11187</v>
      </c>
    </row>
    <row r="258" spans="1:1">
      <c r="A258" s="44" t="s">
        <v>10572</v>
      </c>
    </row>
    <row r="259" spans="1:1">
      <c r="A259" s="45" t="s">
        <v>11188</v>
      </c>
    </row>
    <row r="260" spans="1:1">
      <c r="A260" s="44" t="s">
        <v>9309</v>
      </c>
    </row>
    <row r="261" spans="1:1">
      <c r="A261" s="44" t="s">
        <v>11189</v>
      </c>
    </row>
    <row r="262" spans="1:1">
      <c r="A262" s="44" t="s">
        <v>11190</v>
      </c>
    </row>
    <row r="263" spans="1:1">
      <c r="A263" s="44" t="s">
        <v>11191</v>
      </c>
    </row>
    <row r="264" spans="1:1">
      <c r="A264" s="45" t="s">
        <v>11192</v>
      </c>
    </row>
    <row r="265" spans="1:1">
      <c r="A265" s="44" t="s">
        <v>9309</v>
      </c>
    </row>
    <row r="266" spans="1:1">
      <c r="A266" s="44" t="s">
        <v>11193</v>
      </c>
    </row>
    <row r="267" spans="1:1">
      <c r="A267" s="44" t="s">
        <v>11194</v>
      </c>
    </row>
    <row r="268" spans="1:1">
      <c r="A268" s="44" t="s">
        <v>11195</v>
      </c>
    </row>
    <row r="269" spans="1:1">
      <c r="A269" s="45" t="s">
        <v>11196</v>
      </c>
    </row>
    <row r="270" spans="1:1">
      <c r="A270" s="45"/>
    </row>
    <row r="271" spans="1:1">
      <c r="A271" s="44" t="s">
        <v>11197</v>
      </c>
    </row>
    <row r="272" spans="1:1">
      <c r="A272" s="44" t="s">
        <v>11198</v>
      </c>
    </row>
    <row r="273" spans="1:1">
      <c r="A273" s="45" t="s">
        <v>11199</v>
      </c>
    </row>
    <row r="274" spans="1:1">
      <c r="A274" s="44" t="s">
        <v>11200</v>
      </c>
    </row>
    <row r="275" spans="1:1">
      <c r="A275" s="44" t="s">
        <v>9309</v>
      </c>
    </row>
    <row r="276" spans="1:1">
      <c r="A276" s="44" t="s">
        <v>11201</v>
      </c>
    </row>
    <row r="277" spans="1:1">
      <c r="A277" s="45" t="s">
        <v>11202</v>
      </c>
    </row>
    <row r="278" spans="1:1">
      <c r="A278" s="44" t="s">
        <v>11203</v>
      </c>
    </row>
    <row r="279" spans="1:1">
      <c r="A279" s="44" t="s">
        <v>11204</v>
      </c>
    </row>
    <row r="280" spans="1:1">
      <c r="A280" s="44" t="s">
        <v>9309</v>
      </c>
    </row>
    <row r="281" spans="1:1">
      <c r="A281" s="44" t="s">
        <v>11205</v>
      </c>
    </row>
    <row r="282" spans="1:1">
      <c r="A282" s="44" t="s">
        <v>11206</v>
      </c>
    </row>
    <row r="283" spans="1:1">
      <c r="A283" s="45" t="s">
        <v>11207</v>
      </c>
    </row>
    <row r="284" spans="1:1">
      <c r="A284" s="44" t="s">
        <v>11208</v>
      </c>
    </row>
    <row r="286" spans="1:1">
      <c r="A286" s="44" t="s">
        <v>11209</v>
      </c>
    </row>
    <row r="287" spans="1:1">
      <c r="A287" s="45" t="s">
        <v>11210</v>
      </c>
    </row>
    <row r="288" spans="1:1">
      <c r="A288" s="44" t="s">
        <v>11211</v>
      </c>
    </row>
    <row r="289" spans="1:1">
      <c r="A289" s="44" t="s">
        <v>11212</v>
      </c>
    </row>
    <row r="291" spans="1:1">
      <c r="A291" t="s">
        <v>11213</v>
      </c>
    </row>
    <row r="292" spans="1:1">
      <c r="A292" t="s">
        <v>11214</v>
      </c>
    </row>
    <row r="293" spans="1:1">
      <c r="A293" s="30" t="s">
        <v>11215</v>
      </c>
    </row>
    <row r="294" spans="1:1">
      <c r="A294" t="s">
        <v>11216</v>
      </c>
    </row>
    <row r="296" spans="1:1">
      <c r="A296" t="s">
        <v>11217</v>
      </c>
    </row>
    <row r="297" spans="1:1">
      <c r="A297" t="s">
        <v>11218</v>
      </c>
    </row>
    <row r="298" spans="1:1">
      <c r="A298" t="s">
        <v>11219</v>
      </c>
    </row>
    <row r="299" spans="1:1">
      <c r="A299" s="30" t="s">
        <v>11220</v>
      </c>
    </row>
    <row r="301" spans="1:1">
      <c r="A301" t="s">
        <v>11221</v>
      </c>
    </row>
    <row r="302" spans="1:1">
      <c r="A302" t="s">
        <v>11222</v>
      </c>
    </row>
    <row r="303" spans="1:1">
      <c r="A303" t="s">
        <v>11223</v>
      </c>
    </row>
    <row r="304" spans="1:1">
      <c r="A304" s="30" t="s">
        <v>11224</v>
      </c>
    </row>
    <row r="306" spans="1:1">
      <c r="A306" t="s">
        <v>11225</v>
      </c>
    </row>
    <row r="307" spans="1:1">
      <c r="A307" s="30" t="s">
        <v>11226</v>
      </c>
    </row>
    <row r="308" spans="1:1">
      <c r="A308" t="s">
        <v>11227</v>
      </c>
    </row>
    <row r="309" spans="1:1">
      <c r="A309" t="s">
        <v>11228</v>
      </c>
    </row>
    <row r="311" spans="1:1">
      <c r="A311" t="s">
        <v>11229</v>
      </c>
    </row>
    <row r="312" spans="1:1">
      <c r="A312" t="s">
        <v>11230</v>
      </c>
    </row>
    <row r="313" spans="1:1">
      <c r="A313" s="30" t="s">
        <v>11231</v>
      </c>
    </row>
    <row r="314" spans="1:1">
      <c r="A314" t="s">
        <v>11232</v>
      </c>
    </row>
    <row r="316" spans="1:1">
      <c r="A316" t="s">
        <v>11233</v>
      </c>
    </row>
    <row r="317" spans="1:1">
      <c r="A317" s="30" t="s">
        <v>11234</v>
      </c>
    </row>
    <row r="318" spans="1:1">
      <c r="A318" t="s">
        <v>11235</v>
      </c>
    </row>
    <row r="319" spans="1:1">
      <c r="A319" t="s">
        <v>11236</v>
      </c>
    </row>
    <row r="321" spans="1:1">
      <c r="A321" t="s">
        <v>11237</v>
      </c>
    </row>
    <row r="322" spans="1:1">
      <c r="A322" t="s">
        <v>11238</v>
      </c>
    </row>
    <row r="323" spans="1:1">
      <c r="A323" s="30" t="s">
        <v>11239</v>
      </c>
    </row>
    <row r="324" spans="1:1">
      <c r="A324" t="s">
        <v>11240</v>
      </c>
    </row>
    <row r="326" spans="1:1">
      <c r="A326" t="s">
        <v>11241</v>
      </c>
    </row>
    <row r="327" spans="1:1">
      <c r="A327" t="s">
        <v>11242</v>
      </c>
    </row>
    <row r="328" spans="1:1">
      <c r="A328" s="30" t="s">
        <v>11243</v>
      </c>
    </row>
    <row r="329" spans="1:1">
      <c r="A329" t="s">
        <v>11244</v>
      </c>
    </row>
    <row r="331" spans="1:1">
      <c r="A331" t="s">
        <v>11245</v>
      </c>
    </row>
    <row r="332" spans="1:1">
      <c r="A332" t="s">
        <v>11246</v>
      </c>
    </row>
    <row r="333" spans="1:1">
      <c r="A333" s="30" t="s">
        <v>11247</v>
      </c>
    </row>
    <row r="334" spans="1:1">
      <c r="A334" t="s">
        <v>11248</v>
      </c>
    </row>
    <row r="336" spans="1:1">
      <c r="A336" t="s">
        <v>11249</v>
      </c>
    </row>
    <row r="337" spans="1:1">
      <c r="A337" t="s">
        <v>11250</v>
      </c>
    </row>
    <row r="338" spans="1:1">
      <c r="A338" s="30" t="s">
        <v>11251</v>
      </c>
    </row>
    <row r="339" spans="1:1">
      <c r="A339" t="s">
        <v>11252</v>
      </c>
    </row>
    <row r="341" spans="1:1">
      <c r="A341" t="s">
        <v>11253</v>
      </c>
    </row>
    <row r="342" spans="1:1">
      <c r="A342" s="30" t="s">
        <v>11254</v>
      </c>
    </row>
    <row r="343" spans="1:1">
      <c r="A343" t="s">
        <v>11255</v>
      </c>
    </row>
    <row r="344" spans="1:1">
      <c r="A344" t="s">
        <v>11256</v>
      </c>
    </row>
    <row r="346" spans="1:1">
      <c r="A346" s="43" t="s">
        <v>11257</v>
      </c>
    </row>
    <row r="347" spans="1:1">
      <c r="A347" t="s">
        <v>11258</v>
      </c>
    </row>
    <row r="348" spans="1:1">
      <c r="A348" s="30" t="s">
        <v>11259</v>
      </c>
    </row>
    <row r="349" spans="1:1">
      <c r="A349" t="s">
        <v>11260</v>
      </c>
    </row>
    <row r="351" spans="1:1">
      <c r="A351" t="s">
        <v>11261</v>
      </c>
    </row>
    <row r="352" spans="1:1">
      <c r="A352" t="s">
        <v>11262</v>
      </c>
    </row>
    <row r="353" spans="1:1">
      <c r="A353" s="30" t="s">
        <v>11263</v>
      </c>
    </row>
    <row r="354" spans="1:1">
      <c r="A354" t="s">
        <v>11264</v>
      </c>
    </row>
    <row r="356" spans="1:1">
      <c r="A356" t="s">
        <v>11265</v>
      </c>
    </row>
    <row r="357" spans="1:1">
      <c r="A357" t="s">
        <v>11266</v>
      </c>
    </row>
    <row r="358" spans="1:1">
      <c r="A358" t="s">
        <v>11267</v>
      </c>
    </row>
    <row r="359" spans="1:1">
      <c r="A359" s="30" t="s">
        <v>11268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Sheet1</vt:lpstr>
      <vt:lpstr>잼아줌마 양식</vt:lpstr>
      <vt:lpstr>페이큐 양식2</vt:lpstr>
      <vt:lpstr>더퀴라 양식</vt:lpstr>
      <vt:lpstr>Sheet15</vt:lpstr>
      <vt:lpstr>1-10(완료)</vt:lpstr>
      <vt:lpstr>11-15(완료)</vt:lpstr>
      <vt:lpstr>16-18(완료)</vt:lpstr>
      <vt:lpstr>21(완료)</vt:lpstr>
      <vt:lpstr>22</vt:lpstr>
      <vt:lpstr>23-26(완료)</vt:lpstr>
      <vt:lpstr>27-29(완료)</vt:lpstr>
      <vt:lpstr>30-34(완료)</vt:lpstr>
      <vt:lpstr>35-40(완료)</vt:lpstr>
      <vt:lpstr>페이큐 양식(49-87포함-완료)</vt:lpstr>
      <vt:lpstr>41-48,88-93(완료)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왕예식 [nnnyyy]</cp:lastModifiedBy>
  <dcterms:created xsi:type="dcterms:W3CDTF">2018-05-18T01:26:08Z</dcterms:created>
  <dcterms:modified xsi:type="dcterms:W3CDTF">2018-10-08T08:23:55Z</dcterms:modified>
</cp:coreProperties>
</file>