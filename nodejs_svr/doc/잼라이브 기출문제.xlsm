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HubProject\jamlive_git\nodejs_svr\doc\"/>
    </mc:Choice>
  </mc:AlternateContent>
  <bookViews>
    <workbookView xWindow="0" yWindow="0" windowWidth="13215" windowHeight="5535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J11" i="1" l="1"/>
  <c r="J7" i="1"/>
  <c r="J14" i="1"/>
  <c r="J10" i="1"/>
  <c r="J6" i="1"/>
  <c r="J3" i="1"/>
  <c r="J12" i="1"/>
  <c r="J8" i="1"/>
  <c r="J4" i="1"/>
  <c r="J13" i="1"/>
  <c r="J9" i="1"/>
  <c r="J5" i="1"/>
  <c r="D2" i="2"/>
  <c r="D1" i="2"/>
  <c r="D3" i="2"/>
  <c r="D4" i="2"/>
  <c r="D5" i="2"/>
  <c r="D6" i="2"/>
  <c r="D7" i="2"/>
  <c r="D8" i="2"/>
  <c r="D9" i="2"/>
  <c r="D10" i="2"/>
  <c r="D11" i="2"/>
  <c r="D12" i="2"/>
  <c r="C12" i="2" l="1"/>
  <c r="C11" i="2"/>
  <c r="C10" i="2"/>
  <c r="F12" i="2"/>
  <c r="F11" i="2"/>
  <c r="F10" i="2"/>
  <c r="F9" i="2"/>
  <c r="F8" i="2"/>
  <c r="F7" i="2"/>
  <c r="F6" i="2"/>
  <c r="F5" i="2"/>
  <c r="F4" i="2"/>
  <c r="F3" i="2"/>
  <c r="F2" i="2"/>
  <c r="E12" i="2"/>
  <c r="E11" i="2"/>
  <c r="E10" i="2"/>
  <c r="E9" i="2"/>
  <c r="E8" i="2"/>
  <c r="E7" i="2"/>
  <c r="E6" i="2"/>
  <c r="E5" i="2"/>
  <c r="E4" i="2"/>
  <c r="E3" i="2"/>
  <c r="E2" i="2"/>
  <c r="F1" i="2"/>
  <c r="E1" i="2"/>
  <c r="C9" i="2"/>
  <c r="C8" i="2"/>
  <c r="C7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<sst xmlns="http://schemas.openxmlformats.org/spreadsheetml/2006/main" count="98" uniqueCount="74">
  <si>
    <t>즐라탄</t>
    <phoneticPr fontId="2" type="noConversion"/>
  </si>
  <si>
    <t>1. 당구에서 주로 쓰이는 작은 큐브 모양으로, 미끄러짐 방지를 위해 큐대 끝에 칠하는 이것은?</t>
  </si>
  <si>
    <t>A.  치키</t>
  </si>
  <si>
    <t>B.  차카</t>
  </si>
  <si>
    <r>
      <t>C.  </t>
    </r>
    <r>
      <rPr>
        <sz val="12"/>
        <color rgb="FFFF0000"/>
        <rFont val="Arial"/>
        <family val="2"/>
      </rPr>
      <t>초크</t>
    </r>
  </si>
  <si>
    <t>2. 사회 초년생 '장그래'를 주인공으로 직장인들의 애환을 그린 웹툰의 제목은?</t>
  </si>
  <si>
    <t>A.  희생</t>
  </si>
  <si>
    <r>
      <t>B.  </t>
    </r>
    <r>
      <rPr>
        <sz val="12"/>
        <color rgb="FFFF0000"/>
        <rFont val="Arial"/>
        <family val="2"/>
      </rPr>
      <t>미생</t>
    </r>
  </si>
  <si>
    <t>C.  고생</t>
  </si>
  <si>
    <t>3. 경기 안산, 시흥, 화성에 걸쳐있는 인공 호수로 시화방조제를 완공하며 조성된 이곳은?</t>
  </si>
  <si>
    <r>
      <t>A.  </t>
    </r>
    <r>
      <rPr>
        <sz val="12"/>
        <color rgb="FFFF0000"/>
        <rFont val="Arial"/>
        <family val="2"/>
      </rPr>
      <t>시화호</t>
    </r>
  </si>
  <si>
    <t>B.  방공호</t>
  </si>
  <si>
    <t>C.  야노시호</t>
  </si>
  <si>
    <t>4. 원래 '악당'을 뜻하는 말로, 특이한 행동을 하는 이들을 가리키는 의미로 확장돼 사용되기도 하는 단어는?</t>
  </si>
  <si>
    <t>A.  이런</t>
  </si>
  <si>
    <t>B.  저런</t>
  </si>
  <si>
    <r>
      <t>C.  </t>
    </r>
    <r>
      <rPr>
        <sz val="12"/>
        <color rgb="FFFF0000"/>
        <rFont val="Arial"/>
        <family val="2"/>
      </rPr>
      <t>빌런</t>
    </r>
  </si>
  <si>
    <t>5. 다음 중 로봇을 주제로 한 드라마가 아닌 것은?</t>
  </si>
  <si>
    <t>A.  너도 인간이니</t>
  </si>
  <si>
    <r>
      <t>B.  </t>
    </r>
    <r>
      <rPr>
        <sz val="12"/>
        <color rgb="FFFF0000"/>
        <rFont val="Arial"/>
        <family val="2"/>
      </rPr>
      <t>김비서가 왜 그럴까</t>
    </r>
  </si>
  <si>
    <t>C.  로봇이 아니야</t>
  </si>
  <si>
    <t>6. 세계 최초로 상용화된 날개 없는 선풍기를 개발한 회사는?</t>
  </si>
  <si>
    <t>A.  샤오미</t>
  </si>
  <si>
    <t>B.  삼성</t>
  </si>
  <si>
    <r>
      <t>C.  </t>
    </r>
    <r>
      <rPr>
        <sz val="12"/>
        <color rgb="FFFF0000"/>
        <rFont val="Arial"/>
        <family val="2"/>
      </rPr>
      <t>다이슨</t>
    </r>
  </si>
  <si>
    <t>7. 흔히 말하는 &lt;3포 세대&gt;의 3포에 포함되지 않는 것은?</t>
  </si>
  <si>
    <r>
      <t>A.  </t>
    </r>
    <r>
      <rPr>
        <sz val="12"/>
        <color rgb="FFFF0000"/>
        <rFont val="Arial"/>
        <family val="2"/>
      </rPr>
      <t>직장</t>
    </r>
  </si>
  <si>
    <t>B.  출산</t>
  </si>
  <si>
    <t>C.  연애</t>
  </si>
  <si>
    <t>8. 도시의 전문직에 종사하여 고소득을 얻는 젊은이를 칭하는 말은?</t>
  </si>
  <si>
    <t>A.  니트족</t>
  </si>
  <si>
    <t>B.  딩크족</t>
  </si>
  <si>
    <r>
      <t>C.  </t>
    </r>
    <r>
      <rPr>
        <sz val="12"/>
        <color rgb="FFFF0000"/>
        <rFont val="Arial"/>
        <family val="2"/>
      </rPr>
      <t>여피족</t>
    </r>
  </si>
  <si>
    <t>9. 안정된 관계에서 친밀감을 공유할 때 나오는 행복 호르몬은?</t>
  </si>
  <si>
    <t>A.  옥시토신</t>
  </si>
  <si>
    <r>
      <t>B.  </t>
    </r>
    <r>
      <rPr>
        <sz val="12"/>
        <color rgb="FFFF0000"/>
        <rFont val="Arial"/>
        <family val="2"/>
      </rPr>
      <t>세로토닌</t>
    </r>
  </si>
  <si>
    <t>C.  사이토카인</t>
  </si>
  <si>
    <t>10. 대한씨름협회 주관 공식 씨름 경기에서 샅바는 어느 쪽 허벅다리에 맬까?</t>
  </si>
  <si>
    <t>A.  왼쪽</t>
  </si>
  <si>
    <r>
      <t>B.  </t>
    </r>
    <r>
      <rPr>
        <sz val="12"/>
        <color rgb="FFFF0000"/>
        <rFont val="Arial"/>
        <family val="2"/>
      </rPr>
      <t>오른쪽</t>
    </r>
  </si>
  <si>
    <t>C.  양쪽</t>
  </si>
  <si>
    <t>11. '金 씨'를 금 씨가 아니라 김 씨로 읽기 시작한 때는?</t>
  </si>
  <si>
    <t>A.  신라</t>
  </si>
  <si>
    <t>B.  고려</t>
  </si>
  <si>
    <r>
      <t>C.  </t>
    </r>
    <r>
      <rPr>
        <sz val="12"/>
        <color rgb="FFFF0000"/>
        <rFont val="Arial"/>
        <family val="2"/>
      </rPr>
      <t>조선</t>
    </r>
  </si>
  <si>
    <t>12. 순우리말 '비긋다'는 무슨 뜻일까?</t>
  </si>
  <si>
    <r>
      <t>A.  </t>
    </r>
    <r>
      <rPr>
        <sz val="12"/>
        <color rgb="FFFF0000"/>
        <rFont val="Arial"/>
        <family val="2"/>
      </rPr>
      <t>비를 잠시 피하다</t>
    </r>
  </si>
  <si>
    <t>B.  마음에 마땅찮다</t>
  </si>
  <si>
    <t>C.  선을 비스듬히 긋다</t>
  </si>
  <si>
    <t xml:space="preserve"> 당구에서 주로 쓰이는 작은 큐브 모양으로, 미끄러짐 방지를 위해 큐대 끝에 칠하는 이것은?</t>
  </si>
  <si>
    <t>C.  초크</t>
  </si>
  <si>
    <t>B.  미생</t>
  </si>
  <si>
    <t> 경기 안산, 시흥, 화성에 걸쳐있는 인공 호수로 시화방조제를 완공하며 조성된 이곳은?</t>
  </si>
  <si>
    <t>A.  시화호</t>
  </si>
  <si>
    <t>C.  빌런</t>
  </si>
  <si>
    <t xml:space="preserve"> 다음 중 로봇을 주제로 한 드라마가 아닌 것은?</t>
  </si>
  <si>
    <t>B.  김비서가 왜 그럴까</t>
  </si>
  <si>
    <t xml:space="preserve"> 세계 최초로 상용화된 날개 없는 선풍기를 개발한 회사는?</t>
  </si>
  <si>
    <t>C.  다이슨</t>
  </si>
  <si>
    <t xml:space="preserve"> 흔히 말하는 &lt;3포 세대&gt;의 3포에 포함되지 않는 것은?</t>
  </si>
  <si>
    <t>A.  직장</t>
  </si>
  <si>
    <t xml:space="preserve"> 도시의 전문직에 종사하여 고소득을 얻는 젊은이를 칭하는 말은?</t>
  </si>
  <si>
    <t>C.  여피족</t>
  </si>
  <si>
    <t xml:space="preserve"> 안정된 관계에서 친밀감을 공유할 때 나오는 행복 호르몬은?</t>
  </si>
  <si>
    <t>B.  세로토닌</t>
  </si>
  <si>
    <t xml:space="preserve"> 대한씨름협회 주관 공식 씨름 경기에서 샅바는 어느 쪽 허벅다리에 맬까?</t>
  </si>
  <si>
    <t>B.  오른쪽</t>
  </si>
  <si>
    <t>C.  조선</t>
  </si>
  <si>
    <t>A.  비를 잠시 피하다</t>
  </si>
  <si>
    <t xml:space="preserve"> 사회 초년생 "장그래"를 주인공으로 직장인들의 애환을 그린 웹툰의 제목은?</t>
  </si>
  <si>
    <t xml:space="preserve"> 원래 "악당"을 뜻하는 말로, 특이한 행동을 하는 이들을 가리키는 의미로 확장돼 사용되기도 하는 단어는?</t>
  </si>
  <si>
    <t xml:space="preserve"> "金 씨"를 금 씨가 아니라 김 씨로 읽기 시작한 때는?</t>
  </si>
  <si>
    <t xml:space="preserve"> 순우리말 "비긋다"는 무슨 뜻일까?</t>
  </si>
  <si>
    <t>105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</si>
</sst>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맑은 고딕"/>
      <family val="2"/>
      <charset val="129"/>
      <scheme val="minor"/>
    </font>
    <font>
      <b/>
      <sz val="12"/>
      <color rgb="FF666666"/>
      <name val="Arial"/>
      <family val="2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5" fillId="0" borderId="0" xfId="0" applyFont="1" applyAlignment="1">
      <alignment horizontal="right" vertical="center" wrapText="1" indent="2"/>
    </xf>
    <xf numFmtId="0" fontId="4" fillId="0" borderId="0" xfId="0" applyFont="1" applyAlignment="1">
      <alignment horizontal="left" vertical="center" wrapText="1" indent="2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4"/>
  <sheetViews>
    <sheetView tabSelected="1" zoomScale="85" zoomScaleNormal="85" workbookViewId="0">
      <selection activeCell="J3" sqref="J3:J14"/>
    </sheetView>
  </sheetViews>
  <sheetFormatPr defaultRowHeight="16.5" x14ac:dyDescent="0.3"/>
  <cols>
    <col min="1" max="1" width="16.625" bestFit="1" customWidth="1"/>
    <col min="2" max="2" width="32.25" style="1" customWidth="1"/>
    <col min="3" max="6" width="10.625" style="1" customWidth="1"/>
    <col min="7" max="7" width="17.5" style="4" bestFit="1" customWidth="1"/>
    <col min="8" max="8" width="19.625" style="4" bestFit="1" customWidth="1"/>
    <col min="9" max="9" width="18.625" style="4" bestFit="1" customWidth="1"/>
    <col min="10" max="10" width="51.625" customWidth="1"/>
  </cols>
  <sheetData>
    <row r="1" spans="1:10" x14ac:dyDescent="0.3">
      <c r="G1" s="4" t="str">
        <f t="shared" ref="G1:G12" si="0">IF( IFERROR(FIND("A.",C1), 0) &gt; 0, TRIM(MID( C1, SEARCH("A.", C1)+2, 100)),TRIM(C1))</f>
        <v/>
      </c>
      <c r="H1" s="4" t="str">
        <f t="shared" ref="H1:H12" si="1">IF( IFERROR(FIND("B.",D1), 0) &gt; 0, TRIM(MID( D1, SEARCH("B.", D1)+2, 100)),TRIM(D1))</f>
        <v/>
      </c>
      <c r="I1" s="5" t="str">
        <f t="shared" ref="I1:I2" si="2">IF( IFERROR(FIND("C.",F1), 0) &gt; 0, TRIM(MID( F1, SEARCH("C.", F1)+2, 100)),TRIM(F1))</f>
        <v/>
      </c>
    </row>
    <row r="2" spans="1:10" x14ac:dyDescent="0.3">
      <c r="B2" s="1" t="s">
        <v>73</v>
      </c>
      <c r="G2" s="4" t="str">
        <f t="shared" si="0"/>
        <v/>
      </c>
      <c r="H2" s="4" t="str">
        <f t="shared" si="1"/>
        <v/>
      </c>
      <c r="I2" s="5" t="str">
        <f t="shared" si="2"/>
        <v/>
      </c>
    </row>
    <row r="3" spans="1:10" x14ac:dyDescent="0.3">
      <c r="A3">
        <v>1</v>
      </c>
      <c r="B3" s="1" t="s">
        <v>49</v>
      </c>
      <c r="C3" s="1" t="s">
        <v>2</v>
      </c>
      <c r="D3" s="1" t="s">
        <v>3</v>
      </c>
      <c r="E3" s="1" t="s">
        <v>50</v>
      </c>
      <c r="F3" s="1">
        <v>2</v>
      </c>
      <c r="G3" s="4" t="str">
        <f t="shared" si="0"/>
        <v>  치키</v>
      </c>
      <c r="H3" s="4" t="str">
        <f t="shared" si="1"/>
        <v>  차카</v>
      </c>
      <c r="I3" s="4" t="str">
        <f>IF( IFERROR(FIND("C.",E3), 0) &gt; 0, TRIM(MID( E3, SEARCH("C.", E3)+2, 100)),TRIM(E3))</f>
        <v>  초크</v>
      </c>
      <c r="J3" t="str">
        <f>"("&amp;$B$2&amp;","&amp;A3&amp;",'"&amp;B3&amp;"','"&amp;G3&amp;"','"&amp;H3&amp;"','"&amp;I3&amp;"',"&amp;F3&amp;"),"</f>
        <v>(105,1,' 당구에서 주로 쓰이는 작은 큐브 모양으로, 미끄러짐 방지를 위해 큐대 끝에 칠하는 이것은?','  치키','  차카','  초크',2),</v>
      </c>
    </row>
    <row r="4" spans="1:10" x14ac:dyDescent="0.3">
      <c r="A4">
        <v>2</v>
      </c>
      <c r="B4" s="1" t="s">
        <v>69</v>
      </c>
      <c r="C4" s="1" t="s">
        <v>6</v>
      </c>
      <c r="D4" s="1" t="s">
        <v>51</v>
      </c>
      <c r="E4" s="1" t="s">
        <v>8</v>
      </c>
      <c r="F4" s="1">
        <v>1</v>
      </c>
      <c r="G4" s="4" t="str">
        <f t="shared" si="0"/>
        <v>  희생</v>
      </c>
      <c r="H4" s="4" t="str">
        <f t="shared" si="1"/>
        <v>  미생</v>
      </c>
      <c r="I4" s="4" t="str">
        <f t="shared" ref="I4:I67" si="3">IF( IFERROR(FIND("C.",E4), 0) &gt; 0, TRIM(MID( E4, SEARCH("C.", E4)+2, 100)),TRIM(E4))</f>
        <v>  고생</v>
      </c>
      <c r="J4" t="str">
        <f t="shared" ref="J4:J14" si="4">"("&amp;$B$2&amp;","&amp;A4&amp;",'"&amp;B4&amp;"','"&amp;G4&amp;"','"&amp;H4&amp;"','"&amp;I4&amp;"',"&amp;F4&amp;"),"</f>
        <v>(105,2,' 사회 초년생 "장그래"를 주인공으로 직장인들의 애환을 그린 웹툰의 제목은?','  희생','  미생','  고생',1),</v>
      </c>
    </row>
    <row r="5" spans="1:10" x14ac:dyDescent="0.3">
      <c r="A5">
        <v>3</v>
      </c>
      <c r="B5" s="1" t="s">
        <v>52</v>
      </c>
      <c r="C5" s="1" t="s">
        <v>53</v>
      </c>
      <c r="D5" s="1" t="s">
        <v>11</v>
      </c>
      <c r="E5" s="1" t="s">
        <v>12</v>
      </c>
      <c r="F5" s="1">
        <v>0</v>
      </c>
      <c r="G5" s="4" t="str">
        <f t="shared" si="0"/>
        <v>  시화호</v>
      </c>
      <c r="H5" s="4" t="str">
        <f t="shared" si="1"/>
        <v>  방공호</v>
      </c>
      <c r="I5" s="4" t="str">
        <f t="shared" si="3"/>
        <v>  야노시호</v>
      </c>
      <c r="J5" t="str">
        <f t="shared" si="4"/>
        <v>(105,3,' 경기 안산, 시흥, 화성에 걸쳐있는 인공 호수로 시화방조제를 완공하며 조성된 이곳은?','  시화호','  방공호','  야노시호',0),</v>
      </c>
    </row>
    <row r="6" spans="1:10" x14ac:dyDescent="0.3">
      <c r="A6">
        <v>4</v>
      </c>
      <c r="B6" s="1" t="s">
        <v>70</v>
      </c>
      <c r="C6" s="1" t="s">
        <v>14</v>
      </c>
      <c r="D6" s="1" t="s">
        <v>15</v>
      </c>
      <c r="E6" s="1" t="s">
        <v>54</v>
      </c>
      <c r="F6" s="1">
        <v>2</v>
      </c>
      <c r="G6" s="4" t="str">
        <f t="shared" si="0"/>
        <v>  이런</v>
      </c>
      <c r="H6" s="4" t="str">
        <f t="shared" si="1"/>
        <v>  저런</v>
      </c>
      <c r="I6" s="4" t="str">
        <f t="shared" si="3"/>
        <v>  빌런</v>
      </c>
      <c r="J6" t="str">
        <f t="shared" si="4"/>
        <v>(105,4,' 원래 "악당"을 뜻하는 말로, 특이한 행동을 하는 이들을 가리키는 의미로 확장돼 사용되기도 하는 단어는?','  이런','  저런','  빌런',2),</v>
      </c>
    </row>
    <row r="7" spans="1:10" x14ac:dyDescent="0.3">
      <c r="A7">
        <v>5</v>
      </c>
      <c r="B7" s="1" t="s">
        <v>55</v>
      </c>
      <c r="C7" s="1" t="s">
        <v>18</v>
      </c>
      <c r="D7" s="1" t="s">
        <v>56</v>
      </c>
      <c r="E7" s="1" t="s">
        <v>20</v>
      </c>
      <c r="F7" s="1">
        <v>1</v>
      </c>
      <c r="G7" s="4" t="str">
        <f t="shared" si="0"/>
        <v>  너도 인간이니</v>
      </c>
      <c r="H7" s="4" t="str">
        <f t="shared" si="1"/>
        <v>  김비서가 왜 그럴까</v>
      </c>
      <c r="I7" s="4" t="str">
        <f t="shared" si="3"/>
        <v>  로봇이 아니야</v>
      </c>
      <c r="J7" t="str">
        <f t="shared" si="4"/>
        <v>(105,5,' 다음 중 로봇을 주제로 한 드라마가 아닌 것은?','  너도 인간이니','  김비서가 왜 그럴까','  로봇이 아니야',1),</v>
      </c>
    </row>
    <row r="8" spans="1:10" x14ac:dyDescent="0.3">
      <c r="A8">
        <v>6</v>
      </c>
      <c r="B8" s="1" t="s">
        <v>57</v>
      </c>
      <c r="C8" s="1" t="s">
        <v>22</v>
      </c>
      <c r="D8" s="1" t="s">
        <v>23</v>
      </c>
      <c r="E8" s="1" t="s">
        <v>58</v>
      </c>
      <c r="F8" s="1">
        <v>2</v>
      </c>
      <c r="G8" s="4" t="str">
        <f t="shared" si="0"/>
        <v>  샤오미</v>
      </c>
      <c r="H8" s="4" t="str">
        <f t="shared" si="1"/>
        <v>  삼성</v>
      </c>
      <c r="I8" s="4" t="str">
        <f t="shared" si="3"/>
        <v>  다이슨</v>
      </c>
      <c r="J8" t="str">
        <f t="shared" si="4"/>
        <v>(105,6,' 세계 최초로 상용화된 날개 없는 선풍기를 개발한 회사는?','  샤오미','  삼성','  다이슨',2),</v>
      </c>
    </row>
    <row r="9" spans="1:10" x14ac:dyDescent="0.3">
      <c r="A9">
        <v>7</v>
      </c>
      <c r="B9" s="1" t="s">
        <v>59</v>
      </c>
      <c r="C9" s="1" t="s">
        <v>60</v>
      </c>
      <c r="D9" s="1" t="s">
        <v>27</v>
      </c>
      <c r="E9" s="1" t="s">
        <v>28</v>
      </c>
      <c r="F9" s="1">
        <v>0</v>
      </c>
      <c r="G9" s="4" t="str">
        <f t="shared" si="0"/>
        <v>  직장</v>
      </c>
      <c r="H9" s="4" t="str">
        <f t="shared" si="1"/>
        <v>  출산</v>
      </c>
      <c r="I9" s="4" t="str">
        <f t="shared" si="3"/>
        <v>  연애</v>
      </c>
      <c r="J9" t="str">
        <f t="shared" si="4"/>
        <v>(105,7,' 흔히 말하는 &lt;3포 세대&gt;의 3포에 포함되지 않는 것은?','  직장','  출산','  연애',0),</v>
      </c>
    </row>
    <row r="10" spans="1:10" x14ac:dyDescent="0.3">
      <c r="A10">
        <v>8</v>
      </c>
      <c r="B10" s="1" t="s">
        <v>61</v>
      </c>
      <c r="C10" s="1" t="s">
        <v>30</v>
      </c>
      <c r="D10" s="1" t="s">
        <v>31</v>
      </c>
      <c r="E10" s="1" t="s">
        <v>62</v>
      </c>
      <c r="F10" s="1">
        <v>2</v>
      </c>
      <c r="G10" s="4" t="str">
        <f t="shared" si="0"/>
        <v>  니트족</v>
      </c>
      <c r="H10" s="4" t="str">
        <f t="shared" si="1"/>
        <v>  딩크족</v>
      </c>
      <c r="I10" s="4" t="str">
        <f t="shared" si="3"/>
        <v>  여피족</v>
      </c>
      <c r="J10" t="str">
        <f t="shared" si="4"/>
        <v>(105,8,' 도시의 전문직에 종사하여 고소득을 얻는 젊은이를 칭하는 말은?','  니트족','  딩크족','  여피족',2),</v>
      </c>
    </row>
    <row r="11" spans="1:10" x14ac:dyDescent="0.3">
      <c r="A11">
        <v>9</v>
      </c>
      <c r="B11" s="1" t="s">
        <v>63</v>
      </c>
      <c r="C11" s="1" t="s">
        <v>34</v>
      </c>
      <c r="D11" s="1" t="s">
        <v>64</v>
      </c>
      <c r="E11" s="1" t="s">
        <v>36</v>
      </c>
      <c r="F11" s="1">
        <v>1</v>
      </c>
      <c r="G11" s="4" t="str">
        <f t="shared" si="0"/>
        <v>  옥시토신</v>
      </c>
      <c r="H11" s="4" t="str">
        <f t="shared" si="1"/>
        <v>  세로토닌</v>
      </c>
      <c r="I11" s="4" t="str">
        <f t="shared" si="3"/>
        <v>  사이토카인</v>
      </c>
      <c r="J11" t="str">
        <f t="shared" si="4"/>
        <v>(105,9,' 안정된 관계에서 친밀감을 공유할 때 나오는 행복 호르몬은?','  옥시토신','  세로토닌','  사이토카인',1),</v>
      </c>
    </row>
    <row r="12" spans="1:10" x14ac:dyDescent="0.3">
      <c r="A12">
        <v>10</v>
      </c>
      <c r="B12" s="1" t="s">
        <v>65</v>
      </c>
      <c r="C12" s="1" t="s">
        <v>38</v>
      </c>
      <c r="D12" s="1" t="s">
        <v>66</v>
      </c>
      <c r="E12" s="1" t="s">
        <v>40</v>
      </c>
      <c r="F12" s="1">
        <v>1</v>
      </c>
      <c r="G12" s="4" t="str">
        <f t="shared" si="0"/>
        <v>  왼쪽</v>
      </c>
      <c r="H12" s="4" t="str">
        <f t="shared" si="1"/>
        <v>  오른쪽</v>
      </c>
      <c r="I12" s="4" t="str">
        <f t="shared" si="3"/>
        <v>  양쪽</v>
      </c>
      <c r="J12" t="str">
        <f t="shared" si="4"/>
        <v>(105,10,' 대한씨름협회 주관 공식 씨름 경기에서 샅바는 어느 쪽 허벅다리에 맬까?','  왼쪽','  오른쪽','  양쪽',1),</v>
      </c>
    </row>
    <row r="13" spans="1:10" x14ac:dyDescent="0.3">
      <c r="A13">
        <v>11</v>
      </c>
      <c r="B13" s="1" t="s">
        <v>71</v>
      </c>
      <c r="C13" s="1" t="s">
        <v>42</v>
      </c>
      <c r="D13" s="1" t="s">
        <v>43</v>
      </c>
      <c r="E13" s="1" t="s">
        <v>67</v>
      </c>
      <c r="F13" s="1">
        <v>2</v>
      </c>
      <c r="G13" s="4" t="str">
        <f t="shared" ref="G13:G64" si="5">IF( IFERROR(FIND("A.",C13), 0) &gt; 0, TRIM(MID( C13, SEARCH("A.", C13)+2, 100)),TRIM(C13))</f>
        <v>  신라</v>
      </c>
      <c r="H13" s="4" t="str">
        <f t="shared" ref="H13:H64" si="6">IF( IFERROR(FIND("B.",D13), 0) &gt; 0, TRIM(MID( D13, SEARCH("B.", D13)+2, 100)),TRIM(D13))</f>
        <v>  고려</v>
      </c>
      <c r="I13" s="4" t="str">
        <f t="shared" si="3"/>
        <v>  조선</v>
      </c>
      <c r="J13" t="str">
        <f t="shared" si="4"/>
        <v>(105,11,' "金 씨"를 금 씨가 아니라 김 씨로 읽기 시작한 때는?','  신라','  고려','  조선',2),</v>
      </c>
    </row>
    <row r="14" spans="1:10" x14ac:dyDescent="0.3">
      <c r="A14">
        <v>12</v>
      </c>
      <c r="B14" s="1" t="s">
        <v>72</v>
      </c>
      <c r="C14" s="1" t="s">
        <v>68</v>
      </c>
      <c r="D14" s="1" t="s">
        <v>47</v>
      </c>
      <c r="E14" s="1" t="s">
        <v>48</v>
      </c>
      <c r="F14" s="1">
        <v>0</v>
      </c>
      <c r="G14" s="4" t="str">
        <f t="shared" si="5"/>
        <v>  비를 잠시 피하다</v>
      </c>
      <c r="H14" s="4" t="str">
        <f t="shared" si="6"/>
        <v>  마음에 마땅찮다</v>
      </c>
      <c r="I14" s="4" t="str">
        <f t="shared" si="3"/>
        <v>  선을 비스듬히 긋다</v>
      </c>
      <c r="J14" t="str">
        <f t="shared" si="4"/>
        <v>(105,12,' 순우리말 "비긋다"는 무슨 뜻일까?','  비를 잠시 피하다','  마음에 마땅찮다','  선을 비스듬히 긋다',0),</v>
      </c>
    </row>
    <row r="15" spans="1:10" x14ac:dyDescent="0.3">
      <c r="G15" s="4" t="str">
        <f t="shared" si="5"/>
        <v/>
      </c>
      <c r="H15" s="4" t="str">
        <f t="shared" si="6"/>
        <v/>
      </c>
      <c r="I15" s="4" t="str">
        <f t="shared" si="3"/>
        <v/>
      </c>
    </row>
    <row r="16" spans="1:10" x14ac:dyDescent="0.3">
      <c r="G16" s="4" t="str">
        <f t="shared" si="5"/>
        <v/>
      </c>
      <c r="H16" s="4" t="str">
        <f t="shared" si="6"/>
        <v/>
      </c>
      <c r="I16" s="4" t="str">
        <f t="shared" si="3"/>
        <v/>
      </c>
    </row>
    <row r="17" spans="7:9" x14ac:dyDescent="0.3">
      <c r="G17" s="4" t="str">
        <f t="shared" si="5"/>
        <v/>
      </c>
      <c r="H17" s="4" t="str">
        <f t="shared" si="6"/>
        <v/>
      </c>
      <c r="I17" s="4" t="str">
        <f t="shared" si="3"/>
        <v/>
      </c>
    </row>
    <row r="18" spans="7:9" x14ac:dyDescent="0.3">
      <c r="G18" s="4" t="str">
        <f t="shared" si="5"/>
        <v/>
      </c>
      <c r="H18" s="4" t="str">
        <f t="shared" si="6"/>
        <v/>
      </c>
      <c r="I18" s="4" t="str">
        <f t="shared" si="3"/>
        <v/>
      </c>
    </row>
    <row r="19" spans="7:9" x14ac:dyDescent="0.3">
      <c r="G19" s="4" t="str">
        <f t="shared" si="5"/>
        <v/>
      </c>
      <c r="H19" s="4" t="str">
        <f t="shared" si="6"/>
        <v/>
      </c>
      <c r="I19" s="4" t="str">
        <f t="shared" si="3"/>
        <v/>
      </c>
    </row>
    <row r="20" spans="7:9" x14ac:dyDescent="0.3">
      <c r="G20" s="4" t="str">
        <f t="shared" si="5"/>
        <v/>
      </c>
      <c r="H20" s="4" t="str">
        <f t="shared" si="6"/>
        <v/>
      </c>
      <c r="I20" s="4" t="str">
        <f t="shared" si="3"/>
        <v/>
      </c>
    </row>
    <row r="21" spans="7:9" x14ac:dyDescent="0.3">
      <c r="G21" s="4" t="str">
        <f t="shared" si="5"/>
        <v/>
      </c>
      <c r="H21" s="4" t="str">
        <f t="shared" si="6"/>
        <v/>
      </c>
      <c r="I21" s="4" t="str">
        <f t="shared" si="3"/>
        <v/>
      </c>
    </row>
    <row r="22" spans="7:9" x14ac:dyDescent="0.3">
      <c r="G22" s="4" t="str">
        <f t="shared" si="5"/>
        <v/>
      </c>
      <c r="H22" s="4" t="str">
        <f t="shared" si="6"/>
        <v/>
      </c>
      <c r="I22" s="4" t="str">
        <f t="shared" si="3"/>
        <v/>
      </c>
    </row>
    <row r="23" spans="7:9" x14ac:dyDescent="0.3">
      <c r="G23" s="4" t="str">
        <f t="shared" si="5"/>
        <v/>
      </c>
      <c r="H23" s="4" t="str">
        <f t="shared" si="6"/>
        <v/>
      </c>
      <c r="I23" s="4" t="str">
        <f t="shared" si="3"/>
        <v/>
      </c>
    </row>
    <row r="24" spans="7:9" x14ac:dyDescent="0.3">
      <c r="G24" s="4" t="str">
        <f t="shared" si="5"/>
        <v/>
      </c>
      <c r="H24" s="4" t="str">
        <f t="shared" si="6"/>
        <v/>
      </c>
      <c r="I24" s="4" t="str">
        <f t="shared" si="3"/>
        <v/>
      </c>
    </row>
    <row r="25" spans="7:9" x14ac:dyDescent="0.3">
      <c r="G25" s="4" t="str">
        <f t="shared" si="5"/>
        <v/>
      </c>
      <c r="H25" s="4" t="str">
        <f t="shared" si="6"/>
        <v/>
      </c>
      <c r="I25" s="4" t="str">
        <f t="shared" si="3"/>
        <v/>
      </c>
    </row>
    <row r="26" spans="7:9" x14ac:dyDescent="0.3">
      <c r="G26" s="4" t="str">
        <f t="shared" si="5"/>
        <v/>
      </c>
      <c r="H26" s="4" t="str">
        <f t="shared" si="6"/>
        <v/>
      </c>
      <c r="I26" s="4" t="str">
        <f t="shared" si="3"/>
        <v/>
      </c>
    </row>
    <row r="27" spans="7:9" x14ac:dyDescent="0.3">
      <c r="G27" s="4" t="str">
        <f t="shared" si="5"/>
        <v/>
      </c>
      <c r="H27" s="4" t="str">
        <f t="shared" si="6"/>
        <v/>
      </c>
      <c r="I27" s="4" t="str">
        <f t="shared" si="3"/>
        <v/>
      </c>
    </row>
    <row r="28" spans="7:9" x14ac:dyDescent="0.3">
      <c r="G28" s="4" t="str">
        <f t="shared" si="5"/>
        <v/>
      </c>
      <c r="H28" s="4" t="str">
        <f t="shared" si="6"/>
        <v/>
      </c>
      <c r="I28" s="4" t="str">
        <f t="shared" si="3"/>
        <v/>
      </c>
    </row>
    <row r="29" spans="7:9" x14ac:dyDescent="0.3">
      <c r="G29" s="4" t="str">
        <f t="shared" si="5"/>
        <v/>
      </c>
      <c r="H29" s="4" t="str">
        <f t="shared" si="6"/>
        <v/>
      </c>
      <c r="I29" s="4" t="str">
        <f t="shared" si="3"/>
        <v/>
      </c>
    </row>
    <row r="30" spans="7:9" x14ac:dyDescent="0.3">
      <c r="G30" s="4" t="str">
        <f t="shared" si="5"/>
        <v/>
      </c>
      <c r="H30" s="4" t="str">
        <f t="shared" si="6"/>
        <v/>
      </c>
      <c r="I30" s="4" t="str">
        <f t="shared" si="3"/>
        <v/>
      </c>
    </row>
    <row r="31" spans="7:9" x14ac:dyDescent="0.3">
      <c r="G31" s="4" t="str">
        <f t="shared" si="5"/>
        <v/>
      </c>
      <c r="H31" s="4" t="str">
        <f t="shared" si="6"/>
        <v/>
      </c>
      <c r="I31" s="4" t="str">
        <f t="shared" si="3"/>
        <v/>
      </c>
    </row>
    <row r="32" spans="7:9" x14ac:dyDescent="0.3">
      <c r="G32" s="4" t="str">
        <f t="shared" si="5"/>
        <v/>
      </c>
      <c r="H32" s="4" t="str">
        <f t="shared" si="6"/>
        <v/>
      </c>
      <c r="I32" s="4" t="str">
        <f t="shared" si="3"/>
        <v/>
      </c>
    </row>
    <row r="33" spans="7:9" x14ac:dyDescent="0.3">
      <c r="G33" s="4" t="str">
        <f t="shared" si="5"/>
        <v/>
      </c>
      <c r="H33" s="4" t="str">
        <f t="shared" si="6"/>
        <v/>
      </c>
      <c r="I33" s="4" t="str">
        <f t="shared" si="3"/>
        <v/>
      </c>
    </row>
    <row r="34" spans="7:9" x14ac:dyDescent="0.3">
      <c r="G34" s="4" t="str">
        <f t="shared" si="5"/>
        <v/>
      </c>
      <c r="H34" s="4" t="str">
        <f t="shared" si="6"/>
        <v/>
      </c>
      <c r="I34" s="4" t="str">
        <f t="shared" si="3"/>
        <v/>
      </c>
    </row>
    <row r="35" spans="7:9" x14ac:dyDescent="0.3">
      <c r="G35" s="4" t="str">
        <f t="shared" si="5"/>
        <v/>
      </c>
      <c r="H35" s="4" t="str">
        <f t="shared" si="6"/>
        <v/>
      </c>
      <c r="I35" s="4" t="str">
        <f t="shared" si="3"/>
        <v/>
      </c>
    </row>
    <row r="36" spans="7:9" x14ac:dyDescent="0.3">
      <c r="G36" s="4" t="str">
        <f t="shared" si="5"/>
        <v/>
      </c>
      <c r="H36" s="4" t="str">
        <f t="shared" si="6"/>
        <v/>
      </c>
      <c r="I36" s="4" t="str">
        <f t="shared" si="3"/>
        <v/>
      </c>
    </row>
    <row r="37" spans="7:9" x14ac:dyDescent="0.3">
      <c r="G37" s="4" t="str">
        <f t="shared" si="5"/>
        <v/>
      </c>
      <c r="H37" s="4" t="str">
        <f t="shared" si="6"/>
        <v/>
      </c>
      <c r="I37" s="4" t="str">
        <f t="shared" si="3"/>
        <v/>
      </c>
    </row>
    <row r="38" spans="7:9" x14ac:dyDescent="0.3">
      <c r="G38" s="4" t="str">
        <f t="shared" si="5"/>
        <v/>
      </c>
      <c r="H38" s="4" t="str">
        <f t="shared" si="6"/>
        <v/>
      </c>
      <c r="I38" s="4" t="str">
        <f t="shared" si="3"/>
        <v/>
      </c>
    </row>
    <row r="39" spans="7:9" x14ac:dyDescent="0.3">
      <c r="G39" s="4" t="str">
        <f t="shared" si="5"/>
        <v/>
      </c>
      <c r="H39" s="4" t="str">
        <f t="shared" si="6"/>
        <v/>
      </c>
      <c r="I39" s="4" t="str">
        <f t="shared" si="3"/>
        <v/>
      </c>
    </row>
    <row r="40" spans="7:9" x14ac:dyDescent="0.3">
      <c r="G40" s="4" t="str">
        <f t="shared" si="5"/>
        <v/>
      </c>
      <c r="H40" s="4" t="str">
        <f t="shared" si="6"/>
        <v/>
      </c>
      <c r="I40" s="4" t="str">
        <f t="shared" si="3"/>
        <v/>
      </c>
    </row>
    <row r="41" spans="7:9" x14ac:dyDescent="0.3">
      <c r="G41" s="4" t="str">
        <f t="shared" si="5"/>
        <v/>
      </c>
      <c r="H41" s="4" t="str">
        <f t="shared" si="6"/>
        <v/>
      </c>
      <c r="I41" s="4" t="str">
        <f t="shared" si="3"/>
        <v/>
      </c>
    </row>
    <row r="42" spans="7:9" x14ac:dyDescent="0.3">
      <c r="G42" s="4" t="str">
        <f t="shared" si="5"/>
        <v/>
      </c>
      <c r="H42" s="4" t="str">
        <f t="shared" si="6"/>
        <v/>
      </c>
      <c r="I42" s="4" t="str">
        <f t="shared" si="3"/>
        <v/>
      </c>
    </row>
    <row r="43" spans="7:9" x14ac:dyDescent="0.3">
      <c r="G43" s="4" t="str">
        <f t="shared" si="5"/>
        <v/>
      </c>
      <c r="H43" s="4" t="str">
        <f t="shared" si="6"/>
        <v/>
      </c>
      <c r="I43" s="4" t="str">
        <f t="shared" si="3"/>
        <v/>
      </c>
    </row>
    <row r="44" spans="7:9" x14ac:dyDescent="0.3">
      <c r="G44" s="4" t="str">
        <f t="shared" si="5"/>
        <v/>
      </c>
      <c r="H44" s="4" t="str">
        <f t="shared" si="6"/>
        <v/>
      </c>
      <c r="I44" s="4" t="str">
        <f t="shared" si="3"/>
        <v/>
      </c>
    </row>
    <row r="45" spans="7:9" x14ac:dyDescent="0.3">
      <c r="G45" s="4" t="str">
        <f t="shared" si="5"/>
        <v/>
      </c>
      <c r="H45" s="4" t="str">
        <f t="shared" si="6"/>
        <v/>
      </c>
      <c r="I45" s="4" t="str">
        <f t="shared" si="3"/>
        <v/>
      </c>
    </row>
    <row r="46" spans="7:9" x14ac:dyDescent="0.3">
      <c r="G46" s="4" t="str">
        <f t="shared" si="5"/>
        <v/>
      </c>
      <c r="H46" s="4" t="str">
        <f t="shared" si="6"/>
        <v/>
      </c>
      <c r="I46" s="4" t="str">
        <f t="shared" si="3"/>
        <v/>
      </c>
    </row>
    <row r="47" spans="7:9" x14ac:dyDescent="0.3">
      <c r="G47" s="4" t="str">
        <f t="shared" si="5"/>
        <v/>
      </c>
      <c r="H47" s="4" t="str">
        <f t="shared" si="6"/>
        <v/>
      </c>
      <c r="I47" s="4" t="str">
        <f t="shared" si="3"/>
        <v/>
      </c>
    </row>
    <row r="48" spans="7:9" x14ac:dyDescent="0.3">
      <c r="G48" s="4" t="str">
        <f t="shared" si="5"/>
        <v/>
      </c>
      <c r="H48" s="4" t="str">
        <f t="shared" si="6"/>
        <v/>
      </c>
      <c r="I48" s="4" t="str">
        <f t="shared" si="3"/>
        <v/>
      </c>
    </row>
    <row r="49" spans="7:9" x14ac:dyDescent="0.3">
      <c r="G49" s="4" t="str">
        <f t="shared" si="5"/>
        <v/>
      </c>
      <c r="H49" s="4" t="str">
        <f t="shared" si="6"/>
        <v/>
      </c>
      <c r="I49" s="4" t="str">
        <f t="shared" si="3"/>
        <v/>
      </c>
    </row>
    <row r="50" spans="7:9" x14ac:dyDescent="0.3">
      <c r="G50" s="4" t="str">
        <f t="shared" si="5"/>
        <v/>
      </c>
      <c r="H50" s="4" t="str">
        <f t="shared" si="6"/>
        <v/>
      </c>
      <c r="I50" s="4" t="str">
        <f t="shared" si="3"/>
        <v/>
      </c>
    </row>
    <row r="51" spans="7:9" x14ac:dyDescent="0.3">
      <c r="G51" s="4" t="str">
        <f t="shared" si="5"/>
        <v/>
      </c>
      <c r="H51" s="4" t="str">
        <f t="shared" si="6"/>
        <v/>
      </c>
      <c r="I51" s="4" t="str">
        <f t="shared" si="3"/>
        <v/>
      </c>
    </row>
    <row r="52" spans="7:9" x14ac:dyDescent="0.3">
      <c r="G52" s="4" t="str">
        <f t="shared" si="5"/>
        <v/>
      </c>
      <c r="H52" s="4" t="str">
        <f t="shared" si="6"/>
        <v/>
      </c>
      <c r="I52" s="4" t="str">
        <f t="shared" si="3"/>
        <v/>
      </c>
    </row>
    <row r="53" spans="7:9" x14ac:dyDescent="0.3">
      <c r="G53" s="4" t="str">
        <f t="shared" si="5"/>
        <v/>
      </c>
      <c r="H53" s="4" t="str">
        <f t="shared" si="6"/>
        <v/>
      </c>
      <c r="I53" s="4" t="str">
        <f t="shared" si="3"/>
        <v/>
      </c>
    </row>
    <row r="54" spans="7:9" x14ac:dyDescent="0.3">
      <c r="G54" s="4" t="str">
        <f t="shared" si="5"/>
        <v/>
      </c>
      <c r="H54" s="4" t="str">
        <f t="shared" si="6"/>
        <v/>
      </c>
      <c r="I54" s="4" t="str">
        <f t="shared" si="3"/>
        <v/>
      </c>
    </row>
    <row r="55" spans="7:9" x14ac:dyDescent="0.3">
      <c r="G55" s="4" t="str">
        <f t="shared" si="5"/>
        <v/>
      </c>
      <c r="H55" s="4" t="str">
        <f t="shared" si="6"/>
        <v/>
      </c>
      <c r="I55" s="4" t="str">
        <f t="shared" si="3"/>
        <v/>
      </c>
    </row>
    <row r="56" spans="7:9" x14ac:dyDescent="0.3">
      <c r="G56" s="4" t="str">
        <f t="shared" si="5"/>
        <v/>
      </c>
      <c r="H56" s="4" t="str">
        <f t="shared" si="6"/>
        <v/>
      </c>
      <c r="I56" s="4" t="str">
        <f t="shared" si="3"/>
        <v/>
      </c>
    </row>
    <row r="57" spans="7:9" x14ac:dyDescent="0.3">
      <c r="G57" s="4" t="str">
        <f t="shared" si="5"/>
        <v/>
      </c>
      <c r="H57" s="4" t="str">
        <f t="shared" si="6"/>
        <v/>
      </c>
      <c r="I57" s="4" t="str">
        <f t="shared" si="3"/>
        <v/>
      </c>
    </row>
    <row r="58" spans="7:9" x14ac:dyDescent="0.3">
      <c r="G58" s="4" t="str">
        <f t="shared" si="5"/>
        <v/>
      </c>
      <c r="H58" s="4" t="str">
        <f t="shared" si="6"/>
        <v/>
      </c>
      <c r="I58" s="4" t="str">
        <f t="shared" si="3"/>
        <v/>
      </c>
    </row>
    <row r="59" spans="7:9" x14ac:dyDescent="0.3">
      <c r="G59" s="4" t="str">
        <f t="shared" si="5"/>
        <v/>
      </c>
      <c r="H59" s="4" t="str">
        <f t="shared" si="6"/>
        <v/>
      </c>
      <c r="I59" s="4" t="str">
        <f t="shared" si="3"/>
        <v/>
      </c>
    </row>
    <row r="60" spans="7:9" x14ac:dyDescent="0.3">
      <c r="G60" s="4" t="str">
        <f t="shared" si="5"/>
        <v/>
      </c>
      <c r="H60" s="4" t="str">
        <f t="shared" si="6"/>
        <v/>
      </c>
      <c r="I60" s="4" t="str">
        <f t="shared" si="3"/>
        <v/>
      </c>
    </row>
    <row r="61" spans="7:9" x14ac:dyDescent="0.3">
      <c r="G61" s="4" t="str">
        <f t="shared" si="5"/>
        <v/>
      </c>
      <c r="H61" s="4" t="str">
        <f t="shared" si="6"/>
        <v/>
      </c>
      <c r="I61" s="4" t="str">
        <f t="shared" si="3"/>
        <v/>
      </c>
    </row>
    <row r="62" spans="7:9" x14ac:dyDescent="0.3">
      <c r="G62" s="4" t="str">
        <f t="shared" si="5"/>
        <v/>
      </c>
      <c r="H62" s="4" t="str">
        <f t="shared" si="6"/>
        <v/>
      </c>
      <c r="I62" s="4" t="str">
        <f t="shared" si="3"/>
        <v/>
      </c>
    </row>
    <row r="63" spans="7:9" x14ac:dyDescent="0.3">
      <c r="G63" s="4" t="str">
        <f t="shared" si="5"/>
        <v/>
      </c>
      <c r="H63" s="4" t="str">
        <f t="shared" si="6"/>
        <v/>
      </c>
      <c r="I63" s="4" t="str">
        <f t="shared" si="3"/>
        <v/>
      </c>
    </row>
    <row r="64" spans="7:9" x14ac:dyDescent="0.3">
      <c r="G64" s="4" t="str">
        <f t="shared" si="5"/>
        <v/>
      </c>
      <c r="H64" s="4" t="str">
        <f t="shared" si="6"/>
        <v/>
      </c>
      <c r="I64" s="4" t="str">
        <f t="shared" si="3"/>
        <v/>
      </c>
    </row>
    <row r="65" spans="7:9" x14ac:dyDescent="0.3">
      <c r="G65" s="4" t="str">
        <f t="shared" ref="G65:G128" si="7">IF( IFERROR(FIND("A.",C65), 0) &gt; 0, TRIM(MID( C65, SEARCH("A.", C65)+2, 100)),TRIM(C65))</f>
        <v/>
      </c>
      <c r="H65" s="4" t="str">
        <f t="shared" ref="H65:H128" si="8">IF( IFERROR(FIND("B.",D65), 0) &gt; 0, TRIM(MID( D65, SEARCH("B.", D65)+2, 100)),TRIM(D65))</f>
        <v/>
      </c>
      <c r="I65" s="4" t="str">
        <f t="shared" si="3"/>
        <v/>
      </c>
    </row>
    <row r="66" spans="7:9" x14ac:dyDescent="0.3">
      <c r="G66" s="4" t="str">
        <f t="shared" si="7"/>
        <v/>
      </c>
      <c r="H66" s="4" t="str">
        <f t="shared" si="8"/>
        <v/>
      </c>
      <c r="I66" s="4" t="str">
        <f t="shared" si="3"/>
        <v/>
      </c>
    </row>
    <row r="67" spans="7:9" x14ac:dyDescent="0.3">
      <c r="G67" s="4" t="str">
        <f t="shared" si="7"/>
        <v/>
      </c>
      <c r="H67" s="4" t="str">
        <f t="shared" si="8"/>
        <v/>
      </c>
      <c r="I67" s="4" t="str">
        <f t="shared" si="3"/>
        <v/>
      </c>
    </row>
    <row r="68" spans="7:9" x14ac:dyDescent="0.3">
      <c r="G68" s="4" t="str">
        <f t="shared" si="7"/>
        <v/>
      </c>
      <c r="H68" s="4" t="str">
        <f t="shared" si="8"/>
        <v/>
      </c>
      <c r="I68" s="4" t="str">
        <f t="shared" ref="I68:I131" si="9">IF( IFERROR(FIND("C.",E68), 0) &gt; 0, TRIM(MID( E68, SEARCH("C.", E68)+2, 100)),TRIM(E68))</f>
        <v/>
      </c>
    </row>
    <row r="69" spans="7:9" x14ac:dyDescent="0.3">
      <c r="G69" s="4" t="str">
        <f t="shared" si="7"/>
        <v/>
      </c>
      <c r="H69" s="4" t="str">
        <f t="shared" si="8"/>
        <v/>
      </c>
      <c r="I69" s="4" t="str">
        <f t="shared" si="9"/>
        <v/>
      </c>
    </row>
    <row r="70" spans="7:9" x14ac:dyDescent="0.3">
      <c r="G70" s="4" t="str">
        <f t="shared" si="7"/>
        <v/>
      </c>
      <c r="H70" s="4" t="str">
        <f t="shared" si="8"/>
        <v/>
      </c>
      <c r="I70" s="4" t="str">
        <f t="shared" si="9"/>
        <v/>
      </c>
    </row>
    <row r="71" spans="7:9" x14ac:dyDescent="0.3">
      <c r="G71" s="4" t="str">
        <f t="shared" si="7"/>
        <v/>
      </c>
      <c r="H71" s="4" t="str">
        <f t="shared" si="8"/>
        <v/>
      </c>
      <c r="I71" s="4" t="str">
        <f t="shared" si="9"/>
        <v/>
      </c>
    </row>
    <row r="72" spans="7:9" x14ac:dyDescent="0.3">
      <c r="G72" s="4" t="str">
        <f t="shared" si="7"/>
        <v/>
      </c>
      <c r="H72" s="4" t="str">
        <f t="shared" si="8"/>
        <v/>
      </c>
      <c r="I72" s="4" t="str">
        <f t="shared" si="9"/>
        <v/>
      </c>
    </row>
    <row r="73" spans="7:9" x14ac:dyDescent="0.3">
      <c r="G73" s="4" t="str">
        <f t="shared" si="7"/>
        <v/>
      </c>
      <c r="H73" s="4" t="str">
        <f t="shared" si="8"/>
        <v/>
      </c>
      <c r="I73" s="4" t="str">
        <f t="shared" si="9"/>
        <v/>
      </c>
    </row>
    <row r="74" spans="7:9" x14ac:dyDescent="0.3">
      <c r="G74" s="4" t="str">
        <f t="shared" si="7"/>
        <v/>
      </c>
      <c r="H74" s="4" t="str">
        <f t="shared" si="8"/>
        <v/>
      </c>
      <c r="I74" s="4" t="str">
        <f t="shared" si="9"/>
        <v/>
      </c>
    </row>
    <row r="75" spans="7:9" x14ac:dyDescent="0.3">
      <c r="G75" s="4" t="str">
        <f t="shared" si="7"/>
        <v/>
      </c>
      <c r="H75" s="4" t="str">
        <f t="shared" si="8"/>
        <v/>
      </c>
      <c r="I75" s="4" t="str">
        <f t="shared" si="9"/>
        <v/>
      </c>
    </row>
    <row r="76" spans="7:9" x14ac:dyDescent="0.3">
      <c r="G76" s="4" t="str">
        <f t="shared" si="7"/>
        <v/>
      </c>
      <c r="H76" s="4" t="str">
        <f t="shared" si="8"/>
        <v/>
      </c>
      <c r="I76" s="4" t="str">
        <f t="shared" si="9"/>
        <v/>
      </c>
    </row>
    <row r="77" spans="7:9" x14ac:dyDescent="0.3">
      <c r="G77" s="4" t="str">
        <f t="shared" si="7"/>
        <v/>
      </c>
      <c r="H77" s="4" t="str">
        <f t="shared" si="8"/>
        <v/>
      </c>
      <c r="I77" s="4" t="str">
        <f t="shared" si="9"/>
        <v/>
      </c>
    </row>
    <row r="78" spans="7:9" x14ac:dyDescent="0.3">
      <c r="G78" s="4" t="str">
        <f t="shared" si="7"/>
        <v/>
      </c>
      <c r="H78" s="4" t="str">
        <f t="shared" si="8"/>
        <v/>
      </c>
      <c r="I78" s="4" t="str">
        <f t="shared" si="9"/>
        <v/>
      </c>
    </row>
    <row r="79" spans="7:9" x14ac:dyDescent="0.3">
      <c r="G79" s="4" t="str">
        <f t="shared" si="7"/>
        <v/>
      </c>
      <c r="H79" s="4" t="str">
        <f t="shared" si="8"/>
        <v/>
      </c>
      <c r="I79" s="4" t="str">
        <f t="shared" si="9"/>
        <v/>
      </c>
    </row>
    <row r="80" spans="7:9" x14ac:dyDescent="0.3">
      <c r="G80" s="4" t="str">
        <f t="shared" si="7"/>
        <v/>
      </c>
      <c r="H80" s="4" t="str">
        <f t="shared" si="8"/>
        <v/>
      </c>
      <c r="I80" s="4" t="str">
        <f t="shared" si="9"/>
        <v/>
      </c>
    </row>
    <row r="81" spans="7:9" x14ac:dyDescent="0.3">
      <c r="G81" s="4" t="str">
        <f t="shared" si="7"/>
        <v/>
      </c>
      <c r="H81" s="4" t="str">
        <f t="shared" si="8"/>
        <v/>
      </c>
      <c r="I81" s="4" t="str">
        <f t="shared" si="9"/>
        <v/>
      </c>
    </row>
    <row r="82" spans="7:9" x14ac:dyDescent="0.3">
      <c r="G82" s="4" t="str">
        <f t="shared" si="7"/>
        <v/>
      </c>
      <c r="H82" s="4" t="str">
        <f t="shared" si="8"/>
        <v/>
      </c>
      <c r="I82" s="4" t="str">
        <f t="shared" si="9"/>
        <v/>
      </c>
    </row>
    <row r="83" spans="7:9" x14ac:dyDescent="0.3">
      <c r="G83" s="4" t="str">
        <f t="shared" si="7"/>
        <v/>
      </c>
      <c r="H83" s="4" t="str">
        <f t="shared" si="8"/>
        <v/>
      </c>
      <c r="I83" s="4" t="str">
        <f t="shared" si="9"/>
        <v/>
      </c>
    </row>
    <row r="84" spans="7:9" x14ac:dyDescent="0.3">
      <c r="G84" s="4" t="str">
        <f t="shared" si="7"/>
        <v/>
      </c>
      <c r="H84" s="4" t="str">
        <f t="shared" si="8"/>
        <v/>
      </c>
      <c r="I84" s="4" t="str">
        <f t="shared" si="9"/>
        <v/>
      </c>
    </row>
    <row r="85" spans="7:9" x14ac:dyDescent="0.3">
      <c r="G85" s="4" t="str">
        <f t="shared" si="7"/>
        <v/>
      </c>
      <c r="H85" s="4" t="str">
        <f t="shared" si="8"/>
        <v/>
      </c>
      <c r="I85" s="4" t="str">
        <f t="shared" si="9"/>
        <v/>
      </c>
    </row>
    <row r="86" spans="7:9" x14ac:dyDescent="0.3">
      <c r="G86" s="4" t="str">
        <f t="shared" si="7"/>
        <v/>
      </c>
      <c r="H86" s="4" t="str">
        <f t="shared" si="8"/>
        <v/>
      </c>
      <c r="I86" s="4" t="str">
        <f t="shared" si="9"/>
        <v/>
      </c>
    </row>
    <row r="87" spans="7:9" x14ac:dyDescent="0.3">
      <c r="G87" s="4" t="str">
        <f t="shared" si="7"/>
        <v/>
      </c>
      <c r="H87" s="4" t="str">
        <f t="shared" si="8"/>
        <v/>
      </c>
      <c r="I87" s="4" t="str">
        <f t="shared" si="9"/>
        <v/>
      </c>
    </row>
    <row r="88" spans="7:9" x14ac:dyDescent="0.3">
      <c r="G88" s="4" t="str">
        <f t="shared" si="7"/>
        <v/>
      </c>
      <c r="H88" s="4" t="str">
        <f t="shared" si="8"/>
        <v/>
      </c>
      <c r="I88" s="4" t="str">
        <f t="shared" si="9"/>
        <v/>
      </c>
    </row>
    <row r="89" spans="7:9" x14ac:dyDescent="0.3">
      <c r="G89" s="4" t="str">
        <f t="shared" si="7"/>
        <v/>
      </c>
      <c r="H89" s="4" t="str">
        <f t="shared" si="8"/>
        <v/>
      </c>
      <c r="I89" s="4" t="str">
        <f t="shared" si="9"/>
        <v/>
      </c>
    </row>
    <row r="90" spans="7:9" x14ac:dyDescent="0.3">
      <c r="G90" s="4" t="str">
        <f t="shared" si="7"/>
        <v/>
      </c>
      <c r="H90" s="4" t="str">
        <f t="shared" si="8"/>
        <v/>
      </c>
      <c r="I90" s="4" t="str">
        <f t="shared" si="9"/>
        <v/>
      </c>
    </row>
    <row r="91" spans="7:9" x14ac:dyDescent="0.3">
      <c r="G91" s="4" t="str">
        <f t="shared" si="7"/>
        <v/>
      </c>
      <c r="H91" s="4" t="str">
        <f t="shared" si="8"/>
        <v/>
      </c>
      <c r="I91" s="4" t="str">
        <f t="shared" si="9"/>
        <v/>
      </c>
    </row>
    <row r="92" spans="7:9" x14ac:dyDescent="0.3">
      <c r="G92" s="4" t="str">
        <f t="shared" si="7"/>
        <v/>
      </c>
      <c r="H92" s="4" t="str">
        <f t="shared" si="8"/>
        <v/>
      </c>
      <c r="I92" s="4" t="str">
        <f t="shared" si="9"/>
        <v/>
      </c>
    </row>
    <row r="93" spans="7:9" x14ac:dyDescent="0.3">
      <c r="G93" s="4" t="str">
        <f t="shared" si="7"/>
        <v/>
      </c>
      <c r="H93" s="4" t="str">
        <f t="shared" si="8"/>
        <v/>
      </c>
      <c r="I93" s="4" t="str">
        <f t="shared" si="9"/>
        <v/>
      </c>
    </row>
    <row r="94" spans="7:9" x14ac:dyDescent="0.3">
      <c r="G94" s="4" t="str">
        <f t="shared" si="7"/>
        <v/>
      </c>
      <c r="H94" s="4" t="str">
        <f t="shared" si="8"/>
        <v/>
      </c>
      <c r="I94" s="4" t="str">
        <f t="shared" si="9"/>
        <v/>
      </c>
    </row>
    <row r="95" spans="7:9" x14ac:dyDescent="0.3">
      <c r="G95" s="4" t="str">
        <f t="shared" si="7"/>
        <v/>
      </c>
      <c r="H95" s="4" t="str">
        <f t="shared" si="8"/>
        <v/>
      </c>
      <c r="I95" s="4" t="str">
        <f t="shared" si="9"/>
        <v/>
      </c>
    </row>
    <row r="96" spans="7:9" x14ac:dyDescent="0.3">
      <c r="G96" s="4" t="str">
        <f t="shared" si="7"/>
        <v/>
      </c>
      <c r="H96" s="4" t="str">
        <f t="shared" si="8"/>
        <v/>
      </c>
      <c r="I96" s="4" t="str">
        <f t="shared" si="9"/>
        <v/>
      </c>
    </row>
    <row r="97" spans="7:9" x14ac:dyDescent="0.3">
      <c r="G97" s="4" t="str">
        <f t="shared" si="7"/>
        <v/>
      </c>
      <c r="H97" s="4" t="str">
        <f t="shared" si="8"/>
        <v/>
      </c>
      <c r="I97" s="4" t="str">
        <f t="shared" si="9"/>
        <v/>
      </c>
    </row>
    <row r="98" spans="7:9" x14ac:dyDescent="0.3">
      <c r="G98" s="4" t="str">
        <f t="shared" si="7"/>
        <v/>
      </c>
      <c r="H98" s="4" t="str">
        <f t="shared" si="8"/>
        <v/>
      </c>
      <c r="I98" s="4" t="str">
        <f t="shared" si="9"/>
        <v/>
      </c>
    </row>
    <row r="99" spans="7:9" x14ac:dyDescent="0.3">
      <c r="G99" s="4" t="str">
        <f t="shared" si="7"/>
        <v/>
      </c>
      <c r="H99" s="4" t="str">
        <f t="shared" si="8"/>
        <v/>
      </c>
      <c r="I99" s="4" t="str">
        <f t="shared" si="9"/>
        <v/>
      </c>
    </row>
    <row r="100" spans="7:9" x14ac:dyDescent="0.3">
      <c r="G100" s="4" t="str">
        <f t="shared" si="7"/>
        <v/>
      </c>
      <c r="H100" s="4" t="str">
        <f t="shared" si="8"/>
        <v/>
      </c>
      <c r="I100" s="4" t="str">
        <f t="shared" si="9"/>
        <v/>
      </c>
    </row>
    <row r="101" spans="7:9" x14ac:dyDescent="0.3">
      <c r="G101" s="4" t="str">
        <f t="shared" si="7"/>
        <v/>
      </c>
      <c r="H101" s="4" t="str">
        <f t="shared" si="8"/>
        <v/>
      </c>
      <c r="I101" s="4" t="str">
        <f t="shared" si="9"/>
        <v/>
      </c>
    </row>
    <row r="102" spans="7:9" x14ac:dyDescent="0.3">
      <c r="G102" s="4" t="str">
        <f t="shared" si="7"/>
        <v/>
      </c>
      <c r="H102" s="4" t="str">
        <f t="shared" si="8"/>
        <v/>
      </c>
      <c r="I102" s="4" t="str">
        <f t="shared" si="9"/>
        <v/>
      </c>
    </row>
    <row r="103" spans="7:9" x14ac:dyDescent="0.3">
      <c r="G103" s="4" t="str">
        <f t="shared" si="7"/>
        <v/>
      </c>
      <c r="H103" s="4" t="str">
        <f t="shared" si="8"/>
        <v/>
      </c>
      <c r="I103" s="4" t="str">
        <f t="shared" si="9"/>
        <v/>
      </c>
    </row>
    <row r="104" spans="7:9" x14ac:dyDescent="0.3">
      <c r="G104" s="4" t="str">
        <f t="shared" si="7"/>
        <v/>
      </c>
      <c r="H104" s="4" t="str">
        <f t="shared" si="8"/>
        <v/>
      </c>
      <c r="I104" s="4" t="str">
        <f t="shared" si="9"/>
        <v/>
      </c>
    </row>
    <row r="105" spans="7:9" x14ac:dyDescent="0.3">
      <c r="G105" s="4" t="str">
        <f t="shared" si="7"/>
        <v/>
      </c>
      <c r="H105" s="4" t="str">
        <f t="shared" si="8"/>
        <v/>
      </c>
      <c r="I105" s="4" t="str">
        <f t="shared" si="9"/>
        <v/>
      </c>
    </row>
    <row r="106" spans="7:9" x14ac:dyDescent="0.3">
      <c r="G106" s="4" t="str">
        <f t="shared" si="7"/>
        <v/>
      </c>
      <c r="H106" s="4" t="str">
        <f t="shared" si="8"/>
        <v/>
      </c>
      <c r="I106" s="4" t="str">
        <f t="shared" si="9"/>
        <v/>
      </c>
    </row>
    <row r="107" spans="7:9" x14ac:dyDescent="0.3">
      <c r="G107" s="4" t="str">
        <f t="shared" si="7"/>
        <v/>
      </c>
      <c r="H107" s="4" t="str">
        <f t="shared" si="8"/>
        <v/>
      </c>
      <c r="I107" s="4" t="str">
        <f t="shared" si="9"/>
        <v/>
      </c>
    </row>
    <row r="108" spans="7:9" x14ac:dyDescent="0.3">
      <c r="G108" s="4" t="str">
        <f t="shared" si="7"/>
        <v/>
      </c>
      <c r="H108" s="4" t="str">
        <f t="shared" si="8"/>
        <v/>
      </c>
      <c r="I108" s="4" t="str">
        <f t="shared" si="9"/>
        <v/>
      </c>
    </row>
    <row r="109" spans="7:9" x14ac:dyDescent="0.3">
      <c r="G109" s="4" t="str">
        <f t="shared" si="7"/>
        <v/>
      </c>
      <c r="H109" s="4" t="str">
        <f t="shared" si="8"/>
        <v/>
      </c>
      <c r="I109" s="4" t="str">
        <f t="shared" si="9"/>
        <v/>
      </c>
    </row>
    <row r="110" spans="7:9" x14ac:dyDescent="0.3">
      <c r="G110" s="4" t="str">
        <f t="shared" si="7"/>
        <v/>
      </c>
      <c r="H110" s="4" t="str">
        <f t="shared" si="8"/>
        <v/>
      </c>
      <c r="I110" s="4" t="str">
        <f t="shared" si="9"/>
        <v/>
      </c>
    </row>
    <row r="111" spans="7:9" x14ac:dyDescent="0.3">
      <c r="G111" s="4" t="str">
        <f t="shared" si="7"/>
        <v/>
      </c>
      <c r="H111" s="4" t="str">
        <f t="shared" si="8"/>
        <v/>
      </c>
      <c r="I111" s="4" t="str">
        <f t="shared" si="9"/>
        <v/>
      </c>
    </row>
    <row r="112" spans="7:9" x14ac:dyDescent="0.3">
      <c r="G112" s="4" t="str">
        <f t="shared" si="7"/>
        <v/>
      </c>
      <c r="H112" s="4" t="str">
        <f t="shared" si="8"/>
        <v/>
      </c>
      <c r="I112" s="4" t="str">
        <f t="shared" si="9"/>
        <v/>
      </c>
    </row>
    <row r="113" spans="7:9" x14ac:dyDescent="0.3">
      <c r="G113" s="4" t="str">
        <f t="shared" si="7"/>
        <v/>
      </c>
      <c r="H113" s="4" t="str">
        <f t="shared" si="8"/>
        <v/>
      </c>
      <c r="I113" s="4" t="str">
        <f t="shared" si="9"/>
        <v/>
      </c>
    </row>
    <row r="114" spans="7:9" x14ac:dyDescent="0.3">
      <c r="G114" s="4" t="str">
        <f t="shared" si="7"/>
        <v/>
      </c>
      <c r="H114" s="4" t="str">
        <f t="shared" si="8"/>
        <v/>
      </c>
      <c r="I114" s="4" t="str">
        <f t="shared" si="9"/>
        <v/>
      </c>
    </row>
    <row r="115" spans="7:9" x14ac:dyDescent="0.3">
      <c r="G115" s="4" t="str">
        <f t="shared" si="7"/>
        <v/>
      </c>
      <c r="H115" s="4" t="str">
        <f t="shared" si="8"/>
        <v/>
      </c>
      <c r="I115" s="4" t="str">
        <f t="shared" si="9"/>
        <v/>
      </c>
    </row>
    <row r="116" spans="7:9" x14ac:dyDescent="0.3">
      <c r="G116" s="4" t="str">
        <f t="shared" si="7"/>
        <v/>
      </c>
      <c r="H116" s="4" t="str">
        <f t="shared" si="8"/>
        <v/>
      </c>
      <c r="I116" s="4" t="str">
        <f t="shared" si="9"/>
        <v/>
      </c>
    </row>
    <row r="117" spans="7:9" x14ac:dyDescent="0.3">
      <c r="G117" s="4" t="str">
        <f t="shared" si="7"/>
        <v/>
      </c>
      <c r="H117" s="4" t="str">
        <f t="shared" si="8"/>
        <v/>
      </c>
      <c r="I117" s="4" t="str">
        <f t="shared" si="9"/>
        <v/>
      </c>
    </row>
    <row r="118" spans="7:9" x14ac:dyDescent="0.3">
      <c r="G118" s="4" t="str">
        <f t="shared" si="7"/>
        <v/>
      </c>
      <c r="H118" s="4" t="str">
        <f t="shared" si="8"/>
        <v/>
      </c>
      <c r="I118" s="4" t="str">
        <f t="shared" si="9"/>
        <v/>
      </c>
    </row>
    <row r="119" spans="7:9" x14ac:dyDescent="0.3">
      <c r="G119" s="4" t="str">
        <f t="shared" si="7"/>
        <v/>
      </c>
      <c r="H119" s="4" t="str">
        <f t="shared" si="8"/>
        <v/>
      </c>
      <c r="I119" s="4" t="str">
        <f t="shared" si="9"/>
        <v/>
      </c>
    </row>
    <row r="120" spans="7:9" x14ac:dyDescent="0.3">
      <c r="G120" s="4" t="str">
        <f t="shared" si="7"/>
        <v/>
      </c>
      <c r="H120" s="4" t="str">
        <f t="shared" si="8"/>
        <v/>
      </c>
      <c r="I120" s="4" t="str">
        <f t="shared" si="9"/>
        <v/>
      </c>
    </row>
    <row r="121" spans="7:9" x14ac:dyDescent="0.3">
      <c r="G121" s="4" t="str">
        <f t="shared" si="7"/>
        <v/>
      </c>
      <c r="H121" s="4" t="str">
        <f t="shared" si="8"/>
        <v/>
      </c>
      <c r="I121" s="4" t="str">
        <f t="shared" si="9"/>
        <v/>
      </c>
    </row>
    <row r="122" spans="7:9" x14ac:dyDescent="0.3">
      <c r="G122" s="4" t="str">
        <f t="shared" si="7"/>
        <v/>
      </c>
      <c r="H122" s="4" t="str">
        <f t="shared" si="8"/>
        <v/>
      </c>
      <c r="I122" s="4" t="str">
        <f t="shared" si="9"/>
        <v/>
      </c>
    </row>
    <row r="123" spans="7:9" x14ac:dyDescent="0.3">
      <c r="G123" s="4" t="str">
        <f t="shared" si="7"/>
        <v/>
      </c>
      <c r="H123" s="4" t="str">
        <f t="shared" si="8"/>
        <v/>
      </c>
      <c r="I123" s="4" t="str">
        <f t="shared" si="9"/>
        <v/>
      </c>
    </row>
    <row r="124" spans="7:9" x14ac:dyDescent="0.3">
      <c r="G124" s="4" t="str">
        <f t="shared" si="7"/>
        <v/>
      </c>
      <c r="H124" s="4" t="str">
        <f t="shared" si="8"/>
        <v/>
      </c>
      <c r="I124" s="4" t="str">
        <f t="shared" si="9"/>
        <v/>
      </c>
    </row>
    <row r="125" spans="7:9" x14ac:dyDescent="0.3">
      <c r="G125" s="4" t="str">
        <f t="shared" si="7"/>
        <v/>
      </c>
      <c r="H125" s="4" t="str">
        <f t="shared" si="8"/>
        <v/>
      </c>
      <c r="I125" s="4" t="str">
        <f t="shared" si="9"/>
        <v/>
      </c>
    </row>
    <row r="126" spans="7:9" x14ac:dyDescent="0.3">
      <c r="G126" s="4" t="str">
        <f t="shared" si="7"/>
        <v/>
      </c>
      <c r="H126" s="4" t="str">
        <f t="shared" si="8"/>
        <v/>
      </c>
      <c r="I126" s="4" t="str">
        <f t="shared" si="9"/>
        <v/>
      </c>
    </row>
    <row r="127" spans="7:9" x14ac:dyDescent="0.3">
      <c r="G127" s="4" t="str">
        <f t="shared" si="7"/>
        <v/>
      </c>
      <c r="H127" s="4" t="str">
        <f t="shared" si="8"/>
        <v/>
      </c>
      <c r="I127" s="4" t="str">
        <f t="shared" si="9"/>
        <v/>
      </c>
    </row>
    <row r="128" spans="7:9" x14ac:dyDescent="0.3">
      <c r="G128" s="4" t="str">
        <f t="shared" si="7"/>
        <v/>
      </c>
      <c r="H128" s="4" t="str">
        <f t="shared" si="8"/>
        <v/>
      </c>
      <c r="I128" s="4" t="str">
        <f t="shared" si="9"/>
        <v/>
      </c>
    </row>
    <row r="129" spans="7:9" x14ac:dyDescent="0.3">
      <c r="G129" s="4" t="str">
        <f t="shared" ref="G129:G134" si="10">IF( IFERROR(FIND("A.",C129), 0) &gt; 0, TRIM(MID( C129, SEARCH("A.", C129)+2, 100)),TRIM(C129))</f>
        <v/>
      </c>
      <c r="H129" s="4" t="str">
        <f t="shared" ref="H129:H134" si="11">IF( IFERROR(FIND("B.",D129), 0) &gt; 0, TRIM(MID( D129, SEARCH("B.", D129)+2, 100)),TRIM(D129))</f>
        <v/>
      </c>
      <c r="I129" s="4" t="str">
        <f t="shared" si="9"/>
        <v/>
      </c>
    </row>
    <row r="130" spans="7:9" x14ac:dyDescent="0.3">
      <c r="G130" s="4" t="str">
        <f t="shared" si="10"/>
        <v/>
      </c>
      <c r="H130" s="4" t="str">
        <f t="shared" si="11"/>
        <v/>
      </c>
      <c r="I130" s="4" t="str">
        <f t="shared" si="9"/>
        <v/>
      </c>
    </row>
    <row r="131" spans="7:9" x14ac:dyDescent="0.3">
      <c r="G131" s="4" t="str">
        <f t="shared" si="10"/>
        <v/>
      </c>
      <c r="H131" s="4" t="str">
        <f t="shared" si="11"/>
        <v/>
      </c>
      <c r="I131" s="4" t="str">
        <f t="shared" si="9"/>
        <v/>
      </c>
    </row>
    <row r="132" spans="7:9" x14ac:dyDescent="0.3">
      <c r="G132" s="4" t="str">
        <f t="shared" si="10"/>
        <v/>
      </c>
      <c r="H132" s="4" t="str">
        <f t="shared" si="11"/>
        <v/>
      </c>
      <c r="I132" s="4" t="str">
        <f t="shared" ref="I132:I134" si="12">IF( IFERROR(FIND("C.",E132), 0) &gt; 0, TRIM(MID( E132, SEARCH("C.", E132)+2, 100)),TRIM(E132))</f>
        <v/>
      </c>
    </row>
    <row r="133" spans="7:9" x14ac:dyDescent="0.3">
      <c r="G133" s="4" t="str">
        <f t="shared" si="10"/>
        <v/>
      </c>
      <c r="H133" s="4" t="str">
        <f t="shared" si="11"/>
        <v/>
      </c>
      <c r="I133" s="4" t="str">
        <f t="shared" si="12"/>
        <v/>
      </c>
    </row>
    <row r="134" spans="7:9" x14ac:dyDescent="0.3">
      <c r="G134" s="4" t="str">
        <f t="shared" si="10"/>
        <v/>
      </c>
      <c r="H134" s="4" t="str">
        <f t="shared" si="11"/>
        <v/>
      </c>
      <c r="I134" s="4" t="str">
        <f t="shared" si="12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2"/>
  <sheetViews>
    <sheetView zoomScale="70" zoomScaleNormal="70" workbookViewId="0">
      <selection activeCell="C1" sqref="C1:G12"/>
    </sheetView>
  </sheetViews>
  <sheetFormatPr defaultRowHeight="16.5" x14ac:dyDescent="0.3"/>
  <cols>
    <col min="1" max="1" width="69" style="1" customWidth="1"/>
    <col min="3" max="3" width="40.5" bestFit="1" customWidth="1"/>
  </cols>
  <sheetData>
    <row r="1" spans="1:8" ht="31.5" x14ac:dyDescent="0.3">
      <c r="A1" s="2" t="s">
        <v>1</v>
      </c>
      <c r="B1" s="3"/>
      <c r="C1" s="3" t="str">
        <f>MID(A1, FIND("1.", A1) + 2, 9999)</f>
        <v xml:space="preserve"> 당구에서 주로 쓰이는 작은 큐브 모양으로, 미끄러짐 방지를 위해 큐대 끝에 칠하는 이것은?</v>
      </c>
      <c r="D1" s="3" t="str">
        <f>A3</f>
        <v>A.  치키</v>
      </c>
      <c r="E1" s="6" t="str">
        <f>A4</f>
        <v>B.  차카</v>
      </c>
      <c r="F1" s="6" t="str">
        <f>A5</f>
        <v>C.  초크</v>
      </c>
      <c r="G1" s="7">
        <v>2</v>
      </c>
    </row>
    <row r="2" spans="1:8" ht="45" x14ac:dyDescent="0.3">
      <c r="A2"/>
      <c r="B2" s="3"/>
      <c r="C2" s="3" t="str">
        <f>MID(A8, FIND("2.", A8) + 2, 9999)</f>
        <v xml:space="preserve"> 사회 초년생 '장그래'를 주인공으로 직장인들의 애환을 그린 웹툰의 제목은?</v>
      </c>
      <c r="D2" s="3" t="str">
        <f>A10</f>
        <v>A.  희생</v>
      </c>
      <c r="E2" s="3" t="str">
        <f>A11</f>
        <v>B.  미생</v>
      </c>
      <c r="F2" s="3" t="str">
        <f>A12</f>
        <v>C.  고생</v>
      </c>
      <c r="G2">
        <v>1</v>
      </c>
      <c r="H2" s="7"/>
    </row>
    <row r="3" spans="1:8" ht="30" x14ac:dyDescent="0.3">
      <c r="A3" s="9" t="s">
        <v>2</v>
      </c>
      <c r="B3" s="3"/>
      <c r="C3" s="3" t="str">
        <f>MID(A15, FIND("3.", A15) + 2, 9999)</f>
        <v> 경기 안산, 시흥, 화성에 걸쳐있는 인공 호수로 시화방조제를 완공하며 조성된 이곳은?</v>
      </c>
      <c r="D3" s="3" t="str">
        <f>A17</f>
        <v>A.  시화호</v>
      </c>
      <c r="E3" s="3" t="str">
        <f>A18</f>
        <v>B.  방공호</v>
      </c>
      <c r="F3" s="3" t="str">
        <f>A19</f>
        <v>C.  야노시호</v>
      </c>
      <c r="G3">
        <v>0</v>
      </c>
      <c r="H3" s="7"/>
    </row>
    <row r="4" spans="1:8" ht="54.75" customHeight="1" x14ac:dyDescent="0.3">
      <c r="A4" s="9" t="s">
        <v>3</v>
      </c>
      <c r="B4" s="3"/>
      <c r="C4" s="3" t="str">
        <f>MID(A22, FIND("4.", A22) + 2, 9999)</f>
        <v xml:space="preserve"> 원래 '악당'을 뜻하는 말로, 특이한 행동을 하는 이들을 가리키는 의미로 확장돼 사용되기도 하는 단어는?</v>
      </c>
      <c r="D4" s="3" t="str">
        <f>A24</f>
        <v>A.  이런</v>
      </c>
      <c r="E4" s="3" t="str">
        <f>A25</f>
        <v>B.  저런</v>
      </c>
      <c r="F4" s="3" t="str">
        <f>A26</f>
        <v>C.  빌런</v>
      </c>
      <c r="G4">
        <v>2</v>
      </c>
      <c r="H4" s="7"/>
    </row>
    <row r="5" spans="1:8" ht="45" x14ac:dyDescent="0.3">
      <c r="A5" s="9" t="s">
        <v>4</v>
      </c>
      <c r="B5" s="3"/>
      <c r="C5" s="3" t="str">
        <f>MID(A29, FIND("5.", A29) + 2, 9999)</f>
        <v xml:space="preserve"> 다음 중 로봇을 주제로 한 드라마가 아닌 것은?</v>
      </c>
      <c r="D5" s="3" t="str">
        <f>A31</f>
        <v>A.  너도 인간이니</v>
      </c>
      <c r="E5" s="3" t="str">
        <f>A32</f>
        <v>B.  김비서가 왜 그럴까</v>
      </c>
      <c r="F5" s="3" t="str">
        <f>A33</f>
        <v>C.  로봇이 아니야</v>
      </c>
      <c r="G5">
        <v>1</v>
      </c>
      <c r="H5" s="7"/>
    </row>
    <row r="6" spans="1:8" ht="30" x14ac:dyDescent="0.3">
      <c r="A6"/>
      <c r="B6" s="3"/>
      <c r="C6" s="3" t="str">
        <f>MID(A36, FIND("6.", A36) + 2, 9999)</f>
        <v xml:space="preserve"> 세계 최초로 상용화된 날개 없는 선풍기를 개발한 회사는?</v>
      </c>
      <c r="D6" s="3" t="str">
        <f>A38</f>
        <v>A.  샤오미</v>
      </c>
      <c r="E6" s="3" t="str">
        <f>A39</f>
        <v>B.  삼성</v>
      </c>
      <c r="F6" s="3" t="str">
        <f>A40</f>
        <v>C.  다이슨</v>
      </c>
      <c r="G6">
        <v>2</v>
      </c>
      <c r="H6" s="7"/>
    </row>
    <row r="7" spans="1:8" ht="30" x14ac:dyDescent="0.3">
      <c r="A7"/>
      <c r="B7" s="3"/>
      <c r="C7" s="3" t="str">
        <f>MID(A43, FIND("7.", A43) + 2, 9999)</f>
        <v xml:space="preserve"> 흔히 말하는 &lt;3포 세대&gt;의 3포에 포함되지 않는 것은?</v>
      </c>
      <c r="D7" s="3" t="str">
        <f>A45</f>
        <v>A.  직장</v>
      </c>
      <c r="E7" s="3" t="str">
        <f>A46</f>
        <v>B.  출산</v>
      </c>
      <c r="F7" s="3" t="str">
        <f>A47</f>
        <v>C.  연애</v>
      </c>
      <c r="G7">
        <v>0</v>
      </c>
      <c r="H7" s="7"/>
    </row>
    <row r="8" spans="1:8" ht="31.5" x14ac:dyDescent="0.3">
      <c r="A8" s="2" t="s">
        <v>5</v>
      </c>
      <c r="B8" s="3"/>
      <c r="C8" s="3" t="str">
        <f>MID(A50, FIND("8.", A50) + 2, 9999)</f>
        <v xml:space="preserve"> 도시의 전문직에 종사하여 고소득을 얻는 젊은이를 칭하는 말은?</v>
      </c>
      <c r="D8" s="3" t="str">
        <f>A52</f>
        <v>A.  니트족</v>
      </c>
      <c r="E8" s="3" t="str">
        <f>A53</f>
        <v>B.  딩크족</v>
      </c>
      <c r="F8" s="3" t="str">
        <f>A54</f>
        <v>C.  여피족</v>
      </c>
      <c r="G8">
        <v>2</v>
      </c>
      <c r="H8" s="7"/>
    </row>
    <row r="9" spans="1:8" ht="30" x14ac:dyDescent="0.3">
      <c r="A9"/>
      <c r="B9" s="3"/>
      <c r="C9" s="3" t="str">
        <f>MID(A57, FIND("9.", A57) + 2, 9999)</f>
        <v xml:space="preserve"> 안정된 관계에서 친밀감을 공유할 때 나오는 행복 호르몬은?</v>
      </c>
      <c r="D9" s="3" t="str">
        <f>A59</f>
        <v>A.  옥시토신</v>
      </c>
      <c r="E9" s="3" t="str">
        <f>A60</f>
        <v>B.  세로토닌</v>
      </c>
      <c r="F9" s="3" t="str">
        <f>A61</f>
        <v>C.  사이토카인</v>
      </c>
      <c r="G9">
        <v>1</v>
      </c>
      <c r="H9" s="7"/>
    </row>
    <row r="10" spans="1:8" ht="45" x14ac:dyDescent="0.3">
      <c r="A10" s="9" t="s">
        <v>6</v>
      </c>
      <c r="B10" s="3"/>
      <c r="C10" s="3" t="str">
        <f>MID(A64, FIND("10.", A64) + 3, 9999)</f>
        <v xml:space="preserve"> 대한씨름협회 주관 공식 씨름 경기에서 샅바는 어느 쪽 허벅다리에 맬까?</v>
      </c>
      <c r="D10" s="3" t="str">
        <f>A66</f>
        <v>A.  왼쪽</v>
      </c>
      <c r="E10" s="3" t="str">
        <f>A67</f>
        <v>B.  오른쪽</v>
      </c>
      <c r="F10" s="3" t="str">
        <f>A68</f>
        <v>C.  양쪽</v>
      </c>
      <c r="G10">
        <v>1</v>
      </c>
      <c r="H10" s="7"/>
    </row>
    <row r="11" spans="1:8" ht="45" x14ac:dyDescent="0.3">
      <c r="A11" s="9" t="s">
        <v>7</v>
      </c>
      <c r="B11" s="3"/>
      <c r="C11" s="3" t="str">
        <f>MID(A71, FIND("11.", A71) + 3, 9999)</f>
        <v xml:space="preserve"> '金 씨'를 금 씨가 아니라 김 씨로 읽기 시작한 때는?</v>
      </c>
      <c r="D11" s="3" t="str">
        <f>A73</f>
        <v>A.  신라</v>
      </c>
      <c r="E11" s="3" t="str">
        <f>A74</f>
        <v>B.  고려</v>
      </c>
      <c r="F11" s="3" t="str">
        <f>A75</f>
        <v>C.  조선</v>
      </c>
      <c r="G11">
        <v>2</v>
      </c>
      <c r="H11" s="7"/>
    </row>
    <row r="12" spans="1:8" ht="30" x14ac:dyDescent="0.3">
      <c r="A12" s="9" t="s">
        <v>8</v>
      </c>
      <c r="B12" s="3"/>
      <c r="C12" s="3" t="str">
        <f>MID(A78, FIND("12.", A78) + 3, 9999)</f>
        <v xml:space="preserve"> 순우리말 '비긋다'는 무슨 뜻일까?</v>
      </c>
      <c r="D12" s="3" t="str">
        <f>A80</f>
        <v>A.  비를 잠시 피하다</v>
      </c>
      <c r="E12" s="3" t="str">
        <f>A81</f>
        <v>B.  마음에 마땅찮다</v>
      </c>
      <c r="F12" s="3" t="str">
        <f>A82</f>
        <v>C.  선을 비스듬히 긋다</v>
      </c>
      <c r="G12">
        <v>0</v>
      </c>
      <c r="H12" s="7"/>
    </row>
    <row r="13" spans="1:8" x14ac:dyDescent="0.3">
      <c r="A13"/>
      <c r="C13" s="8" t="s">
        <v>0</v>
      </c>
    </row>
    <row r="14" spans="1:8" x14ac:dyDescent="0.3">
      <c r="A14"/>
      <c r="C14" s="8"/>
    </row>
    <row r="15" spans="1:8" ht="31.5" x14ac:dyDescent="0.3">
      <c r="A15" s="2" t="s">
        <v>9</v>
      </c>
    </row>
    <row r="16" spans="1:8" x14ac:dyDescent="0.3">
      <c r="A16"/>
    </row>
    <row r="17" spans="1:1" x14ac:dyDescent="0.3">
      <c r="A17" s="9" t="s">
        <v>10</v>
      </c>
    </row>
    <row r="18" spans="1:1" x14ac:dyDescent="0.3">
      <c r="A18" s="9" t="s">
        <v>11</v>
      </c>
    </row>
    <row r="19" spans="1:1" x14ac:dyDescent="0.3">
      <c r="A19" s="9" t="s">
        <v>12</v>
      </c>
    </row>
    <row r="20" spans="1:1" x14ac:dyDescent="0.3">
      <c r="A20"/>
    </row>
    <row r="21" spans="1:1" x14ac:dyDescent="0.3">
      <c r="A21"/>
    </row>
    <row r="22" spans="1:1" ht="31.5" x14ac:dyDescent="0.3">
      <c r="A22" s="2" t="s">
        <v>13</v>
      </c>
    </row>
    <row r="23" spans="1:1" x14ac:dyDescent="0.3">
      <c r="A23"/>
    </row>
    <row r="24" spans="1:1" x14ac:dyDescent="0.3">
      <c r="A24" s="9" t="s">
        <v>14</v>
      </c>
    </row>
    <row r="25" spans="1:1" x14ac:dyDescent="0.3">
      <c r="A25" s="9" t="s">
        <v>15</v>
      </c>
    </row>
    <row r="26" spans="1:1" x14ac:dyDescent="0.3">
      <c r="A26" s="9" t="s">
        <v>16</v>
      </c>
    </row>
    <row r="27" spans="1:1" x14ac:dyDescent="0.3">
      <c r="A27"/>
    </row>
    <row r="28" spans="1:1" x14ac:dyDescent="0.3">
      <c r="A28"/>
    </row>
    <row r="29" spans="1:1" x14ac:dyDescent="0.3">
      <c r="A29" s="2" t="s">
        <v>17</v>
      </c>
    </row>
    <row r="30" spans="1:1" x14ac:dyDescent="0.3">
      <c r="A30"/>
    </row>
    <row r="31" spans="1:1" x14ac:dyDescent="0.3">
      <c r="A31" s="9" t="s">
        <v>18</v>
      </c>
    </row>
    <row r="32" spans="1:1" x14ac:dyDescent="0.3">
      <c r="A32" s="9" t="s">
        <v>19</v>
      </c>
    </row>
    <row r="33" spans="1:1" x14ac:dyDescent="0.3">
      <c r="A33" s="9" t="s">
        <v>20</v>
      </c>
    </row>
    <row r="34" spans="1:1" x14ac:dyDescent="0.3">
      <c r="A34"/>
    </row>
    <row r="35" spans="1:1" x14ac:dyDescent="0.3">
      <c r="A35"/>
    </row>
    <row r="36" spans="1:1" x14ac:dyDescent="0.3">
      <c r="A36" s="2" t="s">
        <v>21</v>
      </c>
    </row>
    <row r="37" spans="1:1" x14ac:dyDescent="0.3">
      <c r="A37"/>
    </row>
    <row r="38" spans="1:1" x14ac:dyDescent="0.3">
      <c r="A38" s="9" t="s">
        <v>22</v>
      </c>
    </row>
    <row r="39" spans="1:1" x14ac:dyDescent="0.3">
      <c r="A39" s="9" t="s">
        <v>23</v>
      </c>
    </row>
    <row r="40" spans="1:1" x14ac:dyDescent="0.3">
      <c r="A40" s="9" t="s">
        <v>24</v>
      </c>
    </row>
    <row r="41" spans="1:1" x14ac:dyDescent="0.3">
      <c r="A41"/>
    </row>
    <row r="42" spans="1:1" x14ac:dyDescent="0.3">
      <c r="A42"/>
    </row>
    <row r="43" spans="1:1" x14ac:dyDescent="0.3">
      <c r="A43" s="2" t="s">
        <v>25</v>
      </c>
    </row>
    <row r="44" spans="1:1" x14ac:dyDescent="0.3">
      <c r="A44"/>
    </row>
    <row r="45" spans="1:1" x14ac:dyDescent="0.3">
      <c r="A45" s="9" t="s">
        <v>26</v>
      </c>
    </row>
    <row r="46" spans="1:1" x14ac:dyDescent="0.3">
      <c r="A46" s="9" t="s">
        <v>27</v>
      </c>
    </row>
    <row r="47" spans="1:1" x14ac:dyDescent="0.3">
      <c r="A47" s="9" t="s">
        <v>28</v>
      </c>
    </row>
    <row r="48" spans="1:1" x14ac:dyDescent="0.3">
      <c r="A48"/>
    </row>
    <row r="49" spans="1:1" x14ac:dyDescent="0.3">
      <c r="A49"/>
    </row>
    <row r="50" spans="1:1" x14ac:dyDescent="0.3">
      <c r="A50" s="2" t="s">
        <v>29</v>
      </c>
    </row>
    <row r="51" spans="1:1" x14ac:dyDescent="0.3">
      <c r="A51"/>
    </row>
    <row r="52" spans="1:1" x14ac:dyDescent="0.3">
      <c r="A52" s="9" t="s">
        <v>30</v>
      </c>
    </row>
    <row r="53" spans="1:1" x14ac:dyDescent="0.3">
      <c r="A53" s="9" t="s">
        <v>31</v>
      </c>
    </row>
    <row r="54" spans="1:1" x14ac:dyDescent="0.3">
      <c r="A54" s="9" t="s">
        <v>32</v>
      </c>
    </row>
    <row r="55" spans="1:1" x14ac:dyDescent="0.3">
      <c r="A55"/>
    </row>
    <row r="56" spans="1:1" x14ac:dyDescent="0.3">
      <c r="A56"/>
    </row>
    <row r="57" spans="1:1" x14ac:dyDescent="0.3">
      <c r="A57" s="2" t="s">
        <v>33</v>
      </c>
    </row>
    <row r="58" spans="1:1" x14ac:dyDescent="0.3">
      <c r="A58"/>
    </row>
    <row r="59" spans="1:1" x14ac:dyDescent="0.3">
      <c r="A59" s="9" t="s">
        <v>34</v>
      </c>
    </row>
    <row r="60" spans="1:1" x14ac:dyDescent="0.3">
      <c r="A60" s="9" t="s">
        <v>35</v>
      </c>
    </row>
    <row r="61" spans="1:1" x14ac:dyDescent="0.3">
      <c r="A61" s="9" t="s">
        <v>36</v>
      </c>
    </row>
    <row r="62" spans="1:1" x14ac:dyDescent="0.3">
      <c r="A62"/>
    </row>
    <row r="63" spans="1:1" x14ac:dyDescent="0.3">
      <c r="A63"/>
    </row>
    <row r="64" spans="1:1" x14ac:dyDescent="0.3">
      <c r="A64" s="2" t="s">
        <v>37</v>
      </c>
    </row>
    <row r="65" spans="1:1" x14ac:dyDescent="0.3">
      <c r="A65"/>
    </row>
    <row r="66" spans="1:1" x14ac:dyDescent="0.3">
      <c r="A66" s="9" t="s">
        <v>38</v>
      </c>
    </row>
    <row r="67" spans="1:1" x14ac:dyDescent="0.3">
      <c r="A67" s="9" t="s">
        <v>39</v>
      </c>
    </row>
    <row r="68" spans="1:1" x14ac:dyDescent="0.3">
      <c r="A68" s="9" t="s">
        <v>40</v>
      </c>
    </row>
    <row r="69" spans="1:1" x14ac:dyDescent="0.3">
      <c r="A69"/>
    </row>
    <row r="70" spans="1:1" x14ac:dyDescent="0.3">
      <c r="A70"/>
    </row>
    <row r="71" spans="1:1" x14ac:dyDescent="0.3">
      <c r="A71" s="2" t="s">
        <v>41</v>
      </c>
    </row>
    <row r="72" spans="1:1" x14ac:dyDescent="0.3">
      <c r="A72"/>
    </row>
    <row r="73" spans="1:1" x14ac:dyDescent="0.3">
      <c r="A73" s="9" t="s">
        <v>42</v>
      </c>
    </row>
    <row r="74" spans="1:1" x14ac:dyDescent="0.3">
      <c r="A74" s="9" t="s">
        <v>43</v>
      </c>
    </row>
    <row r="75" spans="1:1" x14ac:dyDescent="0.3">
      <c r="A75" s="9" t="s">
        <v>44</v>
      </c>
    </row>
    <row r="76" spans="1:1" x14ac:dyDescent="0.3">
      <c r="A76"/>
    </row>
    <row r="77" spans="1:1" x14ac:dyDescent="0.3">
      <c r="A77"/>
    </row>
    <row r="78" spans="1:1" x14ac:dyDescent="0.3">
      <c r="A78" s="2" t="s">
        <v>45</v>
      </c>
    </row>
    <row r="79" spans="1:1" x14ac:dyDescent="0.3">
      <c r="A79"/>
    </row>
    <row r="80" spans="1:1" x14ac:dyDescent="0.3">
      <c r="A80" s="9" t="s">
        <v>46</v>
      </c>
    </row>
    <row r="81" spans="1:1" x14ac:dyDescent="0.3">
      <c r="A81" s="9" t="s">
        <v>47</v>
      </c>
    </row>
    <row r="82" spans="1:1" x14ac:dyDescent="0.3">
      <c r="A82" s="9" t="s">
        <v>48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왕예식 [nnnyyy]</cp:lastModifiedBy>
  <dcterms:created xsi:type="dcterms:W3CDTF">2018-05-18T01:26:08Z</dcterms:created>
  <dcterms:modified xsi:type="dcterms:W3CDTF">2018-06-28T03:11:21Z</dcterms:modified>
</cp:coreProperties>
</file>